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telier\Documents\School\HN3\Semestre 2\audit des systemes\2024_2025\"/>
    </mc:Choice>
  </mc:AlternateContent>
  <bookViews>
    <workbookView xWindow="0" yWindow="0" windowWidth="19200" windowHeight="7050" activeTab="7"/>
  </bookViews>
  <sheets>
    <sheet name="Global" sheetId="1" r:id="rId1"/>
    <sheet name="4.1" sheetId="2" r:id="rId2"/>
    <sheet name="4.2" sheetId="3" r:id="rId3"/>
    <sheet name="4.3" sheetId="4" r:id="rId4"/>
    <sheet name="4.4" sheetId="5" r:id="rId5"/>
    <sheet name="4.5" sheetId="6" r:id="rId6"/>
    <sheet name="COSO" sheetId="7" r:id="rId7"/>
    <sheet name="Synthèsse" sheetId="8" r:id="rId8"/>
  </sheets>
  <externalReferences>
    <externalReference r:id="rId9"/>
    <externalReference r:id="rId10"/>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2" i="8" l="1"/>
  <c r="F22" i="8"/>
  <c r="E22" i="8"/>
  <c r="G21" i="8"/>
  <c r="F21" i="8"/>
  <c r="E21" i="8"/>
  <c r="E20" i="8"/>
  <c r="G20" i="8"/>
  <c r="D22" i="8"/>
  <c r="H22" i="8" s="1"/>
  <c r="D21" i="8"/>
  <c r="H21" i="8" s="1"/>
  <c r="F20" i="8"/>
  <c r="D20" i="8"/>
  <c r="G19" i="8"/>
  <c r="F19" i="8"/>
  <c r="E19" i="8"/>
  <c r="D19" i="8"/>
  <c r="G18" i="8"/>
  <c r="E18" i="8"/>
  <c r="F18" i="8"/>
  <c r="D18" i="8"/>
  <c r="F17" i="8"/>
  <c r="F14" i="8"/>
  <c r="F16" i="8"/>
  <c r="E16" i="8"/>
  <c r="F15" i="8"/>
  <c r="E15" i="8"/>
  <c r="E17" i="8"/>
  <c r="D17" i="8"/>
  <c r="D16" i="8"/>
  <c r="D15" i="8"/>
  <c r="E14" i="8"/>
  <c r="D14" i="8"/>
  <c r="F13" i="8"/>
  <c r="E13" i="8"/>
  <c r="D13" i="8"/>
  <c r="F12" i="8"/>
  <c r="E12" i="8"/>
  <c r="D12" i="8"/>
  <c r="F11" i="8"/>
  <c r="E11" i="8"/>
  <c r="D11" i="8"/>
  <c r="F10" i="8"/>
  <c r="E10" i="8"/>
  <c r="D10" i="8"/>
  <c r="F9" i="8"/>
  <c r="E9" i="8"/>
  <c r="D9" i="8"/>
  <c r="F8" i="8"/>
  <c r="E8" i="8"/>
  <c r="D8" i="8"/>
  <c r="F7" i="8"/>
  <c r="E7" i="8"/>
  <c r="D7" i="8"/>
  <c r="F6" i="8"/>
  <c r="E6" i="8"/>
  <c r="D6" i="8"/>
  <c r="H20" i="8" l="1"/>
  <c r="H19" i="8"/>
  <c r="G14" i="8"/>
  <c r="H14" i="8" s="1"/>
  <c r="G17" i="8"/>
  <c r="H17" i="8" s="1"/>
  <c r="F23" i="8"/>
  <c r="G16" i="8"/>
  <c r="H16" i="8" s="1"/>
  <c r="E23" i="8"/>
  <c r="G15" i="8"/>
  <c r="H15" i="8" s="1"/>
  <c r="D23" i="8"/>
  <c r="G12" i="8"/>
  <c r="H12" i="8" s="1"/>
  <c r="G7" i="8"/>
  <c r="H7" i="8" s="1"/>
  <c r="G8" i="8"/>
  <c r="H8" i="8" s="1"/>
  <c r="G11" i="8"/>
  <c r="H11" i="8" s="1"/>
  <c r="G9" i="8"/>
  <c r="H9" i="8" s="1"/>
  <c r="G13" i="8"/>
  <c r="H13" i="8" s="1"/>
  <c r="G6" i="8"/>
  <c r="H6" i="8" s="1"/>
  <c r="G10" i="8"/>
  <c r="H10" i="8" s="1"/>
  <c r="G23" i="8" l="1"/>
  <c r="H23" i="8" s="1"/>
  <c r="H18" i="8" l="1"/>
</calcChain>
</file>

<file path=xl/sharedStrings.xml><?xml version="1.0" encoding="utf-8"?>
<sst xmlns="http://schemas.openxmlformats.org/spreadsheetml/2006/main" count="18752" uniqueCount="6044">
  <si>
    <t>Domaines</t>
  </si>
  <si>
    <t>Points de Contrôle</t>
  </si>
  <si>
    <t>Objectifs de Contrôle </t>
  </si>
  <si>
    <t>Critère d’Évaluation </t>
  </si>
  <si>
    <t>Question d’Évaluation </t>
  </si>
  <si>
    <t>Réponses</t>
  </si>
  <si>
    <t>Documents Requis </t>
  </si>
  <si>
    <t>Risques</t>
  </si>
  <si>
    <t>Criticités</t>
  </si>
  <si>
    <t>Conséquences</t>
  </si>
  <si>
    <t>Recommandations</t>
  </si>
  <si>
    <t>Audit des Applications en Service</t>
  </si>
  <si>
    <t>Organisation</t>
  </si>
  <si>
    <t>S’assurer de l’existence d'un comité informatique</t>
  </si>
  <si>
    <t>Un comité informatique est officiellement constitué et documenté.</t>
  </si>
  <si>
    <t>Un comité informatique est-il formellement mis en place ?</t>
  </si>
  <si>
    <t>OUI</t>
  </si>
  <si>
    <t>Charte du comité, Organigramme du comité</t>
  </si>
  <si>
    <t>Absence de gouvernance informatique</t>
  </si>
  <si>
    <t>Élevée</t>
  </si>
  <si>
    <t>Difficulté de suivre les transactions</t>
  </si>
  <si>
    <t>- La liste des membres du comité est disponible et mise à jour.</t>
  </si>
  <si>
    <t>La liste des membres du comité est-elle tenue à jour ?</t>
  </si>
  <si>
    <t>NON</t>
  </si>
  <si>
    <t>Liste des membres, PV de nomination</t>
  </si>
  <si>
    <t>Manque de clarté sur les responsabilités</t>
  </si>
  <si>
    <t>Moyenne</t>
  </si>
  <si>
    <t>- Le comité se réunit régulièrement (ex. : mensuellement ou trimestriellement).</t>
  </si>
  <si>
    <t>Le comité informatique tient-il des réunions régulières ?</t>
  </si>
  <si>
    <t>Calendrier des réunions, PV des réunions</t>
  </si>
  <si>
    <t>Manque de suivi des décisions stratégiques</t>
  </si>
  <si>
    <t>- Des comptes rendus de réunion sont archivés et accessibles.</t>
  </si>
  <si>
    <t>Les comptes rendus des réunions sont-ils archivés et consultables ?</t>
  </si>
  <si>
    <t>Registre des comptes rendus, Plateforme de stockage documentaire</t>
  </si>
  <si>
    <t>Manque de traçabilité des décisions</t>
  </si>
  <si>
    <t>- Le comité prend des décisions stratégiques et suit des actions correctives.</t>
  </si>
  <si>
    <t>Le comité suit-il l’exécution des décisions et actions correctives ?</t>
  </si>
  <si>
    <t>Plan d’actions, Rapports de suivi</t>
  </si>
  <si>
    <t>Actions non suivies ou inefficaces</t>
  </si>
  <si>
    <t>S’assurer que les rôle et responsabilités des utilisateurs sont bien définis</t>
  </si>
  <si>
    <t>Chaque utilisateur a un rôle clairement défini dans l’organisation.</t>
  </si>
  <si>
    <t>Les rôles des utilisateurs sont-ils documentés ?</t>
  </si>
  <si>
    <t>Manuel des responsabilités, Organigramme</t>
  </si>
  <si>
    <t>Confusion des responsabilités</t>
  </si>
  <si>
    <t>- Un document officiel détaille les responsabilités de chaque rôle.</t>
  </si>
  <si>
    <t>Un document formel précise-t-il les responsabilités de chaque poste ?</t>
  </si>
  <si>
    <t>Fiches de poste, Manuel interne</t>
  </si>
  <si>
    <t>Attribution floue des responsabilités</t>
  </si>
  <si>
    <t>- Les utilisateurs ont accès uniquement aux fonctionnalités nécessaires à leur travail.</t>
  </si>
  <si>
    <t>Les accès des utilisateurs sont-ils restreints à leurs besoins ?</t>
  </si>
  <si>
    <t>Liste des droits d’accès, Rapports de permissions</t>
  </si>
  <si>
    <t>Accès excessifs aux ressources</t>
  </si>
  <si>
    <t>- Les droits et accès sont revus périodiquement pour éviter les abus.</t>
  </si>
  <si>
    <t>Un audit des accès est-il effectué régulièrement ?</t>
  </si>
  <si>
    <t>Rapports d’audit d’accès, Politique de gestion des accès</t>
  </si>
  <si>
    <t>Risque d’abus ou de fraude</t>
  </si>
  <si>
    <t>- Une procédure existe pour modifier ou supprimer des droits en cas de changement de poste.</t>
  </si>
  <si>
    <t>Un processus formel gère-t-il les modifications d’accès ?</t>
  </si>
  <si>
    <t>PAS</t>
  </si>
  <si>
    <t>Procédure de gestion des droits, Journal des modifications d’accès</t>
  </si>
  <si>
    <t>Maintien d’accès injustifiés</t>
  </si>
  <si>
    <t>S’assurer qu’une analyse des risques a été réalisée</t>
  </si>
  <si>
    <t>Une analyse des risques a été formellement menée et documentée.</t>
  </si>
  <si>
    <t>Une analyse des risques SI a-t-elle été réalisée ?</t>
  </si>
  <si>
    <t>Rapport d’analyse des risques, Cartographie des risques</t>
  </si>
  <si>
    <t>Manque de visibilité sur les menaces</t>
  </si>
  <si>
    <t>- Les risques identifiés sont classés en fonction de leur criticité.</t>
  </si>
  <si>
    <t>Les risques SI sont-ils classés selon leur criticité ?</t>
  </si>
  <si>
    <t>Matrice des risques, Liste des risques classifiés</t>
  </si>
  <si>
    <t>Gestion inefficace des priorités</t>
  </si>
  <si>
    <t>- Des mesures de mitigation des risques ont été définies.</t>
  </si>
  <si>
    <t>Des mesures de mitigation des risques ont-elles été établies ?</t>
  </si>
  <si>
    <t>Plan de mitigation, Rapports de suivi des risques</t>
  </si>
  <si>
    <t>Absence de stratégie de réduction des risques</t>
  </si>
  <si>
    <t>- L’analyse des risques est revue périodiquement.</t>
  </si>
  <si>
    <t>L’analyse des risques est-elle régulièrement mise à jour ?</t>
  </si>
  <si>
    <t>Planning des revues, Historique des mises à jour</t>
  </si>
  <si>
    <t>Risques non pris en compte</t>
  </si>
  <si>
    <t>- La direction a validé et approuvé les résultats de l’analyse</t>
  </si>
  <si>
    <t>La direction valide-t-elle l’analyse des risques ?</t>
  </si>
  <si>
    <t>PV d’approbation, Rapports aux décideurs</t>
  </si>
  <si>
    <t>Absence de soutien stratégique</t>
  </si>
  <si>
    <t>S’assurer que le prolongement de l'analyse de risque et de son expansion ont été réalisés</t>
  </si>
  <si>
    <t>L’analyse des risques est mise à jour après chaque évolution majeure de l’application.</t>
  </si>
  <si>
    <t>L’analyse des risques est-elle mise à jour après un changement majeur ?</t>
  </si>
  <si>
    <t>Rapports de mise à jour, Liste des nouvelles menaces</t>
  </si>
  <si>
    <t>Failles de sécurité non identifiées</t>
  </si>
  <si>
    <t>- Les nouveaux risques identifiés sont ajoutés et évalués.</t>
  </si>
  <si>
    <t>Les nouveaux risques sont-ils évalués lors des mises à jour ?</t>
  </si>
  <si>
    <t>Matrice des risques, Registre des incidents</t>
  </si>
  <si>
    <t>Menaces émergentes non anticipées</t>
  </si>
  <si>
    <t>- Les mesures de contrôle sont adaptées en fonction des nouvelles menaces.</t>
  </si>
  <si>
    <t>Les contrôles de sécurité évoluent-ils selon les nouvelles menaces ?</t>
  </si>
  <si>
    <t>Rapport de mise à jour des contrôles, Registre des actions correctives</t>
  </si>
  <si>
    <t>Mesures inadaptées aux menaces actuelles</t>
  </si>
  <si>
    <t>- Les responsables sont informés des mises à jour de l’analyse de risque.</t>
  </si>
  <si>
    <t>Les responsables sont-ils informés des mises à jour des risques ?</t>
  </si>
  <si>
    <t>Notes de service, Comptes rendus de réunion</t>
  </si>
  <si>
    <t>Manque de sensibilisation des parties prenantes</t>
  </si>
  <si>
    <t>- Un suivi est effectué pour s’assurer que les nouvelles mesures sont appliquées.</t>
  </si>
  <si>
    <t>Les mesures correctives sont-elles suivies et validées ?</t>
  </si>
  <si>
    <t>Rapports de conformité, Journal des actions mises en œuvre</t>
  </si>
  <si>
    <t>Absence de suivi des correctifs</t>
  </si>
  <si>
    <t>S’assurer que l’analyse et évaluation du niveau de sensibilité a été réalisée</t>
  </si>
  <si>
    <t>Un document définit les niveaux de sensibilité des données de l’application.</t>
  </si>
  <si>
    <t>Un document de classification des données existe-t-il ?</t>
  </si>
  <si>
    <t>Politique de classification des données, Registre des données sensibles</t>
  </si>
  <si>
    <t>Manque de gestion des données sensibles</t>
  </si>
  <si>
    <t>- La classification des données est basée sur leur impact potentiel en cas de perte.</t>
  </si>
  <si>
    <t>Les niveaux de classification tiennent-ils compte des impacts potentiels ?</t>
  </si>
  <si>
    <t>Étude d’impact, Registre de classification</t>
  </si>
  <si>
    <t>Mauvaise catégorisation des données</t>
  </si>
  <si>
    <t>- Les données sensibles ont des mesures de protection spécifiques.</t>
  </si>
  <si>
    <t>Des mesures spécifiques protègent-elles les données sensibles ?</t>
  </si>
  <si>
    <t>Politique de sécurité des données, Rapport d’audit de sécurité</t>
  </si>
  <si>
    <t>Protection insuffisante des données critiques</t>
  </si>
  <si>
    <t>- Une procédure existe pour modifier la classification en cas d’évolution.</t>
  </si>
  <si>
    <t>Une procédure de mise à jour de la classification est-elle en place ?</t>
  </si>
  <si>
    <t>Procédure de modification des classifications, Journal des modifications</t>
  </si>
  <si>
    <t>Classification obsolète</t>
  </si>
  <si>
    <t>- L’accès aux données sensibles est restreint et contrôlé.</t>
  </si>
  <si>
    <t>L’accès aux données sensibles est-il limité et surveillé ?</t>
  </si>
  <si>
    <t>Liste des accès aux données sensibles, Logs d’accès</t>
  </si>
  <si>
    <t>Accès non autorisés aux données sensibles</t>
  </si>
  <si>
    <t>Vérifier l’existence d’un manuel d'administration de l'application</t>
  </si>
  <si>
    <t>Un manuel d’administration est disponible et à jour.</t>
  </si>
  <si>
    <t>Un manuel d’administration est-il disponible ?</t>
  </si>
  <si>
    <t>Manuel d’administration, Documentation technique</t>
  </si>
  <si>
    <t>Manque de référence pour les administrateurs</t>
  </si>
  <si>
    <t>- Il décrit les configurations techniques et les paramètres de l’application.</t>
  </si>
  <si>
    <t>Le manuel contient-il les configurations techniques et les paramètres de l’application ?</t>
  </si>
  <si>
    <t>Manuel d’administration, Liste des configurations</t>
  </si>
  <si>
    <t>Mauvaise gestion des configurations</t>
  </si>
  <si>
    <t>- Les procédures de maintenance et de dépannage y sont documentées.</t>
  </si>
  <si>
    <t>Les procédures de maintenance et de dépannage sont-elles documentées ?</t>
  </si>
  <si>
    <t>Manuel d’administration, Guide de dépannage</t>
  </si>
  <si>
    <t>Temps d’arrêt prolongé en cas d’incident</t>
  </si>
  <si>
    <t>- Seuls les administrateurs autorisés ont accès au manuel.</t>
  </si>
  <si>
    <t>L’accès au manuel d’administration est-il restreint aux administrateurs ?</t>
  </si>
  <si>
    <t>Liste des administrateurs autorisés, Registre des accès</t>
  </si>
  <si>
    <t>Risque d’accès non autorisé à des informations sensibles</t>
  </si>
  <si>
    <t>- Le manuel est régulièrement mis à jour en cas de changement dans l’application.</t>
  </si>
  <si>
    <t>Le manuel d’administration est-il mis à jour après chaque modification majeure ?</t>
  </si>
  <si>
    <t>Historique des mises à jour, Procédure de validation des mises à jour</t>
  </si>
  <si>
    <t>Utilisation de configurations obsolètes</t>
  </si>
  <si>
    <t>Vérifier l’existence de procédures formalisées</t>
  </si>
  <si>
    <t>Toutes les procédures liées à l’application sont documentées.</t>
  </si>
  <si>
    <t>Toutes les procédures de l’application sont-elles documentées ?</t>
  </si>
  <si>
    <t>Référentiel des procédures, Guide utilisateur</t>
  </si>
  <si>
    <t>Manque de standardisation des processus</t>
  </si>
  <si>
    <t>- Les documents sont accessibles aux utilisateurs concernés.</t>
  </si>
  <si>
    <t>Les documents sont-ils accessibles uniquement aux utilisateurs concernés ?</t>
  </si>
  <si>
    <t>Liste des accès aux documents, Plateforme documentaire</t>
  </si>
  <si>
    <t>Accès non autorisé aux documents sensibles</t>
  </si>
  <si>
    <t>- Les procédures couvrent les opérations courantes et exceptionnelles.</t>
  </si>
  <si>
    <t>Les procédures documentées couvrent-elles toutes les opérations ?</t>
  </si>
  <si>
    <t>Manuel des procédures, Rapports d’incidents</t>
  </si>
  <si>
    <t>Mauvaise gestion des situations exceptionnelles</t>
  </si>
  <si>
    <t>- Elles sont validées par les responsables avant leur mise en application.</t>
  </si>
  <si>
    <t>Les responsables valident-ils les procédures avant leur application ?</t>
  </si>
  <si>
    <t>PV de validation, Workflow d’approbation</t>
  </si>
  <si>
    <t>Procédures non conformes aux exigences</t>
  </si>
  <si>
    <t>- Un processus de mise à jour des procédures est défini</t>
  </si>
  <si>
    <t>Un processus de mise à jour des procédures est-il formalisé ?</t>
  </si>
  <si>
    <t>Plan de mise à jour des procédures, Historique des révisions</t>
  </si>
  <si>
    <t>Utilisation de procédures obsolètes</t>
  </si>
  <si>
    <t>S’assurer de l’existence et de la mise à disposition du compte rendu mensuel au propriétaire</t>
  </si>
  <si>
    <t>Un compte rendu est produit chaque mois.</t>
  </si>
  <si>
    <t>Un compte rendu sur l’application est-il produit mensuellement ?</t>
  </si>
  <si>
    <t>Rapports mensuels, Registre des comptes rendus</t>
  </si>
  <si>
    <t>Manque de suivi des performances et anomalies</t>
  </si>
  <si>
    <t>- Il contient des informations sur l’utilisation et la performance de l’application.</t>
  </si>
  <si>
    <t>Le compte rendu contient-il des indicateurs de performance ?</t>
  </si>
  <si>
    <t>Modèle de compte rendu, Tableau de bord des performances</t>
  </si>
  <si>
    <t>Absence d’indicateurs de suivi</t>
  </si>
  <si>
    <t>- Le propriétaire de l’application reçoit et valide ce compte rendu.</t>
  </si>
  <si>
    <t>Le propriétaire de l’application valide-t-il le compte rendu mensuel ?</t>
  </si>
  <si>
    <t>PV de validation, Liste des destinataires du rapport</t>
  </si>
  <si>
    <t>Décisions non prises sur la base d’informations validées</t>
  </si>
  <si>
    <t>- Des actions correctives sont proposées en cas d’anomalie.</t>
  </si>
  <si>
    <t>Des actions correctives sont-elles proposées dans les comptes rendus ?</t>
  </si>
  <si>
    <t>Plan d’actions correctives, Historique des corrections</t>
  </si>
  <si>
    <t>Non-prise en charge des anomalies identifiées</t>
  </si>
  <si>
    <t>- Les comptes rendus sont archivés pour référence future.</t>
  </si>
  <si>
    <t>Les comptes rendus sont-ils archivés et accessibles ?</t>
  </si>
  <si>
    <t>Registre des comptes rendus, Plateforme de stockage</t>
  </si>
  <si>
    <t>Perte d’historique et de traçabilité</t>
  </si>
  <si>
    <t xml:space="preserve"> S’assurer de l’existence d'un guide d'utilisateur, manuel de procédure</t>
  </si>
  <si>
    <t>Un guide d’utilisateur est disponible et facile à comprendre.</t>
  </si>
  <si>
    <t>Un guide utilisateur est-il disponible ?</t>
  </si>
  <si>
    <t>Guide utilisateur, Manuel de prise en main</t>
  </si>
  <si>
    <t>Difficulté d’utilisation de l’application</t>
  </si>
  <si>
    <t>Il couvre les fonctionnalités principales de l’application.</t>
  </si>
  <si>
    <t>Le guide utilisateur couvre-t-il toutes les fonctionnalités principales ?</t>
  </si>
  <si>
    <t>Guide utilisateur, Liste des fonctionnalités</t>
  </si>
  <si>
    <t>Manque de compréhension des fonctionnalités</t>
  </si>
  <si>
    <t xml:space="preserve">Il est mis à jour à chaque changement majeur.  </t>
  </si>
  <si>
    <t>Le guide utilisateur est-il mis à jour après chaque évolution majeure ?</t>
  </si>
  <si>
    <t>Utilisation d’informations obsolètes</t>
  </si>
  <si>
    <t>Les nouveaux utilisateurs reçoivent une formation basée sur ce guide.</t>
  </si>
  <si>
    <t>Une formation basée sur le guide utilisateur est-elle dispensée aux nouveaux utilisateurs ?</t>
  </si>
  <si>
    <t>Plan de formation, Liste des participants aux formations</t>
  </si>
  <si>
    <t>Manque de compétences des nouveaux utilisateurs</t>
  </si>
  <si>
    <t>Le guide est accessible aux utilisateurs autorisés.</t>
  </si>
  <si>
    <t>L’accès au guide utilisateur est-il restreint aux utilisateurs concernés ?</t>
  </si>
  <si>
    <t>Accès non contrôlé au guide utilisateur</t>
  </si>
  <si>
    <t>Faible</t>
  </si>
  <si>
    <t>Application</t>
  </si>
  <si>
    <t>S'assurer que l'accès aux ressources de l'application (données et transactions) est restreint par un système de gestion d'accès</t>
  </si>
  <si>
    <t xml:space="preserve">Existence d'un système formalisé de gestion des accès </t>
  </si>
  <si>
    <t>Existe-t-il un système formalisé de gestion des accès ?</t>
  </si>
  <si>
    <t>Politique de sécurité des accès (document officiel)</t>
  </si>
  <si>
    <t>Non-conformité avec les standards de sécurité (ISO 27001, RGPD)</t>
  </si>
  <si>
    <t>Elevée</t>
  </si>
  <si>
    <t>Le système est activé et effectivement appliqué sur l'application</t>
  </si>
  <si>
    <t>Le système est-il activé et effectivement appliqué sur l'application?</t>
  </si>
  <si>
    <t xml:space="preserve">Preuve de configuration </t>
  </si>
  <si>
    <t>Accès non contrôlés exposant à des violations de données</t>
  </si>
  <si>
    <t>Les accès aux fonctions sensibles (données critiques, transactions) sont spécifiquement restreints</t>
  </si>
  <si>
    <t>Les accès aux fonctions sensibles (données critiques, transactions) sont-elles spécifiquement restreints?</t>
  </si>
  <si>
    <t>Matrice des droits (tableau des accès par rôle/métier)</t>
  </si>
  <si>
    <t>Fraude ou fuite de données critiques</t>
  </si>
  <si>
    <t xml:space="preserve">Les droits d'accès sont attribués en fonction des rôles et responsabilités des utilisateurs </t>
  </si>
  <si>
    <t>Les droits d'accès sont-ils attribués en fonction des rôles et responsabilités des utilisateurs ?</t>
  </si>
  <si>
    <t>Fiches de poste ou descriptions des responsabilités</t>
  </si>
  <si>
    <t>Privilèges excessifs (violation du principe de moindre privilège)</t>
  </si>
  <si>
    <t>Les révocations d'accès sont immédiates en cas de changement de poste ou de départ</t>
  </si>
  <si>
    <t>Les révocations d'accès sont-elles immédiates en cas de changement de poste ou de départ?</t>
  </si>
  <si>
    <t>Procédure de départ et journal des désactivations</t>
  </si>
  <si>
    <t>Accès résiduels exploités par d'anciens collaborateurs</t>
  </si>
  <si>
    <t>S’assurer qu’une procédure de gestion des profils utilisateurs 
existe</t>
  </si>
  <si>
    <t>Existence d’une procédure écrite de gestion des profils utilisateurs</t>
  </si>
  <si>
    <t>Existe t-il une procédure écrite de gestion des profils utilisateurs?</t>
  </si>
  <si>
    <t>Manuel des procédures utilisateurs</t>
  </si>
  <si>
    <t>Incohérence dans la gestion des profils</t>
  </si>
  <si>
    <t>La procédure définit clairement les rôles et permissions associés</t>
  </si>
  <si>
    <t>La procédure définit-elle clairement les rôles et permissions associés?</t>
  </si>
  <si>
    <t xml:space="preserve">Arbre des rôles </t>
  </si>
  <si>
    <t>Attribution arbitraire des droits</t>
  </si>
  <si>
    <t>Les demandes de création/modification de profils suivent un processus formalisé</t>
  </si>
  <si>
    <t>Les demandes de création/modification de profils suivent-elles un processus formalisé?</t>
  </si>
  <si>
    <t xml:space="preserve">Formulaires de demande </t>
  </si>
  <si>
    <t>Création de profils non autorisés</t>
  </si>
  <si>
    <t>Les profils inactifs ou obsolètes sont régulièrement supprimés ou désactivés</t>
  </si>
  <si>
    <t>Les profils inactifs ou obsolètes sont-ils régulièrement supprimés ou désactivés?</t>
  </si>
  <si>
    <t>Rapport des comptes désactivés (historique 6 mois)</t>
  </si>
  <si>
    <t>Portes dérobées pour attaques (comptes zombies)</t>
  </si>
  <si>
    <t>Un suivi des modifications apportées aux profils est maintenu et auditable.</t>
  </si>
  <si>
    <t>Un suivi des modifications apportées aux profils est-il maintenu et auditable?</t>
  </si>
  <si>
    <t>Logs des changements (exports Active Directory/outil IAM)</t>
  </si>
  <si>
    <t>Impossible de tracer les changements frauduleux</t>
  </si>
  <si>
    <t>Vérifier que l’identification des utilisateurs est réalisée</t>
  </si>
  <si>
    <t>Chaque utilisateur possède un identifiant unique et personnel</t>
  </si>
  <si>
    <t>Chaque utilisateur possède t-il un identifiant unique et personnel?</t>
  </si>
  <si>
    <t>Liste des comptes actifs de l'application</t>
  </si>
  <si>
    <t>Impossible d'imputer les actions aux utilisateurs</t>
  </si>
  <si>
    <t>L’authentification requiert au moins un facteur robuste (mot de passe complexe, MFA, etc.)</t>
  </si>
  <si>
    <t>L’authentification requiert-il au moins un facteur robuste (mot de passe complexe, ,,.)?</t>
  </si>
  <si>
    <t>Preuve de configuration</t>
  </si>
  <si>
    <t>Compromission facile des comptes</t>
  </si>
  <si>
    <t>Les comptes génériques ou partagés sont interdits ou strictement contrôlés</t>
  </si>
  <si>
    <t>Les comptes génériques ou partagés sont-ils interdits ou strictement contrôlés?</t>
  </si>
  <si>
    <t>Audit des comptes (recherche de comptes génériques)</t>
  </si>
  <si>
    <t>Point d'entrée pour attaques internes</t>
  </si>
  <si>
    <t xml:space="preserve">Le système bloque les tentatives d’accès après plusieurs échecs d’authentification </t>
  </si>
  <si>
    <t xml:space="preserve">Le système bloque t-il  les tentatives d’accès après plusieurs échecs d’authentification? </t>
  </si>
  <si>
    <t>Paramètres de sécurité (seuil de verrouillage)</t>
  </si>
  <si>
    <t>Attaques par force brute possibles</t>
  </si>
  <si>
    <t>Les identifiants inactifs sont automatiquement désactivés après une période définie</t>
  </si>
  <si>
    <t>Les identifiants inactifs sont-ils automatiquement désactivés après une période définie?</t>
  </si>
  <si>
    <t>Politique d'inactivité et liste des comptes désactivés</t>
  </si>
  <si>
    <t>Réutilisation par des tiers malveillants</t>
  </si>
  <si>
    <t xml:space="preserve">Vérifier qu’un mot de passe est associé à l'identifiant </t>
  </si>
  <si>
    <t>Tous les identifiants actifs disposent d'un mot de passe enregistré</t>
  </si>
  <si>
    <t>Tous les identifiants actifs disposent-ils d'un mot de passe enregistré?</t>
  </si>
  <si>
    <t>Test de connexion (vérification sur échantillon)</t>
  </si>
  <si>
    <t>Accès sans authentification</t>
  </si>
  <si>
    <t>Les mots de passe répondent aux exigences de complexité définies</t>
  </si>
  <si>
    <t>Les mots de passe répondent-ils aux exigences de complexité définiesv</t>
  </si>
  <si>
    <t xml:space="preserve">Règles de sécurité </t>
  </si>
  <si>
    <t>Cassage facile des mots de passe</t>
  </si>
  <si>
    <t>Le stockage des mots de passe est chiffré et sécurisé</t>
  </si>
  <si>
    <t>Le stockage des mots de passe est-il chiffré et sécurisé?</t>
  </si>
  <si>
    <t>Preuve de hachage</t>
  </si>
  <si>
    <t>Fuite des credentials en clair</t>
  </si>
  <si>
    <t>La réinitialisation du mot de passe nécessite une validation sécurisée</t>
  </si>
  <si>
    <t>La réinitialisation du mot de passe nécessite t-il une validation sécurisée?</t>
  </si>
  <si>
    <t xml:space="preserve">Processus de reset </t>
  </si>
  <si>
    <t>Détournement de compte</t>
  </si>
  <si>
    <t>Les mots de passe sont renouvelés périodiquement selon la politique établie</t>
  </si>
  <si>
    <t>Les mots de passe sont-ils renouvelés périodiquement selon la politique établie?</t>
  </si>
  <si>
    <t>Historique des changements (logs de rotations)</t>
  </si>
  <si>
    <t>Mots de passe périmés toujours actifs</t>
  </si>
  <si>
    <t>S’assurer que les tentatives de connexions infructueuses à 
l'application sont suivies</t>
  </si>
  <si>
    <t>Toutes les tentatives de connexion infructueuses sont enregistrées dans un fichier de logs dédié</t>
  </si>
  <si>
    <t>Toutes les tentatives de connexion infructueuses sont-elles enregistrées dans un fichier de logs dédié?</t>
  </si>
  <si>
    <t xml:space="preserve">Fichiers de logs </t>
  </si>
  <si>
    <t>Impossible de détecter les attaques</t>
  </si>
  <si>
    <t>Les logs contiennent systématiquement l'identifiant utilisé, l'horodatage et l'adresse IP source</t>
  </si>
  <si>
    <t>Les logs contiennent-ils systématiquement l'identifiant utilisé ?</t>
  </si>
  <si>
    <t>fichier de logs</t>
  </si>
  <si>
    <t>Investigation impossible après incident</t>
  </si>
  <si>
    <t>Un mécanisme de blocage temporaire est déclenché après X tentatives infructueuses consécutives</t>
  </si>
  <si>
    <t>Un mécanisme de blocage temporaire est-il déclenché après X tentatives infructueuses consécutives?</t>
  </si>
  <si>
    <t xml:space="preserve">Paramètres de verrouillage </t>
  </si>
  <si>
    <t>Attaques par dictionnaire facilitées</t>
  </si>
  <si>
    <t>Les logs des tentatives infructueuses sont conservés pendant une durée minimale de Y jours</t>
  </si>
  <si>
    <t>Les logs des tentatives infructueuses sont-ils conservés pendant une durée minimale de Y jours?</t>
  </si>
  <si>
    <t xml:space="preserve">Politique de rétention </t>
  </si>
  <si>
    <t>Non-conformité réglementaire</t>
  </si>
  <si>
    <t>Une alerte automatique est générée en cas de nombre anormal de tentatives infructueuses</t>
  </si>
  <si>
    <t>Une alerte automatique est-elle générée en cas de nombre anormal de tentatives infructueuses?</t>
  </si>
  <si>
    <t xml:space="preserve">Rapports d'alertes </t>
  </si>
  <si>
    <t>Détection tardive des intrusions</t>
  </si>
  <si>
    <t xml:space="preserve">Vérifier que le niveau d’information et de moyen de contrôle 
adapté </t>
  </si>
  <si>
    <t>S'assurer que les informations critiques sont accessibles aux parties prenantes concernées.</t>
  </si>
  <si>
    <t>Les informations critiques sont-elles accessibles aux parties prenantes concernées ?</t>
  </si>
  <si>
    <t>Politique de gestion des accès</t>
  </si>
  <si>
    <t>Accès non autorisé aux informations critiques</t>
  </si>
  <si>
    <t>Vérifier que les moyens de contrôle mis en place couvrent efficacement les risques identifiés.</t>
  </si>
  <si>
    <t>Les moyens de contrôle mis en place couvrent-ils efficacement les risques identifiés ?</t>
  </si>
  <si>
    <t>Cartographie des risques</t>
  </si>
  <si>
    <t>Risques non couverts pouvant impacter l’organisation</t>
  </si>
  <si>
    <t>Confirmer que les outils et ressources utilisés pour le contrôle sont adaptés aux besoins de l'organisation.</t>
  </si>
  <si>
    <t>Les outils et ressources utilisés pour le contrôle sont-ils adaptés aux besoins de l'organisation ?</t>
  </si>
  <si>
    <t>Inventaire des outils de contrôle</t>
  </si>
  <si>
    <t>Utilisation d’outils inadaptés entraînant des contrôles inefficaces</t>
  </si>
  <si>
    <t>Garantir que les processus de contrôle sont documentés et mis à jour régulièrement.</t>
  </si>
  <si>
    <t>Les processus de contrôle sont-ils documentés et mis à jour régulièrement ?</t>
  </si>
  <si>
    <t>Procédures de contrôle interne</t>
  </si>
  <si>
    <t>Procédures de contrôle obsolètes ou inexistantes</t>
  </si>
  <si>
    <t>Évaluer l'efficacité des contrôles en analysant les résultats et en identifiant d'éventuelles lacunes.</t>
  </si>
  <si>
    <t>L’efficacité des contrôles est-elle évaluée à travers l’analyse des résultats et l’identification des lacunes ?</t>
  </si>
  <si>
    <t>Rapports d’audit interne</t>
  </si>
  <si>
    <t>Détection tardive des failles de contrôle</t>
  </si>
  <si>
    <t>Vérifier que les contrôles utilisateurs des états de sortie sont 
effectifs</t>
  </si>
  <si>
    <t>Confirmer que les utilisateurs effectuent des vérifications sur les états de sortie avant leur utilisation.</t>
  </si>
  <si>
    <t>Les utilisateurs effectuent-ils des vérifications sur les états de sortie avant leur utilisation ?</t>
  </si>
  <si>
    <t>Journal des vérifications utilisateur</t>
  </si>
  <si>
    <t>Utilisation de données erronées en raison d’un manque de vérification</t>
  </si>
  <si>
    <t>Vérifier la traçabilité des contrôles réalisés par les utilisateurs.</t>
  </si>
  <si>
    <t>Existe-t-il une traçabilité des contrôles réalisés par les utilisateurs ?</t>
  </si>
  <si>
    <t>Logs d’audit des systèmes</t>
  </si>
  <si>
    <t>Absence de traçabilité rendant difficile l’identification des erreurs</t>
  </si>
  <si>
    <t>S'assurer que des actions correctives sont mises en place en cas d'erreur détectée.</t>
  </si>
  <si>
    <t>Des actions correctives sont-elles mises en place en cas d'erreur détectée ?</t>
  </si>
  <si>
    <t>Registre des anomalies et corrections</t>
  </si>
  <si>
    <t>Non-correction des erreurs pouvant entraîner des impacts financiers ou opérationnels</t>
  </si>
  <si>
    <t>Évaluer la formation des utilisateurs sur les contrôles à effectuer.</t>
  </si>
  <si>
    <t>Les utilisateurs sont-ils formés aux contrôles à effectuer ?</t>
  </si>
  <si>
    <t>Registre des formations</t>
  </si>
  <si>
    <t>Manque de compétences des utilisateurs sur les contrôles à effectuer</t>
  </si>
  <si>
    <t>Vérifier que les outils utilisés pour la vérification des états de sortie sont adaptés et performants.</t>
  </si>
  <si>
    <t>Les outils utilisés pour la vérification des états de sortie sont-ils adaptés et performants ?</t>
  </si>
  <si>
    <t>Rapports de performance des outils</t>
  </si>
  <si>
    <t>Faible fiabilité des outils de vérification entraînant des erreurs non détectées</t>
  </si>
  <si>
    <t xml:space="preserve">S’assurer que les procédures de validation des résultats 
existent </t>
  </si>
  <si>
    <t>Vérifier l'existence de procédures documentées de validation des résultats.</t>
  </si>
  <si>
    <t>Existe-t-il des procédures documentées de validation des résultats ?</t>
  </si>
  <si>
    <t>Manuel des procédures</t>
  </si>
  <si>
    <t>Absence de validation des résultats pouvant fausser les décisions</t>
  </si>
  <si>
    <t>S'assurer que ces procédures sont appliquées de manière systématique.</t>
  </si>
  <si>
    <t>Ces procédures sont-elles appliquées de manière systématique ?</t>
  </si>
  <si>
    <t>Journal des validations effectuées</t>
  </si>
  <si>
    <t>Procédures de validation non appliquées, compromettant la qualité des données</t>
  </si>
  <si>
    <t>Confirmer que les validations sont effectuées par des personnes autorisées.</t>
  </si>
  <si>
    <t>Les validations sont-elles effectuées par des personnes autorisées ?</t>
  </si>
  <si>
    <t>Liste des personnes habilitées</t>
  </si>
  <si>
    <t>Validations effectuées par des personnes non autorisées, augmentant le risque d’erreurs</t>
  </si>
  <si>
    <t>Vérifier que les résultats validés sont archivés de manière sécurisée.</t>
  </si>
  <si>
    <t>Les résultats validés sont-ils archivés de manière sécurisée ?</t>
  </si>
  <si>
    <t>Politique d’archivage</t>
  </si>
  <si>
    <t>Perte ou falsification des résultats validés</t>
  </si>
  <si>
    <t>Évaluer l'efficacité des procédures à travers des tests ou des simulations.</t>
  </si>
  <si>
    <t>L’efficacité des procédures est-elle évaluée à travers des tests ou des simulations ?</t>
  </si>
  <si>
    <t>Rapports de tests</t>
  </si>
  <si>
    <t>Procédures inefficaces ne permettant pas d’identifier les anomalies</t>
  </si>
  <si>
    <t>S’assurer que l'intégrité et l'exhaustivité des données 
transmises entre les différents modules est garantie</t>
  </si>
  <si>
    <t>Vérifier l'existence de mécanismes de contrôle garantissant l'intégrité des données transmises.</t>
  </si>
  <si>
    <t>Des mécanismes de contrôle garantissent-ils l'intégrité des données transmises ?</t>
  </si>
  <si>
    <t>Documentation des mécanismes de validation des données</t>
  </si>
  <si>
    <t>Altération ou perte de données lors des transmissions</t>
  </si>
  <si>
    <t>S'assurer que les données transmises entre modules ne subissent pas de perte ou d'altération.</t>
  </si>
  <si>
    <t>Les données transmises entre modules subissent-elles une perte ou une altération ?</t>
  </si>
  <si>
    <t>Rapports de comparaison avant/après transmission</t>
  </si>
  <si>
    <t>Transmission incomplète ou corrompue des données entre modules</t>
  </si>
  <si>
    <t>Vérifier que des mécanismes de journalisation et de traçabilité des échanges existent.</t>
  </si>
  <si>
    <t>Des mécanismes de journalisation et de traçabilité des échanges existent-ils ?</t>
  </si>
  <si>
    <t>Logs de transaction</t>
  </si>
  <si>
    <t>Absence de journalisation empêchant la traçabilité des échanges</t>
  </si>
  <si>
    <t>Évaluer la gestion des erreurs en cas d'incohérence des données.</t>
  </si>
  <si>
    <t>La gestion des erreurs en cas d'incohérence des données est-elle efficace ?</t>
  </si>
  <si>
    <t>Registre des erreurs et incidents</t>
  </si>
  <si>
    <t>Données erronées non détectées à temps</t>
  </si>
  <si>
    <t>Confirmer que des tests réguliers sont réalisés pour garantir l’exactitude des transmissions.</t>
  </si>
  <si>
    <t>Des tests réguliers sont-ils réalisés pour garantir l’exactitude des transmissions ?</t>
  </si>
  <si>
    <t>Planning des tests</t>
  </si>
  <si>
    <t>Défauts non corrigés entraînant des décisions basées sur des informations incorrectes</t>
  </si>
  <si>
    <t>Fonction informatique</t>
  </si>
  <si>
    <t xml:space="preserve">S’assurer que les tâches relatives au développement et à 
l'exploitation de l'application sont bien suivies et documentées </t>
  </si>
  <si>
    <t>Vérifier l'existence d'une documentation détaillée pour le développement et l’exploitation.</t>
  </si>
  <si>
    <t>Existe-t-il une documentation détaillée pour le développement et l’exploitation ?</t>
  </si>
  <si>
    <t>Documentation technique de l’application</t>
  </si>
  <si>
    <t>Manque de documentation entraînant des difficultés de maintenance et d’exploitation</t>
  </si>
  <si>
    <t>S'assurer que les modifications et mises à jour sont bien suivies et validées.</t>
  </si>
  <si>
    <t>Les modifications et mises à jour sont-elles bien suivies et validées ?</t>
  </si>
  <si>
    <t>Registre des modifications</t>
  </si>
  <si>
    <t>Changements non maîtrisés pouvant générer des dysfonctionnements</t>
  </si>
  <si>
    <t>Confirmer que les rôles et responsabilités des intervenants sont définis et respectés.</t>
  </si>
  <si>
    <t>Les rôles et responsabilités des intervenants sont-ils définis et respectés ?</t>
  </si>
  <si>
    <t>Organigramme des responsabilités</t>
  </si>
  <si>
    <t>Absence de définition des responsabilités entraînant une mauvaise répartition des tâches</t>
  </si>
  <si>
    <t>Vérifier la mise en place d’un processus de gestion des incidents et des anomalies.</t>
  </si>
  <si>
    <t>Un processus de gestion des incidents et des anomalies est-il mis en place ?</t>
  </si>
  <si>
    <t>Procédure de gestion des incidents</t>
  </si>
  <si>
    <t>Non-traitement des incidents pouvant perturber l’activité</t>
  </si>
  <si>
    <t>S'assurer que des audits internes ou revues régulières sont réalisés pour garantir le suivi et la documentation.</t>
  </si>
  <si>
    <t>Des audits internes ou revues régulières sont-ils réalisés pour garantir le suivi et la documentation ?</t>
  </si>
  <si>
    <t>Plan d’audit interne</t>
  </si>
  <si>
    <t>Manque d’audits internes favorisant la persistance des failles et des erreurs</t>
  </si>
  <si>
    <t>Vérifier que la maintenance de la séparation des tâches est 
effective</t>
  </si>
  <si>
    <t>Les responsabilités des différents utilisateurs sont distinctes et clairement attribuées.</t>
  </si>
  <si>
    <t>Les responsabilités des utilisateurs sont-elles clairement définies ?</t>
  </si>
  <si>
    <t>Organigramme des responsabilités, Fiches de poste</t>
  </si>
  <si>
    <t>Confusion des rôles et responsabilités</t>
  </si>
  <si>
    <t>- Il existe un mécanisme de contrôle empêchant les conflits d’intérêt dans les tâches critiques.</t>
  </si>
  <si>
    <t>Un contrôle empêche-t-il les conflits d’intérêts ?</t>
  </si>
  <si>
    <t>Matrice de séparation des tâches, Rapport d’audit interne</t>
  </si>
  <si>
    <t>Risque de fraude interne</t>
  </si>
  <si>
    <t>- Les accès aux environnements de développement, test et production sont bien séparés.</t>
  </si>
  <si>
    <t>Les accès aux environnements sont-ils strictement séparés ?</t>
  </si>
  <si>
    <t>Politique de gestion des accès, Liste des utilisateurs autorisés</t>
  </si>
  <si>
    <t>Risque d’erreurs en production</t>
  </si>
  <si>
    <t>- Toute modification des droits est soumise à une validation formelle.</t>
  </si>
  <si>
    <t>Une validation formelle est-elle requise pour modifier les droits ?</t>
  </si>
  <si>
    <t>Procédure de gestion des accès, Journal des modifications</t>
  </si>
  <si>
    <t>Risque d’accès non autorisé</t>
  </si>
  <si>
    <t>- Un audit périodique des rôles et responsabilités est réalisé pour éviter les abus</t>
  </si>
  <si>
    <t>Un audit des rôles et responsabilités est-il réalisé régulièrement ?</t>
  </si>
  <si>
    <t>Rapport d’audit des rôles, Liste des accès autorisés</t>
  </si>
  <si>
    <t>Risque d’abus de privilèges</t>
  </si>
  <si>
    <t>Vérifier que les nouvelles versions (développement interne, 
progiciel) sont suivies</t>
  </si>
  <si>
    <t>Un registre des versions de l’application est tenu à jour.</t>
  </si>
  <si>
    <t>Un registre des versions est-il maintenu à jour ?</t>
  </si>
  <si>
    <t>Registre des versions, Plan de mise en production</t>
  </si>
  <si>
    <t>Risque de déploiement non maîtrisé</t>
  </si>
  <si>
    <t>- Chaque mise à jour fait l’objet d’une validation avant déploiement en production.</t>
  </si>
  <si>
    <t>Les mises à jour sont-elles validées avant leur déploiement ?</t>
  </si>
  <si>
    <t>Procédure de validation, PV de recette</t>
  </si>
  <si>
    <t>Risque d’introduction de bugs en production</t>
  </si>
  <si>
    <t>- Les tests de non-régression sont réalisés systématiquement avant la mise en service.</t>
  </si>
  <si>
    <t>Les tests de non-régression sont-ils effectués avant chaque mise en production ?</t>
  </si>
  <si>
    <t>Cahier de tests, Rapports de tests</t>
  </si>
  <si>
    <t>Risque de régression fonctionnelle</t>
  </si>
  <si>
    <t>- Une communication est faite aux utilisateurs sur les changements apportés par chaque version.</t>
  </si>
  <si>
    <t>Les utilisateurs sont-ils informés des changements après chaque mise à jour ?</t>
  </si>
  <si>
    <t>Notes de version, Emails de communication</t>
  </si>
  <si>
    <t>Mauvaise adoption des nouvelles fonctionnalités</t>
  </si>
  <si>
    <t>- Un mécanisme de suivi des anomalies post-déploiement est en place</t>
  </si>
  <si>
    <t>Existe-t-il un suivi des anomalies après déploiement ?</t>
  </si>
  <si>
    <t>Registre des anomalies, Plan d’actions correctives</t>
  </si>
  <si>
    <t>Risque d’anomalies non corrigées</t>
  </si>
  <si>
    <t>S’assurer que la documentation de l'application est effective</t>
  </si>
  <si>
    <t>Une documentation technique détaillant l’architecture et les fonctionnalités est disponible.</t>
  </si>
  <si>
    <t>Une documentation technique est-elle disponible ?</t>
  </si>
  <si>
    <t>Documentation technique, Schéma d’architecture</t>
  </si>
  <si>
    <t>Manque de compréhension des systèmes</t>
  </si>
  <si>
    <t>- Le guide utilisateur est mis à jour après chaque évolution majeure.</t>
  </si>
  <si>
    <t>Le guide utilisateur est-il mis à jour après chaque mise à jour ?</t>
  </si>
  <si>
    <t>Historique des mises à jour, Guide utilisateur</t>
  </si>
  <si>
    <t>- Les procédures de configuration et d’installation sont clairement définies.</t>
  </si>
  <si>
    <t>Les procédures de configuration et d’installation sont-elles documentées ?</t>
  </si>
  <si>
    <t>Manuel d’installation, Guide de configuration</t>
  </si>
  <si>
    <t>Risque d’erreur lors de l’installation</t>
  </si>
  <si>
    <t>- Les documents sont accessibles aux parties prenantes autorisées.</t>
  </si>
  <si>
    <t>L’accès à la documentation est-il restreint aux parties prenantes concernées ?</t>
  </si>
  <si>
    <t>Liste des accès documentaires, Registre des accès</t>
  </si>
  <si>
    <t>Risque de fuite d’informations sensibles</t>
  </si>
  <si>
    <t>- Un responsable est désigné pour assurer la mise à jour régulière de la documentation.</t>
  </si>
  <si>
    <t>Un responsable est-il désigné pour mettre à jour la documentation ?</t>
  </si>
  <si>
    <t>Liste des responsables, Plan de mise à jour documentaire</t>
  </si>
  <si>
    <t>Risque de documentation obsolète</t>
  </si>
  <si>
    <t xml:space="preserve">Vérifier que la gestion des incidents en général et les procédures 
d'urgence en particulier est bien documentée </t>
  </si>
  <si>
    <t>Un processus formalisé de gestion des incidents est défini et accessible.</t>
  </si>
  <si>
    <t>Existe-t-il un processus de gestion des incidents formalisé et accessible ?</t>
  </si>
  <si>
    <t>Plan de gestion des incidents, Procédure de signalement</t>
  </si>
  <si>
    <t>Risque de gestion inefficace des incidents</t>
  </si>
  <si>
    <t>- Les incidents sont enregistrés et suivis avec des actions correctives.</t>
  </si>
  <si>
    <t>Les incidents sont-ils enregistrés et font-ils l’objet d’un suivi ?</t>
  </si>
  <si>
    <t>Registre des incidents, Plan d’actions correctives</t>
  </si>
  <si>
    <t>Risque de répétition des incidents</t>
  </si>
  <si>
    <t>- Les utilisateurs savent comment signaler un incident grâce à une procédure claire.</t>
  </si>
  <si>
    <t>Une procédure claire de signalement d’incidents est-elle disponible pour les utilisateurs ?</t>
  </si>
  <si>
    <t>Manuel de gestion des incidents, Formulaire de signalement</t>
  </si>
  <si>
    <t>Mauvaise gestion des incidents</t>
  </si>
  <si>
    <t>- Un plan de gestion des urgences est disponible et testé régulièrement.</t>
  </si>
  <si>
    <t>Un plan de gestion des urgences est-il en place et testé régulièrement ?</t>
  </si>
  <si>
    <t>Plan de gestion des urgences, Rapports de tests</t>
  </si>
  <si>
    <t>Mauvaise réaction en cas de crise</t>
  </si>
  <si>
    <t>- Un rapport périodique des incidents est généré pour analyse et amélioration.</t>
  </si>
  <si>
    <t>Un rapport périodique des incidents est-il produit ?</t>
  </si>
  <si>
    <t>Registre des incidents, Rapport d’analyse des incidents</t>
  </si>
  <si>
    <t>Absence d’amélioration continue</t>
  </si>
  <si>
    <t>S’assurer de l’existence de la documentation d'exploitation</t>
  </si>
  <si>
    <t>Un manuel d’exploitation précisant les tâches quotidiennes et périodiques est disponible.</t>
  </si>
  <si>
    <t>Un manuel d’exploitation décrivant les tâches quotidiennes et périodiques est-il disponible ?</t>
  </si>
  <si>
    <t>Manuel d’exploitation, Procédure des opérations</t>
  </si>
  <si>
    <t>Risque d’erreur dans l’exploitation</t>
  </si>
  <si>
    <t>- Les procédures de démarrage, d’arrêt et de reprise en cas d’incident sont bien définies.</t>
  </si>
  <si>
    <t>Les procédures de démarrage, d’arrêt et de reprise sont-elles documentées ?</t>
  </si>
  <si>
    <t>Manuel des procédures, Guide de reprise d’activité</t>
  </si>
  <si>
    <t>Risque de perturbation prolongée</t>
  </si>
  <si>
    <t>- L’exploitation de l’application suit des consignes écrites et validées.</t>
  </si>
  <si>
    <t>Les consignes d’exploitation sont-elles bien définies et validées ?</t>
  </si>
  <si>
    <t>Guide d’exploitation, Procédures validées</t>
  </si>
  <si>
    <t>Risque d’exploitation non maîtrisée</t>
  </si>
  <si>
    <t>- Les intervenants techniques connaissent et appliquent ces procédures.</t>
  </si>
  <si>
    <t>Les intervenants techniques sont-ils formés aux procédures ?</t>
  </si>
  <si>
    <t>Plan de formation, Liste des formations suivies</t>
  </si>
  <si>
    <t>Risque d’erreurs d’exploitation</t>
  </si>
  <si>
    <t>- Un mécanisme de mise à jour de la documentation est en place.</t>
  </si>
  <si>
    <t>Existe-t-il un mécanisme de mise à jour de la documentation ?</t>
  </si>
  <si>
    <t>Procédure de mise à jour, Historique des révisions</t>
  </si>
  <si>
    <t>Risque d’informations obsolètes</t>
  </si>
  <si>
    <t>S’assurer que le niveau de service est effectué par l’analyse des 
tableaux de bord</t>
  </si>
  <si>
    <t>Des indicateurs de performance sont définis et suivis régulièrement.</t>
  </si>
  <si>
    <t>Les indicateurs de performance sont-ils définis et suivis ?</t>
  </si>
  <si>
    <t>Tableau de bord de performance, Rapport de suivi</t>
  </si>
  <si>
    <t>Manque de visibilité sur la performance</t>
  </si>
  <si>
    <t>- Les tableaux de bord sont mis à jour avec des données précises et fiables.</t>
  </si>
  <si>
    <t>Les tableaux de bord sont-ils régulièrement mis à jour ?</t>
  </si>
  <si>
    <t>Registre des mises à jour, Données de performance</t>
  </si>
  <si>
    <t>Mauvaise prise de décision</t>
  </si>
  <si>
    <t>- Les écarts par rapport aux objectifs de service sont identifiés et analysés.</t>
  </si>
  <si>
    <t>Les écarts de performance sont-ils identifiés et analysés ?</t>
  </si>
  <si>
    <t>Analyse des écarts, Plan de correction</t>
  </si>
  <si>
    <t>- Des mesures correctives sont mises en place en cas de non-respect des niveaux de service.</t>
  </si>
  <si>
    <t>Un plan de sauvegarde est-il défini et documenté ?</t>
  </si>
  <si>
    <t>Plan de sauvegarde, Procédures de restauration</t>
  </si>
  <si>
    <t>Perte de données en cas d’incident</t>
  </si>
  <si>
    <t>- La direction est informée périodiquement des performances de l’application.</t>
  </si>
  <si>
    <t>Les sauvegardes sont-elles réalisées selon un calendrier établi ?</t>
  </si>
  <si>
    <t>Journal des sauvegardes, Planification des tâches</t>
  </si>
  <si>
    <t>Risque de perte de données critiques</t>
  </si>
  <si>
    <t>Vérifier que les sauvegardes sont effectives</t>
  </si>
  <si>
    <t>Un plan de sauvegarde définissant la fréquence et le périmètre est documenté.</t>
  </si>
  <si>
    <t>Des tests de restauration sont-ils réalisés régulièrement ?</t>
  </si>
  <si>
    <t>Rapports de tests de restauration, Journal des opérations</t>
  </si>
  <si>
    <t>Risque de sauvegarde inutilisable</t>
  </si>
  <si>
    <t>- Les sauvegardes sont effectuées conformément au calendrier établi.</t>
  </si>
  <si>
    <t>Les sauvegardes sont-elles stockées en toute sécurité ?</t>
  </si>
  <si>
    <t>Registre des accès, Politique de sécurité des sauvegardes</t>
  </si>
  <si>
    <t>Risque de compromission des sauvegardes</t>
  </si>
  <si>
    <t>- Les tests de restauration sont réalisés régulièrement pour vérifier l’intégrité des sauvegardes.</t>
  </si>
  <si>
    <t>es sauvegardes sont stockées en toute sécurité et protégées contre les accès non autorisés</t>
  </si>
  <si>
    <t>Les sauvegardes sont-elles stockées de manière sécurisée ?</t>
  </si>
  <si>
    <t>Registre des accès aux sauvegardes, Politique de stockage sécurisé</t>
  </si>
  <si>
    <t>Un suivi des sauvegardes est assuré avec des journaux d’exécution consultables.</t>
  </si>
  <si>
    <t>Un suivi des sauvegardes est-il mis en place et documenté ?</t>
  </si>
  <si>
    <t>Journal d’exécution des sauvegardes, Plan de supervision des sauvegardes</t>
  </si>
  <si>
    <t>Risque de perte de données non détectée</t>
  </si>
  <si>
    <t xml:space="preserve">
Vérifier que les accès aux commandes système, aux 
bibliothèques et bases de données de production sont réglementés </t>
  </si>
  <si>
    <t>Existence de règles d'accès définies pour les commandes système et les ressources critiques</t>
  </si>
  <si>
    <t>Les technologies adoptées sont-elles en adéquation avec les objectifs stratégiques ?</t>
  </si>
  <si>
    <t>Plan stratégique SI, analyse des besoins</t>
  </si>
  <si>
    <t>Technologies non alignées avec les objectifs de l'organisation</t>
  </si>
  <si>
    <t>Mise en place d’une authentification forte pour les utilisateurs ayant accès aux bases de données de production</t>
  </si>
  <si>
    <t>Une authentification forte est-elle mise en place pour les utilisateurs ayant accès aux bases de données de production ?</t>
  </si>
  <si>
    <t>Politique de gestion des accès, architecture de sécurité</t>
  </si>
  <si>
    <t>Accès non sécurisé aux données de production, risque de compromission</t>
  </si>
  <si>
    <t>Contrôle régulier des accès afin de s’assurer que seuls les utilisateurs autorisés peuvent accéder aux ressources sensibles</t>
  </si>
  <si>
    <t>Les accès aux ressources sensibles sont-ils contrôlés régulièrement pour s’assurer que seuls les utilisateurs autorisés y ont accès ?</t>
  </si>
  <si>
    <t>Procédures de contrôle d'accès, journaux d'audit</t>
  </si>
  <si>
    <t>Accès non autorisés aux ressources sensibles, risque de fraude et d'erreurs</t>
  </si>
  <si>
    <t>Suivi de la gestion des privilèges d’accès pour garantir que les permissions sont attribuées en fonction des rôles et responsabilités</t>
  </si>
  <si>
    <t>La gestion des privilèges d’accès est-elle suivie afin de garantir que les permissions attribuées correspondent aux rôles et responsabilités des utilisateurs ?</t>
  </si>
  <si>
    <t>Politique de gestion des accès, matrice des rôles et responsabilités</t>
  </si>
  <si>
    <t>Attribution de privilèges inappropriés, risque d'accès excessif</t>
  </si>
  <si>
    <t>Révision périodique des accès pour s'assurer qu'aucune personne non autorisée ne bénéficie d'un accès aux systèmes critiques</t>
  </si>
  <si>
    <t>Une révision périodique des accès est-elle effectuée pour éviter que des personnes non autorisées bénéficient d’un accès aux systèmes critiques ?</t>
  </si>
  <si>
    <t>Procédures de revue des accès, rapports de revue</t>
  </si>
  <si>
    <t>Maintien d'accès non nécessaires, risque d'utilisation abusive des systèmes</t>
  </si>
  <si>
    <t>Adéquation de l'application aux besoins</t>
  </si>
  <si>
    <t>Vérifier qu’un Schéma-directeur du système d’information 
existe et est à jour</t>
  </si>
  <si>
    <t>Vérification de l’existence d’un schéma directeur du système d’information qui définit clairement les objectifs et les orientations du SI</t>
  </si>
  <si>
    <t>Un schéma directeur du système d’information existe-t-il et définit-il clairement les objectifs et les orientations du SI ?</t>
  </si>
  <si>
    <t>Schéma directeur du système d’information</t>
  </si>
  <si>
    <t>Schéma directeur non conforme aux objectifs stratégiques.</t>
  </si>
  <si>
    <t>Évaluation de la mise à jour régulière du schéma directeur pour tenir compte des évolutions technologiques et des besoins de l’entreprise</t>
  </si>
  <si>
    <t>Le schéma directeur est-il mis à jour régulièrement pour tenir compte des évolutions technologiques et des besoins de l’entreprise ?</t>
  </si>
  <si>
    <t>Schéma directeur obsolète ou non mis à jour régulièrement.</t>
  </si>
  <si>
    <t>Contrôle de la validation du schéma directeur par les parties prenantes concernées, notamment la direction et les responsables de l’IT</t>
  </si>
  <si>
    <t>Le schéma directeur est-il validé par les parties prenantes concernées, notamment la direction et les responsables de l’IT ?</t>
  </si>
  <si>
    <t>Non-validation du schéma directeur par les parties prenantes clés.</t>
  </si>
  <si>
    <t>Vérification de l’alignement du schéma directeur avec la stratégie globale de l’entreprise et ses objectifs à long terme</t>
  </si>
  <si>
    <t>Le schéma directeur est-il aligné avec la stratégie globale de l’entreprise et ses objectifs à long terme ?</t>
  </si>
  <si>
    <t>Alignement stratégique insuffisant entre le schéma directeur et la stratégie de l'entreprise.</t>
  </si>
  <si>
    <t>Suivi de la documentation associée au schéma directeur pour s'assurer qu’elle est complète et facilement accessible pour les audits et les évaluations internes</t>
  </si>
  <si>
    <t>La documentation associée au schéma directeur est-elle complète et facilement accessible pour les audits et les évaluations internes ?</t>
  </si>
  <si>
    <t>Manuel des procédures de la DSI</t>
  </si>
  <si>
    <t>Documentation inaccessible ou incomplète pour les audits et évaluations internes.</t>
  </si>
  <si>
    <t>S’assurer qu’une évaluation de l’alignement stratégique de 
l’application avec les orientation de l’entreprise a été réalisée</t>
  </si>
  <si>
    <t>Vérification de l’existence d’une analyse formelle de l’alignement stratégique de l’application avec les objectifs de l’entreprise</t>
  </si>
  <si>
    <t>Une analyse formelle de l’alignement stratégique de l’application avec les objectifs de l’entreprise existe-t-elle ?</t>
  </si>
  <si>
    <t>Analyse stratégique non formalisée.</t>
  </si>
  <si>
    <t>Évaluation de la prise en compte des besoins actuels et futurs de l’entreprise dans l’évaluation de l’alignement stratégique</t>
  </si>
  <si>
    <t>L’évaluation de l’alignement stratégique prend-elle en compte les besoins actuels et futurs de l’entreprise ?</t>
  </si>
  <si>
    <t>Évaluation de l’alignement stratégique négligeant les besoins futurs.</t>
  </si>
  <si>
    <t>Contrôle de la participation des parties prenantes clés de l’entreprise dans le processus d’évaluation de l’alignement stratégique</t>
  </si>
  <si>
    <t>Les parties prenantes clés de l’entreprise participent-elles au processus d’évaluation de l’alignement stratégique ?</t>
  </si>
  <si>
    <t>Comptes rendus des comités ou groupes de travail</t>
  </si>
  <si>
    <t>Manque d'implication des parties prenantes clés dans l’évaluation de l’alignement stratégique.</t>
  </si>
  <si>
    <t>Vérification de l’intégration des résultats de l’évaluation dans la planification et l’amélioration continue des systèmes</t>
  </si>
  <si>
    <t>Les résultats de l’évaluation de l’alignement stratégique sont-ils intégrés dans la planification et l’amélioration continue des systèmes ?</t>
  </si>
  <si>
    <t>Résultats de l’évaluation stratégique non intégrés dans l’amélioration continue des systèmes.</t>
  </si>
  <si>
    <t>Analyse de l’impact de l’alignement stratégique sur les décisions prises concernant l’évolution de l’application et de ses fonctionnalités</t>
  </si>
  <si>
    <t>L’alignement stratégique influence-t-il les décisions prises concernant l’évolution de l’application et de ses fonctionnalités ?</t>
  </si>
  <si>
    <t>Absence de prise en compte de l’alignement stratégique dans les décisions d’évolution des applications.</t>
  </si>
  <si>
    <t>S’assurer que la définition des spécifications ou les critères de 
choix de la solution a été clairement établie</t>
  </si>
  <si>
    <t>Vérification de la clarté des spécifications fonctionnelles et techniques définissant les critères de choix de la solution</t>
  </si>
  <si>
    <t>Les spécifications fonctionnelles et techniques définissant les critères de choix de la solution sont-elles clairement établies ?</t>
  </si>
  <si>
    <t>Cahier des charges</t>
  </si>
  <si>
    <t>Spécifications fonctionnelles et techniques peu claires ou insuffisantes.</t>
  </si>
  <si>
    <t>Évaluation de la rigueur du processus de sélection de la solution en fonction des critères de performance, de coût et d’adéquation avec les besoins de l’entreprise</t>
  </si>
  <si>
    <t>Le processus de sélection de la solution est-il rigoureux et basé sur des critères de performance, de coût et d’adéquation avec les besoins de l’entreprise ?</t>
  </si>
  <si>
    <t>Processus de sélection de la solution non rigoureux, basé sur des critères imprécis.</t>
  </si>
  <si>
    <t>Contrôle de la validation des spécifications et des critères par les parties prenantes concernées, incluant les utilisateurs finaux et les équipes techniques</t>
  </si>
  <si>
    <t>Les spécifications et critères de sélection sont-ils validés par les parties prenantes concernées, incluant les utilisateurs finaux et les équipes techniques ?</t>
  </si>
  <si>
    <t>Absence de validation des spécifications et critères de sélection par les parties prenantes.</t>
  </si>
  <si>
    <t>Vérification de la prise en compte de l’analyse des risques et des impacts dans la définition des spécifications et des critères de sélection</t>
  </si>
  <si>
    <t>L’analyse des risques et des impacts a-t-elle été prise en compte dans la définition des spécifications et des critères de sélection ?</t>
  </si>
  <si>
    <t>Analyse des risques</t>
  </si>
  <si>
    <t>Analyse des risques négligée dans la définition des critères de sélection.</t>
  </si>
  <si>
    <t>Examen de la traçabilité et de la transparence dans le processus de décision concernant le choix de la solution</t>
  </si>
  <si>
    <t>Le processus de décision concernant le choix de la solution est-il traçable et transparent ?</t>
  </si>
  <si>
    <t>Processus de décision opaque ou difficilement traçable.</t>
  </si>
  <si>
    <t>Vérifier que les tâches des utilisateurs dans l’application sont 
clairement définies</t>
  </si>
  <si>
    <t>Vérification de la documentation des tâches des utilisateurs dans l’application, avec une description claire de leurs rôles et responsabilités</t>
  </si>
  <si>
    <t>La documentation des tâches des utilisateurs dans l’application décrit-elle clairement leurs rôles et responsabilités ?</t>
  </si>
  <si>
    <t>Manuel des utilisateurs</t>
  </si>
  <si>
    <t>Documentation des tâches des utilisateurs insuffisante ou imprécise.</t>
  </si>
  <si>
    <t>Évaluation de l’adéquation des tâches définies avec les compétences et les besoins réels des utilisateurs dans l’application</t>
  </si>
  <si>
    <t>Les tâches définies dans l’application sont-elles en adéquation avec les compétences et les besoins réels des utilisateurs ?</t>
  </si>
  <si>
    <t>Inadéquation des tâches des utilisateurs avec leurs compétences et besoins.</t>
  </si>
  <si>
    <t>Contrôle de la communication et de la formation des utilisateurs concernant leurs tâches dans l’application</t>
  </si>
  <si>
    <t>Une communication et une formation adaptées sont-elles mises en place pour informer les utilisateurs de leurs tâches dans l’application ?</t>
  </si>
  <si>
    <t>Plan de formation</t>
  </si>
  <si>
    <t>Absence de formation et de communication adaptées aux utilisateurs.</t>
  </si>
  <si>
    <t>Suivi de la mise à jour des tâches des utilisateurs en fonction de l’évolution des processus métier et des fonctionnalités de l’application</t>
  </si>
  <si>
    <t>Les tâches des utilisateurs sont-elles mises à jour en fonction de l’évolution des processus métier et des fonctionnalités de l’application ?</t>
  </si>
  <si>
    <t>Mise à jour irrégulière des tâches des utilisateurs en fonction de l'évolution des processus métier.</t>
  </si>
  <si>
    <t>Analyse de la gestion des accès et des permissions des utilisateurs pour s’assurer qu’ils ont bien les droits nécessaires pour accomplir leurs tâches efficacement</t>
  </si>
  <si>
    <t>La gestion des accès et des permissions des utilisateurs garantit-elle qu’ils disposent des droits nécessaires pour accomplir leurs tâches efficacement ?</t>
  </si>
  <si>
    <t>Matrice des autorisations/droits d’accès</t>
  </si>
  <si>
    <t>Gestion des accès non optimale, entraînant des droits excessifs ou insuffisants pour certains utilisateurs.</t>
  </si>
  <si>
    <t>Vérifier que des systèmes parallèles sont maintenus en activité</t>
  </si>
  <si>
    <t>Vérification de l’existence de systèmes parallèles actifs qui assurent la continuité des services en cas de défaillance d’un système principal</t>
  </si>
  <si>
    <t>Des systèmes parallèles actifs existent-ils pour assurer la continuité des services en cas de défaillance d’un système principal ?</t>
  </si>
  <si>
    <t>Plan de continuité des activités</t>
  </si>
  <si>
    <t>Systèmes parallèles inefficaces ou inexistants pour garantir la continuité des services.</t>
  </si>
  <si>
    <t>Évaluation de l’efficacité des systèmes parallèles dans la gestion des risques liés à la disponibilité des services</t>
  </si>
  <si>
    <t>Les systèmes parallèles sont-ils efficaces dans la gestion des risques liés à la disponibilité des services ?</t>
  </si>
  <si>
    <t>Non-efficacité des systèmes parallèles dans la gestion des risques liés à la disponibilité.</t>
  </si>
  <si>
    <t>Contrôle de l’intégration des systèmes parallèles dans la stratégie globale de continuité des activités et de reprise après sinistre</t>
  </si>
  <si>
    <t>L’intégration des systèmes parallèles fait-elle partie de la stratégie globale de continuité des activités et de reprise après sinistre ?</t>
  </si>
  <si>
    <t>Absence d’intégration des systèmes parallèles dans la stratégie de continuité des activités.</t>
  </si>
  <si>
    <t>Vérification de la mise à jour régulière des systèmes parallèles pour garantir qu’ils sont capables de prendre en charge les opérations critiques</t>
  </si>
  <si>
    <t>Les systèmes parallèles sont-ils mis à jour régulièrement pour garantir leur capacité à prendre en charge les opérations critiques ?</t>
  </si>
  <si>
    <t>Systèmes parallèles non mis à jour pour garantir la prise en charge des opérations critiques.</t>
  </si>
  <si>
    <t>Examen des tests effectués pour s’assurer que les systèmes parallèles fonctionnent correctement et qu’ils répondent aux exigences de disponibilité et de performance</t>
  </si>
  <si>
    <t>Des tests sont-ils effectués pour s’assurer que les systèmes parallèles fonctionnent correctement et répondent aux exigences de disponibilité et de performance ?</t>
  </si>
  <si>
    <t>Plan de reprise des activités</t>
  </si>
  <si>
    <t>Absence de tests réguliers pour s’assurer de l’efficacité des systèmes parallèles.</t>
  </si>
  <si>
    <t>S’assurer qu’une évaluation de l’évaluation de l’adéquation aux 
besoins des utilisateurs a été réalisée</t>
  </si>
  <si>
    <t>Vérification de l’existence d’une évaluation formelle des besoins des utilisateurs dans le cadre du développement ou de la mise à jour de l’application</t>
  </si>
  <si>
    <t>Une évaluation formelle des besoins des utilisateurs est-elle réalisée lors du développement ou de la mise à jour de l’application ?</t>
  </si>
  <si>
    <t>Enquête de satisfaction des utilisateurs</t>
  </si>
  <si>
    <t>Manque d’évaluation formelle des besoins des utilisateurs dans le développement ou la mise à jour de l’application.</t>
  </si>
  <si>
    <t>Évaluation de la prise en compte des retours des utilisateurs dans le processus d’amélioration continue de l’application</t>
  </si>
  <si>
    <t>Les retours des utilisateurs sont-ils pris en compte dans le processus d’amélioration continue de l’application ?</t>
  </si>
  <si>
    <t>Retours des utilisateurs négligés dans le processus d’amélioration continue.</t>
  </si>
  <si>
    <t>Contrôle de la fréquence de l’évaluation pour s’assurer qu’elle est réalisée régulièrement, en tenant compte des évolutions des besoins des utilisateurs</t>
  </si>
  <si>
    <t>L’évaluation des besoins des utilisateurs est-elle effectuée régulièrement pour tenir compte de leurs évolutions ?</t>
  </si>
  <si>
    <t>Évaluation des besoins des utilisateurs irrégulière, ne prenant pas en compte leurs évolutions.</t>
  </si>
  <si>
    <t>Vérification de l’implication des utilisateurs finaux dans le processus d’évaluation, pour garantir que leurs besoins sont bien compris et pris en compte</t>
  </si>
  <si>
    <t>Les utilisateurs finaux sont-ils impliqués dans le processus d’évaluation pour garantir que leurs besoins sont bien compris et pris en compte ?</t>
  </si>
  <si>
    <t>Non-implication des utilisateurs finaux dans le processus d’évaluation.</t>
  </si>
  <si>
    <t>Analyse des actions correctives mises en place à la suite de l’évaluation de l’adéquation pour améliorer la solution en fonction des besoins exprimés par les utilisateurs</t>
  </si>
  <si>
    <t>Des actions correctives sont-elles mises en place à la suite de l’évaluation pour améliorer la solution en fonction des besoins exprimés par les utilisateurs ?</t>
  </si>
  <si>
    <t>Absence d’actions correctives suite à l’évaluation des besoins des utilisateurs.</t>
  </si>
  <si>
    <t xml:space="preserve">Performance et de la rentabilité </t>
  </si>
  <si>
    <t xml:space="preserve">Vérifier qu’une évaluation de la rentabilité existe </t>
  </si>
  <si>
    <t>Analyse des indicateurs financiers utilisés pour mesurer la rentabilité.</t>
  </si>
  <si>
    <t>Les indicateurs financiers sont-ils efficaces pour évaluer la rentabilité ?</t>
  </si>
  <si>
    <t>Rapport financier annuel.</t>
  </si>
  <si>
    <t>présentation inexacte des données financières.</t>
  </si>
  <si>
    <t>Comparaison des coûts engagés et des bénéfices générés.</t>
  </si>
  <si>
    <t>Les coûts engagés sont-ils équilibrés par rapport aux bénéfices obtenus ?</t>
  </si>
  <si>
    <t>Analyse coût-bénéfice.</t>
  </si>
  <si>
    <t>sous-estimation des coûts ou des bénéfices.</t>
  </si>
  <si>
    <t>Documentation des hypothèses utilisées pour l’évaluation.</t>
  </si>
  <si>
    <t>Les hypothèses d’évaluation sont-elles correctement documentées ?</t>
  </si>
  <si>
    <t>Document d’hypothèses validées</t>
  </si>
  <si>
    <t>validation d’hypothèses erronées.</t>
  </si>
  <si>
    <t>Validation des calculs de rentabilité par une instance compétente.</t>
  </si>
  <si>
    <t>Les impacts économiques sur l'organisation sont-ils clairement identifiés ?</t>
  </si>
  <si>
    <t>Étude d’impact économique.</t>
  </si>
  <si>
    <t>Risque d'évaluations économiques irréalistes.</t>
  </si>
  <si>
    <t>Identification des impacts économiques sur les activités de l’organisation.</t>
  </si>
  <si>
    <t>Les prévisions de coûts ont-elles été validées par les parties prenantes ?</t>
  </si>
  <si>
    <t>Approbation des prévisions budgétaires.</t>
  </si>
  <si>
    <t>dépassement budgétaire non anticipé</t>
  </si>
  <si>
    <t xml:space="preserve">S’assurer qu’une intégration des coûts de déploiement a été 
réalisée </t>
  </si>
  <si>
    <t>Inclusion des coûts de déploiement dans le budget global.</t>
  </si>
  <si>
    <t>Les coûts de déploiement sont-ils inclus dans le budget global du projet ?</t>
  </si>
  <si>
    <t>Budget global du projet.</t>
  </si>
  <si>
    <t>mauvaise allocation des ressources financières.</t>
  </si>
  <si>
    <t>Répartition claire des coûts directs et indirects du projet.</t>
  </si>
  <si>
    <t>La répartition des coûts directs et indirects est-elle transparente ?</t>
  </si>
  <si>
    <t>Tableau des coûts directs et indirects.</t>
  </si>
  <si>
    <t>coûts indirects mal identifiés.</t>
  </si>
  <si>
    <t>Documentation des dépenses engagées durant le déploiement.</t>
  </si>
  <si>
    <t>Les dépenses liées au déploiement sont-elles entièrement documentées ?</t>
  </si>
  <si>
    <t>Journal détaillé des dépenses.</t>
  </si>
  <si>
    <t>non-transparence dans les dépenses enregistrées.</t>
  </si>
  <si>
    <t>Validation des prévisions de coûts avec la direction.</t>
  </si>
  <si>
    <t>Les écarts entre coûts prévus et réels sont-ils correctement suivis ?</t>
  </si>
  <si>
    <t>Rapport de suivi des coûts prévus et réels.</t>
  </si>
  <si>
    <t>divergence non justifiée entre coûts prévus et réels.</t>
  </si>
  <si>
    <t>Suivi des écarts entre les coûts prévus et réels.</t>
  </si>
  <si>
    <t>6. Les validations financières du projet respectent-elles les estimations initiales ?</t>
  </si>
  <si>
    <t>Dossier de validation financière</t>
  </si>
  <si>
    <t>non-conformité des validations aux règles établies.</t>
  </si>
  <si>
    <t>Vérifier que les délais de mise en œuvre de l’application ont été 
pris en compte</t>
  </si>
  <si>
    <t>Élaboration d’un calendrier détaillé pour chaque étape du projet.</t>
  </si>
  <si>
    <t>Le projet suit-il un calendrier détaillé et validé par les parties prenantes ?</t>
  </si>
  <si>
    <t>Chronogramme validé.</t>
  </si>
  <si>
    <t>non-respect des échéances planifiées.</t>
  </si>
  <si>
    <t>Documentation des délais fixés pour la mise en œuvre de l’application.</t>
  </si>
  <si>
    <t>Les écarts entre délais prévus et réels sont-ils mesurés systématiquement ?</t>
  </si>
  <si>
    <t>Suivi des écarts entre délais prévus et réalisés.</t>
  </si>
  <si>
    <t>retards non gérés efficacement</t>
  </si>
  <si>
    <t>Suivi des écarts entre les délais planifiés et les délais réels.</t>
  </si>
  <si>
    <t>Les risques liés aux retards sont-ils identifiés et traités efficacement ?</t>
  </si>
  <si>
    <t>Plan de gestion des risques liés aux délais.</t>
  </si>
  <si>
    <t>absence de stratégies d’atténuation adaptées</t>
  </si>
  <si>
    <t>Identification des risques liés aux retards dans la mise en œuvre.</t>
  </si>
  <si>
    <t>Les délais de mise en œuvre garantissent-ils l'atteinte des objectifs ?</t>
  </si>
  <si>
    <t>Plan de mise en œuvre.</t>
  </si>
  <si>
    <t>non-coordination des tâches prévues.</t>
  </si>
  <si>
    <t>Validation du respect des délais par les parties prenantes.</t>
  </si>
  <si>
    <t>Les délais ont-ils été validés et ajustés si nécessaire ?</t>
  </si>
  <si>
    <t>Document d’ajustement des délais.</t>
  </si>
  <si>
    <t>ajustements fréquents déstabilisant les équipes.</t>
  </si>
  <si>
    <t>S’assurer qu’un bilan post-projet a été réalisé</t>
  </si>
  <si>
    <t>Documentation des résultats obtenus comparés aux objectifs initiaux.</t>
  </si>
  <si>
    <t>Les résultats obtenus sont-ils analysés par rapport aux objectifs initiaux ?</t>
  </si>
  <si>
    <t>Analyse comparative des résultats.</t>
  </si>
  <si>
    <t>conclusions basées sur des données incohérentes.</t>
  </si>
  <si>
    <t>Identification des succès et des échecs rencontrés durant le projet.</t>
  </si>
  <si>
    <t>Les succès et échecs du projet sont-ils clairement identifiés et documentés ?</t>
  </si>
  <si>
    <t>Rapport d’évaluation du projet.</t>
  </si>
  <si>
    <t>analyse partielle ou biaisée du projet.</t>
  </si>
  <si>
    <t>Analyse des leçons apprises pour améliorer les futurs projets.</t>
  </si>
  <si>
    <t>Les leçons apprises sont-elles utilisées pour améliorer les futurs projets ?</t>
  </si>
  <si>
    <t>Synthèse des enseignements tirés.</t>
  </si>
  <si>
    <t>non-utilisation des leçons apprises dans les projets futurs.</t>
  </si>
  <si>
    <t>Évaluation de l’impact organisationnel et financier du projet.</t>
  </si>
  <si>
    <t>Les impacts organisationnels et financiers du projet sont-ils évalués ?</t>
  </si>
  <si>
    <t>Évaluation des impacts organisationnels.</t>
  </si>
  <si>
    <t>sous-estimation des conséquences négatives.</t>
  </si>
  <si>
    <t>Partage des conclusions du bilan avec les équipes concernées</t>
  </si>
  <si>
    <t>Les conclusions du bilan sont-elles partagées avec toutes les parties concernées ?</t>
  </si>
  <si>
    <t>Rapport de bilan final.</t>
  </si>
  <si>
    <t>objectifs mal définis ou non atteints.</t>
  </si>
  <si>
    <t xml:space="preserve">Vérifier que des améliorations non quantifiables ont été pris en 
compte </t>
  </si>
  <si>
    <t>Identification des avantages qualitatifs apportés par le projet.</t>
  </si>
  <si>
    <t>Les avantages qualitatifs du projet sont-ils clairement documentés ?</t>
  </si>
  <si>
    <t>Rapport sur les bénéfices qualitatifs.</t>
  </si>
  <si>
    <t>surestimation ou omission des bénéfices immatériels.</t>
  </si>
  <si>
    <t>Évaluation de l’impact sur la satisfaction des utilisateurs ou des clients</t>
  </si>
  <si>
    <t>Les impacts sur la satisfaction des utilisateurs ou clients sont-ils mesurés ?</t>
  </si>
  <si>
    <t>Résultats d’enquêtes de satisfaction.</t>
  </si>
  <si>
    <t>données biaisées ou peu représentatives.</t>
  </si>
  <si>
    <t>Documentation des innovations ou améliorations organisationnelles mises en œuvre</t>
  </si>
  <si>
    <t>Les innovations organisationnelles issues du projet sont-elles identifiées ?</t>
  </si>
  <si>
    <t>Rapport d’innovation organisationnelle détaillé.</t>
  </si>
  <si>
    <t>ne pas refléter les innovations pertinentes ou réalistes</t>
  </si>
  <si>
    <t>Analyse des bénéfices immatériels liés à l’application du projet.</t>
  </si>
  <si>
    <t>Les bénéfices immatériels du projet sont-ils pris en compte dans l'évaluation globale ?</t>
  </si>
  <si>
    <t>Analyse des bénéfices immatériels.</t>
  </si>
  <si>
    <t>biais dans la prise en compte des avantages non quantifiables.</t>
  </si>
  <si>
    <t>Validation des améliorations non quantifiables par les parties prenantes.</t>
  </si>
  <si>
    <t>Les parties prenantes valident-elles les améliorations non quantifiables apportées par le projet ?</t>
  </si>
  <si>
    <t xml:space="preserve"> Compte-rendu de validation des parties prenantes.</t>
  </si>
  <si>
    <t>validation insuffisante ou non représentative.</t>
  </si>
  <si>
    <t>Vérifier que les processus métiers ont été pris en compte</t>
  </si>
  <si>
    <t>Identification des processus métiers critiques dans la stratégie organisationnelle.</t>
  </si>
  <si>
    <t>Les processus métiers critiques sont-ils intégrés dans la stratégie organisationnelle ?</t>
  </si>
  <si>
    <t>Diagrammes de processus métiers</t>
  </si>
  <si>
    <t>incohérences entre les processus théoriques et réels.</t>
  </si>
  <si>
    <t>Cohérence entre les processus métiers et les objectifs opérationnels.</t>
  </si>
  <si>
    <t>Les processus métiers sont-ils alignés sur les objectifs opérationnels définis ?</t>
  </si>
  <si>
    <t>Tableaux de bord de suivi des processus.</t>
  </si>
  <si>
    <t>données incorrectes ou incomplètes.</t>
  </si>
  <si>
    <t>Mise à jour des processus métiers pour répondre aux besoins actuels.</t>
  </si>
  <si>
    <t>Les flux d’information associés aux processus métiers sont-ils documentés avec précision ?</t>
  </si>
  <si>
    <t>Cartographie des flux d'information.</t>
  </si>
  <si>
    <t>flux critiques non pris en compte.</t>
  </si>
  <si>
    <t>Documentation des flux d’information associés aux processus métiers.</t>
  </si>
  <si>
    <t>Les processus métiers sont-ils régulièrement mis à jour pour répondre aux évolutions des besoins ?</t>
  </si>
  <si>
    <t>Historique des modifications des processus métiers.</t>
  </si>
  <si>
    <t>perte d’information sur les ajustements passés</t>
  </si>
  <si>
    <t>Vérification de l’impact des processus métiers sur l’efficacité globale de l’organisation.</t>
  </si>
  <si>
    <t>Les impacts des processus métiers sur l’efficacité globale sont-ils correctement évalués ?</t>
  </si>
  <si>
    <t>Étude d'impact organisationnel.</t>
  </si>
  <si>
    <t>mauvaise anticipation des impacts négatifs.</t>
  </si>
  <si>
    <t>S’assurer que les traitements ont été pris en compte</t>
  </si>
  <si>
    <t>Identification et classification des différents traitements opérationnels</t>
  </si>
  <si>
    <t>Les différents traitements opérationnels sont-ils identifiés et classifiés de manière exhaustive ?</t>
  </si>
  <si>
    <t>Catalogue des traitements identifiés.</t>
  </si>
  <si>
    <t>omission de traitements critiques.</t>
  </si>
  <si>
    <t>Documentation des spécifications des traitements et de leurs interactions</t>
  </si>
  <si>
    <t>Les spécifications des traitements et leurs interactions sont-elles clairement documentées ?</t>
  </si>
  <si>
    <t>Fiches techniques ou cahiers des charges.</t>
  </si>
  <si>
    <t>spécifications non conformes aux besoins</t>
  </si>
  <si>
    <t>Validation des traitements par rapport aux normes et réglementations applicables</t>
  </si>
  <si>
    <t>Les traitements respectent-ils les normes et réglementations en vigueur ?</t>
  </si>
  <si>
    <t>Rapports d'audits réglementaires.</t>
  </si>
  <si>
    <t>non-conformité détectée mais non corrigée.</t>
  </si>
  <si>
    <t>Analyse des performances des traitements pour garantir leur efficacité</t>
  </si>
  <si>
    <t>Les performances des traitements sont-elles régulièrement analysées pour garantir leur efficacité ?</t>
  </si>
  <si>
    <t>Tableaux de performances des traitements.</t>
  </si>
  <si>
    <t>’indicateurs mal interprétés ou faussés.</t>
  </si>
  <si>
    <t>Mise en place de mécanismes de suivi et de contrôle des traitements</t>
  </si>
  <si>
    <t>Des mécanismes de suivi et de contrôle des traitements ont-ils été mis en place ?</t>
  </si>
  <si>
    <t>Procédures ou outils de suivi des traitements.</t>
  </si>
  <si>
    <t>utilisation incohérente des outils de suivi.</t>
  </si>
  <si>
    <t>Vérifier que l’architecture technique est prise en compte</t>
  </si>
  <si>
    <t>Documentation des composants de l'architecture technique et de leur interopérabilité.</t>
  </si>
  <si>
    <t>Les composants de l’architecture technique sont-ils bien documentés ?</t>
  </si>
  <si>
    <t>Schéma d'architecture technique.</t>
  </si>
  <si>
    <t>d’erreurs dans la représentation des composants.</t>
  </si>
  <si>
    <t>Conformité de l'architecture technique aux standards industriels.</t>
  </si>
  <si>
    <t>L’architecture technique respecte-t-elle les standards industriels ?</t>
  </si>
  <si>
    <t>Liste des normes industrielles appliquées.</t>
  </si>
  <si>
    <t>non-respect de normes critiques.</t>
  </si>
  <si>
    <t>Validation de la capacité de l'architecture technique à répondre aux exigences métiers.</t>
  </si>
  <si>
    <t>L’architecture peut-elle répondre efficacement aux besoins métiers ?</t>
  </si>
  <si>
    <t>Étude de faisabilité technique.</t>
  </si>
  <si>
    <t>évaluer incorrectement la viabilité du projet.</t>
  </si>
  <si>
    <t>Évaluation de la résilience et de la sécurité de l'architecture technique</t>
  </si>
  <si>
    <t>La sécurité et la résilience de l’architecture sont-elles évaluées régulièrement ?</t>
  </si>
  <si>
    <t>Rapports d'évaluation de la sécurité et des tests de résilience.</t>
  </si>
  <si>
    <t>menaces non détectées malgré les tests.</t>
  </si>
  <si>
    <t>Mise à jour de l'architecture pour intégrer des technologies innovantes.</t>
  </si>
  <si>
    <t>L’architecture est-elle mise à jour pour intégrer des technologies innovantes ?</t>
  </si>
  <si>
    <t>Historique des modifications techniques.</t>
  </si>
  <si>
    <t>ne pas retracer les ajustements critiques.</t>
  </si>
  <si>
    <t>S’assurer que les outils de mesure de la performance et les 
tableaux de bord sont disponibles</t>
  </si>
  <si>
    <t>Existence d’outils permettant de mesurer efficacement la performance opérationnelle.</t>
  </si>
  <si>
    <t>Les outils permettent-ils une mesure efficace des performances ?</t>
  </si>
  <si>
    <t>Liste des outils utilisés pour mesurer la performance.</t>
  </si>
  <si>
    <t>outils non adaptés ou mal configurés.</t>
  </si>
  <si>
    <t>Développement de tableaux de bord synthétiques et faciles à exploiter.</t>
  </si>
  <si>
    <t>Les tableaux de bord sont-ils synthétiques et exploitables par les parties prenantes ?</t>
  </si>
  <si>
    <t>Modèles de tableaux de bord générés.</t>
  </si>
  <si>
    <t>onception peu claire ou de surcharge d’informations.</t>
  </si>
  <si>
    <t>Mise à jour régulière des outils de mesure pour refléter les besoins en données actuels</t>
  </si>
  <si>
    <t>Les outils de mesure sont-ils régulièrement mis à jour pour répondre aux besoins actuels ?</t>
  </si>
  <si>
    <t>Historique des révisions des tableaux de bord.</t>
  </si>
  <si>
    <t>perte d’informations pertinentes sur les versions passées.</t>
  </si>
  <si>
    <t>Conformité des outils et tableaux de bord aux standards de gestion.</t>
  </si>
  <si>
    <t>Les tableaux de bord respectent-ils les standards de gestion et de visualisation ?</t>
  </si>
  <si>
    <t>Documentation des standards appliqués aux tableaux de bord.</t>
  </si>
  <si>
    <t>standards obsolètes ou non appliqués.</t>
  </si>
  <si>
    <t>Intégration des outils dans les processus décisionnels pour améliorer les performances.</t>
  </si>
  <si>
    <t>Les outils et tableaux de bord aident-ils à améliorer la prise de décision ?</t>
  </si>
  <si>
    <t>Études de cas ou exemples montrant l'impact des tableaux de bord sur les décisions.</t>
  </si>
  <si>
    <t>études peu représentatives ou incomplètes.</t>
  </si>
  <si>
    <t xml:space="preserve">Evolutivité/pérennité de l'application </t>
  </si>
  <si>
    <t>Vérifier que les technologies utilisées sont conformes aux 
aspirations de l’entité</t>
  </si>
  <si>
    <t>Les technologies adoptées répondent aux besoins stratégiques de l’organisation.</t>
  </si>
  <si>
    <t>Les technologies adoptées sont-elles alignées avec la stratégie de l’organisation ?</t>
  </si>
  <si>
    <t>Stratégie IT, Étude des besoins technologiques</t>
  </si>
  <si>
    <t>Risque de non-alignement avec les objectifs stratégiques</t>
  </si>
  <si>
    <t>Un processus de veille technologique est-il mis en place ?</t>
  </si>
  <si>
    <t>Rapports de veille technologique, Études de marché</t>
  </si>
  <si>
    <t>Risque d’obsolescence technologique</t>
  </si>
  <si>
    <t>La direction informatique valide-t-elle les choix technologiques ?</t>
  </si>
  <si>
    <t>Procès-verbal de validation, Cahier des charges technique</t>
  </si>
  <si>
    <t>Adoption de technologies inadaptées</t>
  </si>
  <si>
    <t>Une roadmap technologique est-elle définie et mise à jour ?</t>
  </si>
  <si>
    <t>Roadmap technologique, Plans d’évolution IT</t>
  </si>
  <si>
    <t>Manque de vision à long terme sur les technologies</t>
  </si>
  <si>
    <t>Les utilisateurs sont-ils consultés lors du choix des technologies ?</t>
  </si>
  <si>
    <t>Rapports de consultation, Enquêtes utilisateurs</t>
  </si>
  <si>
    <t>Technologies inadaptées aux besoins métier</t>
  </si>
  <si>
    <t xml:space="preserve">Vérifier que les technologies utilisées sont matures </t>
  </si>
  <si>
    <t>Les solutions adoptées ont déjà été éprouvées dans le secteur d’activité de l’entité.</t>
  </si>
  <si>
    <t>Les solutions sont-elles utilisées dans des entreprises similaires ?</t>
  </si>
  <si>
    <t>Références clients, Études de cas</t>
  </si>
  <si>
    <t>Adoption de technologies non éprouvées</t>
  </si>
  <si>
    <t>Les technologies bénéficient-elles d’un support et d’une communauté active ?</t>
  </si>
  <si>
    <t>Documentation des éditeurs, Forums techniques</t>
  </si>
  <si>
    <t>Manque de support technique en cas de problème</t>
  </si>
  <si>
    <t>La version utilisée est-elle supportée officiellement ?</t>
  </si>
  <si>
    <t>Contrats de support, Historique des mises à jour</t>
  </si>
  <si>
    <t>Utilisation d’une version obsolète non sécurisée</t>
  </si>
  <si>
    <t>Une analyse des risques des nouvelles technologies est-elle réalisée ?</t>
  </si>
  <si>
    <t>Rapports d’analyse des risques, Études d’impact</t>
  </si>
  <si>
    <t>Adoption précipitée de technologies instables</t>
  </si>
  <si>
    <t>L’organisation possède-t-elle les compétences pour exploiter les technologies adoptées ?</t>
  </si>
  <si>
    <t>Registre des compétences, Plan de formation</t>
  </si>
  <si>
    <t>Dépendance excessive à des prestataires externes</t>
  </si>
  <si>
    <t>S’assurer que les technologies utilisées peuvent s’adapter à la 
croissance</t>
  </si>
  <si>
    <t>L’infrastructure est dimensionnée pour supporter une augmentation du volume d’utilisateurs et de données.</t>
  </si>
  <si>
    <t>L’infrastructure peut-elle supporter une montée en charge importante ?</t>
  </si>
  <si>
    <t>Études de capacité, Rapports de performance</t>
  </si>
  <si>
    <t>Risque de saturation des ressources</t>
  </si>
  <si>
    <t>L’application maintient-elle ses performances sous forte charge ?</t>
  </si>
  <si>
    <t>Rapports de tests de performance, Monitoring des ressources</t>
  </si>
  <si>
    <t>Dégradation des performances en période de forte activité</t>
  </si>
  <si>
    <t>Des tests de scalabilité ont-ils été réalisés ?</t>
  </si>
  <si>
    <t>Rapports de tests de scalabilité, Plan de montée en charge</t>
  </si>
  <si>
    <t>Manque d’anticipation sur l’évolution des besoins</t>
  </si>
  <si>
    <t>L’architecture permet-elle une extension sans refonte complète ?</t>
  </si>
  <si>
    <t>Documentation d’architecture, Études d’évolutivité</t>
  </si>
  <si>
    <t>Coût élevé d’évolution technologique</t>
  </si>
  <si>
    <t>Une stratégie de mise à l’échelle est-elle définie et appliquée ?</t>
  </si>
  <si>
    <t>Plan de scalabilité, Documentation technique</t>
  </si>
  <si>
    <t>Difficulté à gérer une croissance rapide</t>
  </si>
  <si>
    <t xml:space="preserve">S’assurer que l’application est modulaire et adaptable </t>
  </si>
  <si>
    <t>L’architecture logicielle permet l’ajout de nouvelles fonctionnalités sans refonte majeure.</t>
  </si>
  <si>
    <t>L’application permet-elle d’ajouter des fonctionnalités sans refonte ?</t>
  </si>
  <si>
    <t>Documentation d’architecture, Étude d’extensibilité</t>
  </si>
  <si>
    <t>Coût élevé d’évolution et rigidité technologique</t>
  </si>
  <si>
    <t>L’application permet-elle d’activer ou désactiver des modules ?</t>
  </si>
  <si>
    <t>Guide de configuration des modules, Manuel d’administration</t>
  </si>
  <si>
    <t>Manque de flexibilité fonctionnelle</t>
  </si>
  <si>
    <t>Une documentation sur l’extensibilité de l’application est-elle disponible ?</t>
  </si>
  <si>
    <t>Documentation technique d’extension, Manuel de développement</t>
  </si>
  <si>
    <t>Difficulté à faire évoluer l’application</t>
  </si>
  <si>
    <t>L’application offre-t-elle des interfaces ouvertes pour l’intégration ?</t>
  </si>
  <si>
    <t>Documentation API, Guide d’intégration système</t>
  </si>
  <si>
    <t>Risque d’incompatibilité avec d’autres systèmes</t>
  </si>
  <si>
    <t>Les mises à jour peuvent-elles être réalisées sans interruption prolongée ?</t>
  </si>
  <si>
    <t>Plan de mise à jour, Procédure de déploiement</t>
  </si>
  <si>
    <t>Risque d’interruption prolongée des services</t>
  </si>
  <si>
    <t>Vérifier que structure en charge de la maintenance est 
autonome et compétente</t>
  </si>
  <si>
    <t>L’équipe de maintenance dispose des compétences nécessaires pour gérer l’application.</t>
  </si>
  <si>
    <t>L’équipe de maintenance a-t-elle les compétences nécessaires ?</t>
  </si>
  <si>
    <t>Dépendance excessive au fournisseur</t>
  </si>
  <si>
    <t>Une formation est-elle régulièrement organisée pour l’équipe de maintenance ?</t>
  </si>
  <si>
    <t>Plan de formation, Attestations de formation</t>
  </si>
  <si>
    <t>Risque de compétences obsolètes</t>
  </si>
  <si>
    <t>L’équipe peut-elle intervenir sans assistance du fournisseur ?</t>
  </si>
  <si>
    <t>Documentation de maintenance, Guide d’exploitation</t>
  </si>
  <si>
    <t>Délais prolongés de résolution des incidents</t>
  </si>
  <si>
    <t>Des procédures et outils de maintenance sont-ils en place ?</t>
  </si>
  <si>
    <t>Manuel de maintenance, Liste des outils de diagnostic</t>
  </si>
  <si>
    <t>Risque d’intervention inefficace en cas d’incident</t>
  </si>
  <si>
    <t>Une documentation technique à jour est-elle disponible ?</t>
  </si>
  <si>
    <t>Documentation technique, Dossier d’architecture</t>
  </si>
  <si>
    <t>Risque d’erreurs lors des interventions techniques</t>
  </si>
  <si>
    <t>S’assurer que le niveau de dépendance vis-à-vis de la structure 
de développement de l’application est acceptable</t>
  </si>
  <si>
    <t>Un plan de transfert de compétences est en place pour limiter la dépendance à l’éditeur.</t>
  </si>
  <si>
    <t>Un plan de transfert de compétences est-il défini et appliqué ?</t>
  </si>
  <si>
    <t>Plan de transfert de compétences, Rapports de formation</t>
  </si>
  <si>
    <t>Dépendance excessive à l’éditeur</t>
  </si>
  <si>
    <t>Des ressources internes sont-elles formées pour gérer les évolutions ?</t>
  </si>
  <si>
    <t>Dépendance aux prestataires externes</t>
  </si>
  <si>
    <t>Les contrats avec l’éditeur précisent-ils les niveaux de service ?</t>
  </si>
  <si>
    <t>Contrat de maintenance, Accord de niveau de service (SLA)</t>
  </si>
  <si>
    <t>Manque de clarté sur les responsabilités de l’éditeur</t>
  </si>
  <si>
    <t>Des solutions alternatives à l’éditeur sont-elles prévues ?</t>
  </si>
  <si>
    <t>Liste des prestataires alternatifs, Études de marché</t>
  </si>
  <si>
    <t>Difficulté à assurer la continuité en cas de défaillance de l’éditeur</t>
  </si>
  <si>
    <t>Une évaluation de la dépendance à l’éditeur est-elle effectuée ?</t>
  </si>
  <si>
    <t>Rapports d’audit technologique, Étude de dépendance</t>
  </si>
  <si>
    <t>Risque de verrouillage technologique</t>
  </si>
  <si>
    <t>S’assurer que la version du progiciel installée dans 
l’organisation est la plus récente</t>
  </si>
  <si>
    <t>Un suivi des mises à jour du progiciel est assuré régulièrement.</t>
  </si>
  <si>
    <t>Un processus de suivi des mises à jour est-il mis en place ?</t>
  </si>
  <si>
    <t>Plan de gestion des mises à jour, Historique des mises à jour</t>
  </si>
  <si>
    <t>La version du progiciel répond-elle aux besoins de l’organisation ?</t>
  </si>
  <si>
    <t>Cahier des charges, Rapport de conformité</t>
  </si>
  <si>
    <t>Incompatibilité avec les processus métiers</t>
  </si>
  <si>
    <t>Une procédure de mise à jour du progiciel est-elle en place ?</t>
  </si>
  <si>
    <t>Documentation des mises à jour, Plan de déploiement</t>
  </si>
  <si>
    <t>Risque d’échec ou d’erreur lors des mises à jour</t>
  </si>
  <si>
    <t>Les nouvelles versions sont-elles systématiquement testées avant mise en production ?</t>
  </si>
  <si>
    <t>Rapports de tests, Cahier de tests</t>
  </si>
  <si>
    <t>Introduction de bugs non détectés avant déploiement</t>
  </si>
  <si>
    <t>L’éditeur assure-t-il un support pour la version actuelle ?</t>
  </si>
  <si>
    <t>Contrat de support, Documentation de support</t>
  </si>
  <si>
    <t>Perte de support et absence de correctifs</t>
  </si>
  <si>
    <t>S’assurer que les développements spécifiques sont bien suivis</t>
  </si>
  <si>
    <t>Un registre des développements spécifiques est tenu à jour.</t>
  </si>
  <si>
    <t>Un registre des développements spécifiques est-il maintenu ?</t>
  </si>
  <si>
    <t>Registre des développements, Documentation technique</t>
  </si>
  <si>
    <t>Difficulté à comprendre et maintenir les développements spécifiques</t>
  </si>
  <si>
    <t>Les évolutions sont-elles validées avant leur intégration ?</t>
  </si>
  <si>
    <t>Rapports de validation, Cahier de tests</t>
  </si>
  <si>
    <t>Risque d’intégration de fonctionnalités instables</t>
  </si>
  <si>
    <t>Une documentation sur les développements spécifiques est-elle accessible ?</t>
  </si>
  <si>
    <t>Documentation des développements, Guide technique</t>
  </si>
  <si>
    <t>Risque de perte de connaissances en cas de départ d’un expert</t>
  </si>
  <si>
    <t>Des tests sont-ils réalisés avant chaque mise en production ?</t>
  </si>
  <si>
    <t>Plans de tests, Rapports de validation</t>
  </si>
  <si>
    <t>Introduction de régressions et d’anomalies</t>
  </si>
  <si>
    <t>L’impact des développements spécifiques est-il évalué ?</t>
  </si>
  <si>
    <t>Rapports d’impact, Cahier de suivi des évolutions</t>
  </si>
  <si>
    <t>Risque de conflits avec les mises à jour standards</t>
  </si>
  <si>
    <t>S’assurer que l’entité a un contrat de maintenance avec 
l’éditeur</t>
  </si>
  <si>
    <t>Un contrat de maintenance valide est signé avec l’éditeur.</t>
  </si>
  <si>
    <t>Un contrat de maintenance en cours de validité est-il signé ?</t>
  </si>
  <si>
    <t>Contrat de maintenance, Factures de renouvellement</t>
  </si>
  <si>
    <t>Absence de support en cas de panne critique</t>
  </si>
  <si>
    <t>Les niveaux de service sont-ils définis dans le contrat ?</t>
  </si>
  <si>
    <t>SLA, Contrat de maintenance</t>
  </si>
  <si>
    <t>Manque de garantie sur la réactivité du support</t>
  </si>
  <si>
    <t>L’éditeur fournit-il des mises à jour et une assistance technique ?</t>
  </si>
  <si>
    <t>Historique des mises à jour, Contrat de support</t>
  </si>
  <si>
    <t>Non-disponibilité des correctifs en cas de faille de sécurité</t>
  </si>
  <si>
    <t>Une procédure de recours est prévue en cas de non-respect des engagements.</t>
  </si>
  <si>
    <t>Une procédure de recours est-elle prévue en cas de défaillance de l’éditeur ?</t>
  </si>
  <si>
    <t>Procédure de recours, Contrat de maintenance</t>
  </si>
  <si>
    <t>Difficulté à faire valoir les obligations de l’éditeur</t>
  </si>
  <si>
    <t>Un suivi des prestations de maintenance est-il mis en place ?</t>
  </si>
  <si>
    <t>Rapports de suivi, Tableau de bord des interventions</t>
  </si>
  <si>
    <t>Manque de contrôle sur la qualité du support technique</t>
  </si>
  <si>
    <t>Critère d’Évaluation</t>
  </si>
  <si>
    <t>Remarques</t>
  </si>
  <si>
    <t>Gestion des Comptes</t>
  </si>
  <si>
    <t>Création des comptes comptables</t>
  </si>
  <si>
    <t>vérifier que les comptes respectent le plan comptable.</t>
  </si>
  <si>
    <t>Comparer la structure des comptes avec le référentiel comptable en vigueur.</t>
  </si>
  <si>
    <t>Vérifier que les libellés des comptes sont conformes aux normes comptables.</t>
  </si>
  <si>
    <t>S'assurer que la numérotation des comptes suit la nomenclature standard.</t>
  </si>
  <si>
    <t>Confirmer l'absence d'anomalies ou d’écarts entre le plan comptable et les comptes créés.</t>
  </si>
  <si>
    <t>Examiner les procédures internes de création et de validation des comptes.</t>
  </si>
  <si>
    <t>garantir l'unicité des comptes créés.</t>
  </si>
  <si>
    <t>Vérifier l'absence de doublons dans la base de données des comptes.</t>
  </si>
  <si>
    <t>Contrôler l’existence d’un mécanisme de détection automatique des doublons.</t>
  </si>
  <si>
    <t>S’assurer que chaque compte possède un identifiant unique.</t>
  </si>
  <si>
    <t>Examiner les règles de gestion des comptes pour éviter les répétitions.</t>
  </si>
  <si>
    <t>Valider que les utilisateurs suivent un processus formalisé avant la création d’un compte.</t>
  </si>
  <si>
    <t>valider les catégories et sous-catégories assignées</t>
  </si>
  <si>
    <t>Comparer les catégories et sous-catégories utilisées avec celles du référentiel comptable.</t>
  </si>
  <si>
    <t>Vérifier que chaque compte est affecté à une seule et bonne catégorie.</t>
  </si>
  <si>
    <t>S'assurer que la catégorisation facilite la lisibilité et l'analyse comptable.</t>
  </si>
  <si>
    <t>Contrôler l’absence d’incohérences ou d’erreurs d’affectation.</t>
  </si>
  <si>
    <t>Vérifier que les règles de catégorisation sont bien documentées et appliquées.</t>
  </si>
  <si>
    <t>assurer la conformité avec les réglementations en vigueur</t>
  </si>
  <si>
    <t>Vérifier l’alignement des comptes avec les normes comptables locales et internationales (ex. IFRS, SYSCOHADA).</t>
  </si>
  <si>
    <t>Examiner les mises à jour des comptes en cas de changement réglementaire.</t>
  </si>
  <si>
    <t>Contrôler la traçabilité des opérations pour assurer la transparence.</t>
  </si>
  <si>
    <t>Vérifier que les contrôles internes permettent de détecter toute non-conformité.</t>
  </si>
  <si>
    <t>S’assurer que le personnel est formé aux évolutions réglementaires.</t>
  </si>
  <si>
    <t>garantir que les données sont saisies avec précision</t>
  </si>
  <si>
    <t>Vérifier la correspondance entre les pièces justificatives et les écritures comptables.</t>
  </si>
  <si>
    <t>Examiner les taux d’erreur et les corrections apportées aux saisies.</t>
  </si>
  <si>
    <t>S’assurer que les données sont complètes et ne contiennent pas de valeurs aberrantes.</t>
  </si>
  <si>
    <t>Contrôler l’existence d’un processus de validation avant l’enregistrement définitif.</t>
  </si>
  <si>
    <t>Vérifier l’historique des modifications pour identifier d’éventuelles incohérences.</t>
  </si>
  <si>
    <t>Assurer que les comptes sont créés conformément au plan comptable.</t>
  </si>
  <si>
    <t>Vérifier que toutes les étapes de création des comptes sont suivies.</t>
  </si>
  <si>
    <t>Examiner la documentation utilisée pour la création des comptes.</t>
  </si>
  <si>
    <t>Contrôler la cohérence entre les comptes créés et les besoins de l’entreprise.</t>
  </si>
  <si>
    <t>S’assurer que seules les personnes habilitées peuvent créer des comptes.</t>
  </si>
  <si>
    <t>Le compte suit le format et les catégories du plan comptable de l’entreprise</t>
  </si>
  <si>
    <t>Le compte est-il conforme aux catégories prédéfinies dans le plan comptable ?</t>
  </si>
  <si>
    <t>Plan comptable de l’entreprise</t>
  </si>
  <si>
    <t>Non-conformité avec le plan comptable</t>
  </si>
  <si>
    <t>Validation des comptes créés</t>
  </si>
  <si>
    <t>s'assurer que chaque compte est approuvé par un responsable</t>
  </si>
  <si>
    <t>Présence d'une procédure formelle d'approbation des comptes.</t>
  </si>
  <si>
    <t>Identification claire du responsable validant chaque compte.</t>
  </si>
  <si>
    <t>Suivi de l'historique des approbations (date, responsable).</t>
  </si>
  <si>
    <t>Existence d'un système de notification pour les approbations en attente.</t>
  </si>
  <si>
    <t>Vérification régulière des comptes non validés par un responsable.</t>
  </si>
  <si>
    <t>contrôler la cohérence des informations saisies</t>
  </si>
  <si>
    <t>Mise en place de règles de validation pour les champs de saisie.</t>
  </si>
  <si>
    <t>Vérification automatique des incohérences dans les données entrées (format, type de données).</t>
  </si>
  <si>
    <t>Analyse des divergences entre les données saisies et les informations existantes.</t>
  </si>
  <si>
    <t>Révision manuelle des saisies suspectes ou incohérentes.</t>
  </si>
  <si>
    <t>Audits périodiques pour vérifier l’exactitude des informations saisies.</t>
  </si>
  <si>
    <t>vérifier l'absence de doublons dans les comptes</t>
  </si>
  <si>
    <t>Mise en place d'algorithmes ou de scripts pour détecter les doublons.</t>
  </si>
  <si>
    <t>Validation automatique lors de la création ou modification des comptes.</t>
  </si>
  <si>
    <t>Réconciliation régulière des comptes pour identifier des doublons.</t>
  </si>
  <si>
    <t>Vérification des données (nom, adresse, identifiants) pour éviter les répétitions.</t>
  </si>
  <si>
    <t>Processus de nettoyage des doublons régulièrement exécuté.</t>
  </si>
  <si>
    <t>garantir la documentation des processus de validation</t>
  </si>
  <si>
    <t>Rédaction de procédures claires et accessibles pour la validation des comptes.</t>
  </si>
  <si>
    <t>Mise à jour régulière de la documentation en fonction des évolutions du système.</t>
  </si>
  <si>
    <t>Formation du personnel sur l'importance et l'application des processus documentés.</t>
  </si>
  <si>
    <t>Audit interne pour vérifier la conformité de la documentation aux pratiques réelles.</t>
  </si>
  <si>
    <t>Stockage centralisé de la documentation pour un accès facile et sécurisé.</t>
  </si>
  <si>
    <t>évaluer les impacts financiers des modifications</t>
  </si>
  <si>
    <t>Calcul automatique de l'impact financier pour chaque modification.</t>
  </si>
  <si>
    <t>Existence de rapports réguliers sur l'impact des modifications.</t>
  </si>
  <si>
    <t>Validation par un responsable des impacts financiers avant la mise en œuvre.</t>
  </si>
  <si>
    <t>Mise en place d'un processus de réévaluation des impacts financiers après chaque ajustement.</t>
  </si>
  <si>
    <t>Documentation détaillée des décisions prises en fonction des impacts financiers.</t>
  </si>
  <si>
    <t>Assurer l’exactitude et la validation des nouveaux comptes créés.</t>
  </si>
  <si>
    <t>Mise en place de tests de validation automatique pour chaque nouveau compte.</t>
  </si>
  <si>
    <t>Processus de révision par un responsable pour chaque compte nouvellement créé.</t>
  </si>
  <si>
    <t>Contrôle de la cohérence des informations avec les comptes existants.</t>
  </si>
  <si>
    <t>Vérification de l'existence d'une documentation pour chaque nouveau compte.</t>
  </si>
  <si>
    <t>Tous les comptes créés sont approuvés par un responsable.</t>
  </si>
  <si>
    <t>Les comptes créés ont-ils été validés par un responsable ?</t>
  </si>
  <si>
    <t>Fiche d’approbation des comptes</t>
  </si>
  <si>
    <t>Création de comptes non validés</t>
  </si>
  <si>
    <t>Comptes redondants ou erronés</t>
  </si>
  <si>
    <t>Attachement de la pièce justificative</t>
  </si>
  <si>
    <t>valider les ajustements après chaque transaction</t>
  </si>
  <si>
    <t>Vérification systématique des ajustements effectués après chaque transaction.</t>
  </si>
  <si>
    <t>Audit des transactions pour garantir la conformité des ajustements.</t>
  </si>
  <si>
    <t>Validation manuelle ou automatisée des ajustements par un responsable.</t>
  </si>
  <si>
    <t>Comparaison des ajustements avec les données financières préexistantes.</t>
  </si>
  <si>
    <t>Enregistrement de l'historique des ajustements pour un suivi futur.</t>
  </si>
  <si>
    <t>contrôler l'exactitude des mises à jour en temps réel</t>
  </si>
  <si>
    <t>Suivi en temps réel des mises à jour pour garantir leur exactitude.</t>
  </si>
  <si>
    <t>Mise en place de contrôles automatiques pour valider les données dès leur mise à jour.</t>
  </si>
  <si>
    <t>Audits réguliers des mises à jour effectuées en temps réel.</t>
  </si>
  <si>
    <t>Processus de vérification des données en cas de mises à jour manuelles.</t>
  </si>
  <si>
    <t>Système de notification en cas d'erreur ou d'inexactitude dans les mises à jour.</t>
  </si>
  <si>
    <t>assurer la traçabilité des opérations de mises à jour</t>
  </si>
  <si>
    <t>Enregistrement systématique des informations sur les mises à jour (utilisateur, date, modification).</t>
  </si>
  <si>
    <t>Mise en place d’un journal des modifications accessible et consultable.</t>
  </si>
  <si>
    <t>Suivi des actions de chaque utilisateur lié aux mises à jour.</t>
  </si>
  <si>
    <t>Vérification régulière des journaux pour détecter des anomalies.</t>
  </si>
  <si>
    <t>Garantie de l'intégrité des données enregistrées (non-modifiables après enregistrement).</t>
  </si>
  <si>
    <t>garantir la disponibilité des historiques de mises à jour</t>
  </si>
  <si>
    <t>Mise en place de sauvegardes régulières des historiques de mises à jour.</t>
  </si>
  <si>
    <t>Accès contrôlé et sécurisé aux historiques de mises à jour.</t>
  </si>
  <si>
    <t>Documentation claire des procédures pour récupérer les historiques.</t>
  </si>
  <si>
    <t>Vérification de la durabilité des archives des mises à jour.</t>
  </si>
  <si>
    <t>Contrôle de l'accessibilité des historiques dans les délais prévus.</t>
  </si>
  <si>
    <t>évaluer l'impact des erreurs de mise à jour</t>
  </si>
  <si>
    <t>Mise en place de mécanismes d'alerte en cas d'erreurs de mise à jour.</t>
  </si>
  <si>
    <t>Analyse approfondie des erreurs pour comprendre leurs causes et impacts.</t>
  </si>
  <si>
    <t>Évaluation des impacts financiers, opérationnels et réglementaires des erreurs.</t>
  </si>
  <si>
    <t>Rétroaction aux parties concernées pour éviter des erreurs similaires.</t>
  </si>
  <si>
    <t>Suivi des mesures correctives appliquées suite à des erreurs de mise à jour.</t>
  </si>
  <si>
    <t>Vérifier que les soldes sont actualisés après chaque transaction.</t>
  </si>
  <si>
    <t>Vérification automatique des soldes après chaque transaction.</t>
  </si>
  <si>
    <t>Réconciliation régulière des soldes avec les transactions effectuées.</t>
  </si>
  <si>
    <t>Mise en place de mécanismes de correction en cas de différence dans les soldes.</t>
  </si>
  <si>
    <t>Notification de toute anomalie dans l'actualisation des soldes.</t>
  </si>
  <si>
    <r>
      <rPr>
        <sz val="7"/>
        <color theme="1"/>
        <rFont val="Times New Roman"/>
        <family val="1"/>
      </rPr>
      <t xml:space="preserve"> </t>
    </r>
    <r>
      <rPr>
        <sz val="12"/>
        <color theme="1"/>
        <rFont val="Aptos"/>
        <family val="2"/>
      </rPr>
      <t>Les soldes sont révisés en temps réel après chaque transaction.</t>
    </r>
  </si>
  <si>
    <r>
      <rPr>
        <sz val="7"/>
        <color theme="1"/>
        <rFont val="Times New Roman"/>
        <family val="1"/>
      </rPr>
      <t xml:space="preserve"> </t>
    </r>
    <r>
      <rPr>
        <sz val="12"/>
        <color theme="1"/>
        <rFont val="Aptos"/>
        <family val="2"/>
      </rPr>
      <t>Les soldes des comptes sont-ils automatiquement mis à jour ?</t>
    </r>
  </si>
  <si>
    <t>Journal de transactions</t>
  </si>
  <si>
    <t>Retard dans la mise à jour des soldes</t>
  </si>
  <si>
    <t>Déséquilibres financiers</t>
  </si>
  <si>
    <t>Saisie des Écritures Comptables</t>
  </si>
  <si>
    <t>Exactitude des informations saisies</t>
  </si>
  <si>
    <t>vérifier la conformité des écritures avec les pièces justificatives</t>
  </si>
  <si>
    <t>Chaque écriture comptable est appuyée par une pièce justificative valide.</t>
  </si>
  <si>
    <t>Les montants des écritures correspondent aux montants des justificatifs.</t>
  </si>
  <si>
    <t>Les descriptions des écritures sont cohérentes avec celles des justificatifs.</t>
  </si>
  <si>
    <t>Les pièces justificatives sont signées et validées par les personnes autorisées.</t>
  </si>
  <si>
    <t>Il n’y a pas de doublons ni d’écritures non justifiées.</t>
  </si>
  <si>
    <t>garantir l'enregistrement correct des dates et montants</t>
  </si>
  <si>
    <t>Les dates d’enregistrement correspondent aux dates réelles des transactions.</t>
  </si>
  <si>
    <t>Les montants enregistrés sont exacts et reflètent les documents justificatifs.</t>
  </si>
  <si>
    <t>Les conversions monétaires (si applicables) respectent les taux en vigueur.</t>
  </si>
  <si>
    <t>Les corrections d’erreurs de saisie sont tracées et justifiées.</t>
  </si>
  <si>
    <t>Les écarts entre la date de transaction et la date d’enregistrement sont expliqués.</t>
  </si>
  <si>
    <t>assurer la classification appropriée des transactions</t>
  </si>
  <si>
    <t>Chaque transaction est affectée au bon compte comptable.</t>
  </si>
  <si>
    <t>Les écritures respectent les normes et principes comptables applicables.</t>
  </si>
  <si>
    <t>Les transactions similaires sont classées de manière homogène.</t>
  </si>
  <si>
    <t>Les imputations analytiques sont correctes et justifiées.</t>
  </si>
  <si>
    <t>Un contrôle régulier est effectué pour détecter d’éventuelles erreurs de classification.</t>
  </si>
  <si>
    <t>valider les références croisées entre les écritures</t>
  </si>
  <si>
    <t>Les transactions liées (ex. factures et paiements) sont correctement reliées.</t>
  </si>
  <si>
    <t>Les numéros de référence des écritures correspondent aux documents sources.</t>
  </si>
  <si>
    <t>Les rapprochements bancaires confirment la cohérence des opérations.</t>
  </si>
  <si>
    <t>Les comptes interconnectés (ex. créances et dettes) sont équilibrés.</t>
  </si>
  <si>
    <t>Les références croisées sont revues périodiquement pour éviter les incohérences.</t>
  </si>
  <si>
    <t>identifier et corriger les anomalies rapidement</t>
  </si>
  <si>
    <t>Un mécanisme d’alerte signale les transactions suspectes ou incohérentes.</t>
  </si>
  <si>
    <t>Les erreurs détectées sont corrigées dans un délai raisonnable.</t>
  </si>
  <si>
    <t>Les anomalies récurrentes font l’objet d’une analyse approfondie.</t>
  </si>
  <si>
    <t>Les écarts entre comptabilité et relevés bancaires sont traités systématiquement.</t>
  </si>
  <si>
    <t>Un suivi des corrections est documenté et vérifié.</t>
  </si>
  <si>
    <t>Garantir que les transactions sont enregistrées correctement.</t>
  </si>
  <si>
    <t>Les écritures comptables respectent les normes et réglementations en vigueur.</t>
  </si>
  <si>
    <t>Les transactions sont complètes et correctement documentées.</t>
  </si>
  <si>
    <t>Les erreurs de saisie et d’imputation sont détectées et corrigées avant validation.</t>
  </si>
  <si>
    <t>Un contrôle interne est mis en place pour garantir l’exactitude des enregistrements.</t>
  </si>
  <si>
    <t>Les écritures saisies incluent tous les détails (montant, comptes concernés, date).</t>
  </si>
  <si>
    <t>Les transactions sont-elles enregistrées avec toutes les informations requises ?</t>
  </si>
  <si>
    <t>Pièce justificative</t>
  </si>
  <si>
    <t>Saisie incomplète des informations</t>
  </si>
  <si>
    <t>Informations comptables inexactes</t>
  </si>
  <si>
    <t>Revue et approbation des transactions</t>
  </si>
  <si>
    <t>s'assurer que toutes les transactions sont validées avant enregistrement</t>
  </si>
  <si>
    <t>Chaque transaction est approuvée avant son intégration dans les comptes.</t>
  </si>
  <si>
    <t>Les niveaux d’autorisation sont respectés selon les seuils définis.</t>
  </si>
  <si>
    <t>Les transactions non validées sont bloquées jusqu’à approbation.</t>
  </si>
  <si>
    <t>Les transactions annulées ou refusées sont correctement documentées.</t>
  </si>
  <si>
    <t>Un rapport des validations est généré pour suivi et contrôle.</t>
  </si>
  <si>
    <t>vérifier les signatures ou autorisations requises</t>
  </si>
  <si>
    <t>Chaque document est signé par la personne compétente avant enregistrement.</t>
  </si>
  <si>
    <t>Les délégations de pouvoir sont documentées et respectées.</t>
  </si>
  <si>
    <t>Les systèmes empêchent l’enregistrement de transactions sans validation requise.</t>
  </si>
  <si>
    <t>Les niveaux de signature et d’autorisation sont conformes aux procédures internes.</t>
  </si>
  <si>
    <t>Des contrôles aléatoires sont effectués pour s’assurer du respect des signatures.</t>
  </si>
  <si>
    <t>contrôler la conformité des transactions aux politiques internes</t>
  </si>
  <si>
    <t>Les transactions respectent les règles internes de l’entreprise.</t>
  </si>
  <si>
    <t>Les opérations non conformes sont signalées et analysées.</t>
  </si>
  <si>
    <t>Un processus de validation est en place pour garantir la conformité.</t>
  </si>
  <si>
    <t>Les exceptions aux règles sont documentées et justifiées.</t>
  </si>
  <si>
    <t>Un audit interne est réalisé pour évaluer le respect des politiques comptables.</t>
  </si>
  <si>
    <t>documenter les étapes de validation pour traçabilité</t>
  </si>
  <si>
    <t>Chaque validation est enregistrée avec un horodatage et l’identité du validateur.</t>
  </si>
  <si>
    <t>Les étapes de validation sont accessibles pour audit et contrôle interne.</t>
  </si>
  <si>
    <t>Toute modification post-validation est justifiée et approuvée.</t>
  </si>
  <si>
    <t>Un registre des validations est tenu à jour et conservé selon les normes.</t>
  </si>
  <si>
    <t>Une piste d’audit numérique est disponible en cas de besoin.</t>
  </si>
  <si>
    <t>gérer les écarts indentifiés lors de l'examen</t>
  </si>
  <si>
    <t>Un processus de traitement des écarts est défini et suivi.</t>
  </si>
  <si>
    <t>Les écarts sont analysés pour en identifier les causes.</t>
  </si>
  <si>
    <t>Des actions correctives sont mises en place et suivies.</t>
  </si>
  <si>
    <t>Un rapport d’écarts est produit et revu périodiquement.</t>
  </si>
  <si>
    <t>Les responsables de la correction sont clairement désignés.</t>
  </si>
  <si>
    <t>Assurer que les transactions sont validées avant enregistrement définitif.</t>
  </si>
  <si>
    <t>Une double vérification est effectuée avant validation finale.</t>
  </si>
  <si>
    <t>Les transactions non validées sont bloquées jusqu’à approbation finale.</t>
  </si>
  <si>
    <t>Toute modification après validation est justifiée et approuvée.</t>
  </si>
  <si>
    <t>Un workflow de validation est intégré dans le système comptable.</t>
  </si>
  <si>
    <t>Chaque transaction est approuvée par un responsable</t>
  </si>
  <si>
    <r>
      <rPr>
        <sz val="7"/>
        <color theme="1"/>
        <rFont val="Times New Roman"/>
        <family val="1"/>
      </rPr>
      <t xml:space="preserve"> </t>
    </r>
    <r>
      <rPr>
        <sz val="12"/>
        <color theme="1"/>
        <rFont val="Aptos"/>
        <family val="2"/>
      </rPr>
      <t>La transaction a-t-elle été validée par un responsable ?</t>
    </r>
  </si>
  <si>
    <t>garantir l'ajout de justificatifs pour toutes les transactions</t>
  </si>
  <si>
    <t>Vérifier la présence systématique des pièces justificatives</t>
  </si>
  <si>
    <t>Fiche de validation de transaction</t>
  </si>
  <si>
    <t>Enregistrement de transactions non validées</t>
  </si>
  <si>
    <t>Erreurs non détectées</t>
  </si>
  <si>
    <t>Contrôler la correspondance entre les justificatifs et les transactions enregistrées</t>
  </si>
  <si>
    <t>S'assurer que les justificatifs sont lisibles et authentiques</t>
  </si>
  <si>
    <t>Vérifier que les justificatifs sont conformes aux exigences légales et internes</t>
  </si>
  <si>
    <t>Assurer un suivi des transactions sans justificatifs pour correction</t>
  </si>
  <si>
    <t>vérifier la validité et l'intégrité des pièces justificatives</t>
  </si>
  <si>
    <t>Vérifier que les documents sont authentiques et non falsifiés</t>
  </si>
  <si>
    <t>S'assurer que les justificatifs sont complets et contiennent toutes les informations requises</t>
  </si>
  <si>
    <t>Contrôler la cohérence entre les justificatifs et les transactions enregistrées</t>
  </si>
  <si>
    <t>Vérifier l’exactitude des montants, dates et bénéficiaires mentionnés</t>
  </si>
  <si>
    <t>Identifier toute altération ou modification suspecte des justificatifs</t>
  </si>
  <si>
    <t>contrôler l'exhaustivité des pièces pour chaque processus</t>
  </si>
  <si>
    <t>Vérifier que toutes les transactions possèdent les pièces justificatives requises</t>
  </si>
  <si>
    <t>S'assurer que les documents annexes sont également fournis si nécessaire</t>
  </si>
  <si>
    <t>Contrôler la présence des signatures ou validations sur les pièces justificatives</t>
  </si>
  <si>
    <t>Vérifier que les pièces justificatives couvrent l’ensemble du processus de transaction</t>
  </si>
  <si>
    <t>Identifier et signaler les transactions manquant de pièces justificatives</t>
  </si>
  <si>
    <t>assurer l'archivage sécurisé des pièces justificatives</t>
  </si>
  <si>
    <t>Vérifier que les justificatifs sont stockés dans un environnement sécurisé</t>
  </si>
  <si>
    <t>S'assurer que les documents sont accessibles uniquement aux personnes autorisées</t>
  </si>
  <si>
    <t>Contrôler la mise en place d’un système d’archivage numérique et physique efficace</t>
  </si>
  <si>
    <t>Vérifier la disponibilité des pièces en cas d’audit ou de contrôle interne</t>
  </si>
  <si>
    <t>S'assurer que les documents sont conservés pendant la durée légale requise</t>
  </si>
  <si>
    <t>traiter rapidement les cas d'absence de justificatifs</t>
  </si>
  <si>
    <t>Identifier les transactions sans justificatifs dès leur enregistrement</t>
  </si>
  <si>
    <t>Mettre en place un processus de suivi et de régularisation des justificatifs manquants</t>
  </si>
  <si>
    <t>Assurer une communication avec les responsables pour l’obtention des pièces manquantes</t>
  </si>
  <si>
    <t>Vérifier que des actions correctives sont prises en cas de récidive</t>
  </si>
  <si>
    <t>Documenter les anomalies et les solutions appliquées pour éviter les récurrences</t>
  </si>
  <si>
    <t>Vérifier la traçabilité des transactions</t>
  </si>
  <si>
    <t>S'assurer que chaque transaction est enregistrée avec une référence unique</t>
  </si>
  <si>
    <t>Vérifier que les modifications de transactions sont horodatées et justifiées</t>
  </si>
  <si>
    <t>Contrôler l'accès aux modifications des transactions</t>
  </si>
  <si>
    <t>S'assurer que les transactions peuvent être suivies du début à la fin du processus</t>
  </si>
  <si>
    <t>Chaque transaction est appuyée par une pièce justificative.</t>
  </si>
  <si>
    <t>Une pièce justificative est-elle attachée à chaque transaction ?</t>
  </si>
  <si>
    <t>Création des profils clients</t>
  </si>
  <si>
    <t>valider l'exactitude et la complétude des informations clients</t>
  </si>
  <si>
    <t>Vérifier que toutes les informations requises sont renseignées dans les dossiers clients</t>
  </si>
  <si>
    <t>Copie des pièces justificatives</t>
  </si>
  <si>
    <t>Absence de justificatif pour les transactions</t>
  </si>
  <si>
    <t>Faible traçabilité</t>
  </si>
  <si>
    <t>Gestion des Clients et Fournisseurs</t>
  </si>
  <si>
    <t>Contrôler la cohérence des données clients avec les justificatifs fournis</t>
  </si>
  <si>
    <t>S'assurer que les informations sont mises à jour régulièrement</t>
  </si>
  <si>
    <t>Vérifier la correspondance entre les informations clients et les transactions associées</t>
  </si>
  <si>
    <t>Identifier et corriger les erreurs ou incohérences dans les données clients</t>
  </si>
  <si>
    <t>s'assurer de la mise à jour régulière des profils</t>
  </si>
  <si>
    <t>Vérifier que les mises à jour sont effectuées périodiquement</t>
  </si>
  <si>
    <t>Contrôler la conformité des informations modifiées avec les documents justificatifs</t>
  </si>
  <si>
    <t>S'assurer que les mises à jour sont validées par des personnes autorisées</t>
  </si>
  <si>
    <t>Vérifier l’historique des modifications pour détecter d’éventuelles fraudes</t>
  </si>
  <si>
    <t>Documenter toute modification apportée aux profils clients ou fournisseurs</t>
  </si>
  <si>
    <t>vérifier les informations de contact et bancaires</t>
  </si>
  <si>
    <t>S'assurer que les coordonnées sont à jour et valides</t>
  </si>
  <si>
    <t>Vérifier la cohérence entre les informations bancaires fournies et les transactions</t>
  </si>
  <si>
    <t>Contrôler la présence de justificatifs pour toute modification des informations bancaires</t>
  </si>
  <si>
    <t>Vérifier que les paiements sont effectués sur les comptes bancaires validés</t>
  </si>
  <si>
    <t>Identifier les transactions suspectes associées à des informations bancaires erronées</t>
  </si>
  <si>
    <t>assurer l'intégration des profils dans le système de gestion</t>
  </si>
  <si>
    <t>Vérifier que chaque profil est bien enregistré dans le système</t>
  </si>
  <si>
    <t>S'assurer que les accès et droits des utilisateurs sont conformes aux règles établies</t>
  </si>
  <si>
    <t>Contrôler la cohérence des données entre les différents modules du système</t>
  </si>
  <si>
    <t>Vérifier que les profils inactifs ou obsolètes sont désactivés</t>
  </si>
  <si>
    <t>Assurer un suivi des profils pour éviter toute duplication ou suppression injustifiée</t>
  </si>
  <si>
    <t>garantir la traçabilité des modifications des profils</t>
  </si>
  <si>
    <t>S'assurer que chaque modification est enregistrée avec une justification claire</t>
  </si>
  <si>
    <t>Vérifier l’horodatage et l’auteur de chaque modification de profil</t>
  </si>
  <si>
    <t>Contrôler que seules les personnes autorisées peuvent modifier les profils</t>
  </si>
  <si>
    <t>Vérifier la conformité des modifications aux politiques internes</t>
  </si>
  <si>
    <t>Assurer l’existence d’un journal d’audit pour suivre les changements effectués</t>
  </si>
  <si>
    <t>Assurer que chaque profil client est complet</t>
  </si>
  <si>
    <t>Vérifier que tous les champs obligatoires sont remplis</t>
  </si>
  <si>
    <t>S'assurer de la conformité des informations avec les documents fournis</t>
  </si>
  <si>
    <t>Contrôler la cohérence des données avec les transactions enregistrées</t>
  </si>
  <si>
    <t>Vérifier la présence des justificatifs exigés pour l’ouverture du compte</t>
  </si>
  <si>
    <t>Les informations de chaque client sont complètes et à jour.</t>
  </si>
  <si>
    <r>
      <rPr>
        <sz val="7"/>
        <color theme="1"/>
        <rFont val="Times New Roman"/>
        <family val="1"/>
      </rPr>
      <t xml:space="preserve"> </t>
    </r>
    <r>
      <rPr>
        <sz val="12"/>
        <color theme="1"/>
        <rFont val="Aptos"/>
        <family val="2"/>
      </rPr>
      <t>Les informations du profil client sont-elles complètes et à jour ?</t>
    </r>
  </si>
  <si>
    <t>Création des profils fournisseurs</t>
  </si>
  <si>
    <t>vérifier les détails des fournisseurs avant validation</t>
  </si>
  <si>
    <t>Contrôler la validité des informations légales du fournisseur</t>
  </si>
  <si>
    <t>Formulaire de profil client.</t>
  </si>
  <si>
    <t>Données incomplètes sur les clients</t>
  </si>
  <si>
    <t>Problèmes de suivi des transactions</t>
  </si>
  <si>
    <t>Vérifier la cohérence entre les informations bancaires et les contrats</t>
  </si>
  <si>
    <t>S'assurer que les fournisseurs sont enregistrés auprès des autorités compétentes</t>
  </si>
  <si>
    <t>Vérifier la correspondance entre les informations du fournisseur et les transactions passées</t>
  </si>
  <si>
    <t>Assurer une mise à jour régulière des informations fournisseurs</t>
  </si>
  <si>
    <t>s'assurer de l'alignement des informations avec des besoins commerciaux</t>
  </si>
  <si>
    <t>Vérifier que les informations sont cohérentes avec les exigences contractuelles</t>
  </si>
  <si>
    <t>Contrôler l’exactitude des données pour éviter les erreurs de traitement</t>
  </si>
  <si>
    <t>S'assurer que les informations sont accessibles aux équipes concernées</t>
  </si>
  <si>
    <t>Vérifier que les modifications sont documentées et validées</t>
  </si>
  <si>
    <t>Contrôler que les besoins commerciaux sont pris en compte dans la gestion des fournisseurs</t>
  </si>
  <si>
    <t>contrôler la conformité aux exigences réglementaires</t>
  </si>
  <si>
    <t>Vérifier que les données respectent les normes et régulations en vigueur</t>
  </si>
  <si>
    <t>S'assurer que les documents requis sont bien fournis et conformes</t>
  </si>
  <si>
    <t>Contrôler la conformité des transactions avec les obligations légales</t>
  </si>
  <si>
    <t>Vérifier que les mises à jour réglementaires sont appliquées dans les procédures internes</t>
  </si>
  <si>
    <t>Identifier et signaler tout risque de non-conformité</t>
  </si>
  <si>
    <t>garantir la centralisation et l'accessibilité des données</t>
  </si>
  <si>
    <t>Vérifier que les données sont stockées de manière centralisée et sécurisée</t>
  </si>
  <si>
    <t>S'assurer que les informations sont accessibles aux personnes autorisées uniquement</t>
  </si>
  <si>
    <t>Contrôler la qualité et l’organisation du stockage des documents</t>
  </si>
  <si>
    <t>Vérifier l’interopérabilité des systèmes pour un accès fluide aux données</t>
  </si>
  <si>
    <t>Assurer la sauvegarde régulière des informations pour éviter les pertes</t>
  </si>
  <si>
    <t>assurer le suivi des relations fournisseurs</t>
  </si>
  <si>
    <t>Vérifier que les fournisseurs respectent les engagements contractuels</t>
  </si>
  <si>
    <t>Contrôler la qualité des prestations fournies</t>
  </si>
  <si>
    <t>S'assurer de la mise à jour des contrats et conditions de collaboration</t>
  </si>
  <si>
    <t>Vérifier l’existence d’un historique des transactions avec chaque fournisseur</t>
  </si>
  <si>
    <t>Identifier et gérer les litiges ou problèmes liés aux fournisseurs</t>
  </si>
  <si>
    <t>Assurer que chaque profil fournisseur est complet</t>
  </si>
  <si>
    <t>Vérifier que toutes les informations requises sont présentes dans le dossier fournisseur</t>
  </si>
  <si>
    <t>S'assurer de la conformité des données avec les exigences internes</t>
  </si>
  <si>
    <t>Contrôler la cohérence des informations avec les documents justificatifs</t>
  </si>
  <si>
    <t>Vérifier la mise à jour et la validation des informations clés</t>
  </si>
  <si>
    <r>
      <rPr>
        <sz val="7"/>
        <color theme="1"/>
        <rFont val="Times New Roman"/>
        <family val="1"/>
      </rPr>
      <t xml:space="preserve"> </t>
    </r>
    <r>
      <rPr>
        <sz val="12"/>
        <color theme="1"/>
        <rFont val="Aptos"/>
        <family val="2"/>
      </rPr>
      <t>Les informations de chaque fournisseur sont complètes et à jour.</t>
    </r>
  </si>
  <si>
    <t>Suivi des soldes clients</t>
  </si>
  <si>
    <t>assurer l'exactitude des soldes après chaque transaction</t>
  </si>
  <si>
    <t>Vérification automatique des soldes après chaque opération</t>
  </si>
  <si>
    <t>Comparaison avec les soldes précédents pour détecter les écarts</t>
  </si>
  <si>
    <t>Existence d’un journal d’audit des modifications de solde</t>
  </si>
  <si>
    <t>Validation manuelle des transactions suspectes</t>
  </si>
  <si>
    <t>Mise à jour en temps réel des soldes dans le système</t>
  </si>
  <si>
    <t>Les informations du profil fournisseur sont-elles complètes et à jour ?</t>
  </si>
  <si>
    <t>identifier les écarts ou anomalies rapidement</t>
  </si>
  <si>
    <t>Existence d’un système de détection des anomalies basé sur des seuils</t>
  </si>
  <si>
    <t>Formulaire de profil fournisseur</t>
  </si>
  <si>
    <t>Données incomplètes sur les fournisseurs</t>
  </si>
  <si>
    <t>Fréquence des contrôles automatiques des écarts</t>
  </si>
  <si>
    <t>Rapidité de notification des anomalies aux gestionnaires</t>
  </si>
  <si>
    <t>Suivi des écarts résolus et non résolus dans un tableau de bord</t>
  </si>
  <si>
    <t>Existence d’un plan d’action pour corriger les anomalies détectées</t>
  </si>
  <si>
    <t>valider les rapports réguliers de suivi</t>
  </si>
  <si>
    <t>Fréquence de mise à jour des rapports</t>
  </si>
  <si>
    <t>Exactitude des données consolidées dans les rapports</t>
  </si>
  <si>
    <t>Conformité aux normes comptables et réglementaires</t>
  </si>
  <si>
    <t>Validation par un responsable avant diffusion</t>
  </si>
  <si>
    <t>Accessibilité et lisibilité des rapports pour les parties prenantes</t>
  </si>
  <si>
    <t>garantir une gestion proactive des créances</t>
  </si>
  <si>
    <t>Pourcentage des créances suivies avant échéance</t>
  </si>
  <si>
    <t>Délais moyens de recouvrement des créances</t>
  </si>
  <si>
    <t>Nombre de relances effectuées avant une action juridique</t>
  </si>
  <si>
    <t>Automatisation des rappels et des relances clients</t>
  </si>
  <si>
    <t>Suivi des créances irrécouvrables et analyse des causes</t>
  </si>
  <si>
    <t>assurer la production de rapports précis pour les audits</t>
  </si>
  <si>
    <t>Présence d’un historique des modifications des données comptables</t>
  </si>
  <si>
    <t>Comparaison des états financiers avec les données brutes</t>
  </si>
  <si>
    <t>Existence d’un plan de correction en cas d’erreurs détectées</t>
  </si>
  <si>
    <t>Respect des délais de production des rapports d’audit</t>
  </si>
  <si>
    <t>Accessibilité des rapports aux auditeurs et responsables</t>
  </si>
  <si>
    <t>Assurer la mise à jour des soldes clients.</t>
  </si>
  <si>
    <t>Fréquence de mise à jour des informations relatives aux ventes.</t>
  </si>
  <si>
    <t>Exactitude des données de vente (montants, produits, clients).</t>
  </si>
  <si>
    <t>Conformité des ventes avec les contrats ou accords en place.</t>
  </si>
  <si>
    <t>Fiabilité des systèmes ou processus de saisie des données.</t>
  </si>
  <si>
    <t>Les soldes clients sont mis à jour après chaque transaction.</t>
  </si>
  <si>
    <t>Suivi des soldes fournisseurs</t>
  </si>
  <si>
    <t>vérifier l'exactitude des dettes enregistrées</t>
  </si>
  <si>
    <t>Concordance entre les dettes comptabilisées et les relevés des fournisseurs.</t>
  </si>
  <si>
    <t>Vérification des montants dus sur la base des contrats ou des accords.</t>
  </si>
  <si>
    <t>Suivi des échéances des dettes pour éviter des oublis.</t>
  </si>
  <si>
    <t>Validation des informations relatives aux conditions de paiement.</t>
  </si>
  <si>
    <t>Utilisation d’outils ou d’audits pour détecter les erreurs humaines.</t>
  </si>
  <si>
    <t>Les soldes clients sont-ils mis à jour après chaque transaction ?</t>
  </si>
  <si>
    <t>contrôler les mises à jours des soldes en temps réel</t>
  </si>
  <si>
    <t>Fréquence et rapidité des mises à jour après chaque vente.</t>
  </si>
  <si>
    <t>État des comptes clients</t>
  </si>
  <si>
    <t>Informations obsolètes sur les soldes clients</t>
  </si>
  <si>
    <t>Mauvais suivi des créances</t>
  </si>
  <si>
    <t>Vérification de la disponibilité des données actualisées sur toutes les plateformes pertinentes.</t>
  </si>
  <si>
    <t>Taux de précision des informations mises à jour en temps réel.</t>
  </si>
  <si>
    <t>Capacités de synchronisation entre les différents systèmes utilisés pour les ventes.</t>
  </si>
  <si>
    <t>Impact de la mise à jour sur les autres processus métier.</t>
  </si>
  <si>
    <t>gérer les litiges ou écarts signalés</t>
  </si>
  <si>
    <t>Temps de réponse pour résoudre un litige ou écart signalé.</t>
  </si>
  <si>
    <t>Efficacité de la procédure de gestion des litiges (traitement, communication, résolution).</t>
  </si>
  <si>
    <t>Taux de satisfaction des clients ou fournisseurs après la résolution des litiges.</t>
  </si>
  <si>
    <t>Documentations claires sur la résolution des litiges pour un suivi ultérieur.</t>
  </si>
  <si>
    <t>Analyse des causes profondes des litiges pour prévenir leur récurrence.</t>
  </si>
  <si>
    <t>valider l'intégration des paiements dans le suivi</t>
  </si>
  <si>
    <t>Correspondance entre les paiements effectués et les transactions enregistrées.</t>
  </si>
  <si>
    <t>Vérification des méthodes de paiement et des informations associées.</t>
  </si>
  <si>
    <t>Temps de traitement des paiements dans le système de suivi.</t>
  </si>
  <si>
    <t>Vérification de la sécurité des transactions financières enregistrées.</t>
  </si>
  <si>
    <t>Mise à jour immédiate des soldes après l'intégration des paiements.</t>
  </si>
  <si>
    <t>produire des rapports clairs pour les parties prenantes</t>
  </si>
  <si>
    <t>Précision des informations et des données présentées dans les rapports.</t>
  </si>
  <si>
    <t>Clarté et lisibilité des rapports, adaptés aux différents publics cibles.</t>
  </si>
  <si>
    <t>Fréquence et régularité de la production des rapports.</t>
  </si>
  <si>
    <t>Utilisation de graphiques ou d’indicateurs visuels pour rendre l’information plus accessible.</t>
  </si>
  <si>
    <t>Respect des délais de production des rapports et transmission à temps aux parties prenantes.</t>
  </si>
  <si>
    <t>Assurer la mise à jour des soldes fournisseurs.</t>
  </si>
  <si>
    <t>Mise à jour régulière des informations sur les achats et paiements fournisseurs.</t>
  </si>
  <si>
    <t>Conformité des données avec les conditions de contrat fournisseur.</t>
  </si>
  <si>
    <t>Exactitude des informations sur les montants et les délais de paiement.</t>
  </si>
  <si>
    <t>Suivi des bons de commande et des factures reçues pour éviter les erreurs.</t>
  </si>
  <si>
    <t>Les soldes fournisseurs sont mis à jour après chaque transaction.</t>
  </si>
  <si>
    <t>Les soldes fournisseurs sont-ils mis à jour après chaque transaction ?</t>
  </si>
  <si>
    <t>État des comptes fournisseurs.</t>
  </si>
  <si>
    <t>Informations obsolètes sur les soldes fournisseurs.</t>
  </si>
  <si>
    <t>Mauvais suivi des dettes</t>
  </si>
  <si>
    <t>Création des factures</t>
  </si>
  <si>
    <t>vérifier que les informations client sont correctement intégrées</t>
  </si>
  <si>
    <t>Exactitude des informations personnelles des clients dans le système (nom, adresse, etc.).</t>
  </si>
  <si>
    <t>Vérification des informations financières et de facturation des clients.</t>
  </si>
  <si>
    <t>Intégration correcte des préférences ou exigences spécifiques des clients.</t>
  </si>
  <si>
    <t>Conformité des données clients avec les normes de protection des données.</t>
  </si>
  <si>
    <t>Système de mise à jour automatique en cas de changement d’information.</t>
  </si>
  <si>
    <t>assurer que les montants et les descriptions sont exacts</t>
  </si>
  <si>
    <t>Vérification des montants des transactions pour détecter les erreurs ou incohérences.</t>
  </si>
  <si>
    <t>Facturation et Gestion des Recettes</t>
  </si>
  <si>
    <t>Précision des descriptions de produits ou services sur les documents associés.</t>
  </si>
  <si>
    <t>Conformité avec les conditions de vente (remises, taxes, frais supplémentaires).</t>
  </si>
  <si>
    <t>Contrôle des différences entre devis, commandes et factures.</t>
  </si>
  <si>
    <t>Validation des ajustements nécessaires après la correction d’erreurs.</t>
  </si>
  <si>
    <t>valider le respect des échéances de facturation</t>
  </si>
  <si>
    <t>Suivi régulier des échéances de facturation selon les contrats ou accords.</t>
  </si>
  <si>
    <t>Automatisation des rappels ou alertes pour les échéances à venir.</t>
  </si>
  <si>
    <t>Vérification des conditions de paiement des factures pour s’assurer de la conformité.</t>
  </si>
  <si>
    <t>Mesure de la ponctualité dans l'émission des factures.</t>
  </si>
  <si>
    <t>Contrôle des retards et gestion proactive des actions à entreprendre pour les factures impayées.</t>
  </si>
  <si>
    <t>contrôler les erreurs ou incohérences avant émission</t>
  </si>
  <si>
    <t>Examen des erreurs potentielles avant l’émission des documents financiers.</t>
  </si>
  <si>
    <t>Utilisation d’un processus de validation multiple pour minimiser les erreurs.</t>
  </si>
  <si>
    <t>Système d’alertes pour signaler les incohérences détectées.</t>
  </si>
  <si>
    <t>Intégration d’une procédure de vérification croisée pour les informations sensibles.</t>
  </si>
  <si>
    <t>Taux d’erreurs détectées avant émission des documents.</t>
  </si>
  <si>
    <t>faciliter la génération automatique des factures</t>
  </si>
  <si>
    <t>Mise en place d'un système automatisé pour générer les factures selon les règles de l’entreprise.</t>
  </si>
  <si>
    <t>Fiabilité du système pour calculer correctement les montants à facturer.</t>
  </si>
  <si>
    <t>Intégration fluide avec les systèmes de gestion des ventes ou des stocks.</t>
  </si>
  <si>
    <t>Facilité l’ajustement pour des cas exceptionnels (remises spéciales, erreurs de facturation).</t>
  </si>
  <si>
    <t>Suivi des factures générées automatiquement et archivage correct des documents.</t>
  </si>
  <si>
    <t>Assurer que chaque facture est générée avec exactitude.</t>
  </si>
  <si>
    <t>Vérification de la correspondance entre les informations sur la commande et la facture.</t>
  </si>
  <si>
    <t>Examen minutieux des montants et des descriptions des produits/services facturés.</t>
  </si>
  <si>
    <t>Validation de l'application correcte des remises et des taxes.</t>
  </si>
  <si>
    <t>Contrôle de l'exactitude des coordonnées du client et de la date de facturation.</t>
  </si>
  <si>
    <t>La facture est générée avec les bonnes informations (montant, client).</t>
  </si>
  <si>
    <t>La facture est-elle générée avec les bonnes informations ?</t>
  </si>
  <si>
    <t>Copie de la facture.</t>
  </si>
  <si>
    <t>Factures incorrectes.</t>
  </si>
  <si>
    <t>Difficulté de recouvrement.</t>
  </si>
  <si>
    <t>Validation des factures</t>
  </si>
  <si>
    <t>s'assurer que chaque facture est approuvée avant envoi</t>
  </si>
  <si>
    <t>contrôler la conformité des données avec les politiques internes</t>
  </si>
  <si>
    <t>vérifier l'absence de doublons dans les envois</t>
  </si>
  <si>
    <t>documenter les étapes de validation pour chaque facture</t>
  </si>
  <si>
    <t>assurer une communication efficace avec les parties prenantes</t>
  </si>
  <si>
    <t>Assurer que chaque facture est validée avant envoi.</t>
  </si>
  <si>
    <t>La facture est validée par un responsable avant envoi.</t>
  </si>
  <si>
    <t>Enregistrement des paiements</t>
  </si>
  <si>
    <t>valider que les paiements sont enregistrés dans les délais</t>
  </si>
  <si>
    <t>La facture a-t-elle été validée avant envoi ?</t>
  </si>
  <si>
    <t>vérifier la correspondance entre paiements et factures</t>
  </si>
  <si>
    <t>Fiche de validation des factures.</t>
  </si>
  <si>
    <t>Envoi de factures non validées.</t>
  </si>
  <si>
    <t>Retards dans le recouvrement.</t>
  </si>
  <si>
    <t>assurer la traçabilité des informations des paiement</t>
  </si>
  <si>
    <t>identifier rapidement les paiements en attente ou en anomalie</t>
  </si>
  <si>
    <t>produire des rapports pour le suivi des encaissements</t>
  </si>
  <si>
    <t>Assurer que chaque paiement est enregistré avec précision.</t>
  </si>
  <si>
    <t>Chaque paiement est enregistré sans délai.</t>
  </si>
  <si>
    <t>Réalisation du rapprochement bancaire</t>
  </si>
  <si>
    <t>garantir que les rapprochements sont faits chaque mois</t>
  </si>
  <si>
    <t>Le paiement est-il enregistré sans délai ?</t>
  </si>
  <si>
    <t>identifier et corriger les écarts significatifs</t>
  </si>
  <si>
    <t>Relevé de paiement.</t>
  </si>
  <si>
    <t>Retard dans l’enregistrement des paiements.</t>
  </si>
  <si>
    <t>Déséquilibres dans les comptes clients.</t>
  </si>
  <si>
    <t>valider l'intégrité des données bancaires et comptables</t>
  </si>
  <si>
    <t>s'assurer que le rapprochement est bien documenté</t>
  </si>
  <si>
    <t>contrôler l'accès aux documents sensibles</t>
  </si>
  <si>
    <t>Vérifier que le rapprochement bancaire est effectué périodiquement.</t>
  </si>
  <si>
    <t>Le rapprochement bancaire est réalisé chaque mois.</t>
  </si>
  <si>
    <t>Validation du rapprochement bancaire</t>
  </si>
  <si>
    <t>s'assurer de la supervision par un responsable autorisé</t>
  </si>
  <si>
    <t>Le rapprochement bancaire est-il effectué chaque mois ?</t>
  </si>
  <si>
    <t>Suivi de la Trésorerie</t>
  </si>
  <si>
    <t>valider l'exactitude des calculs effectués</t>
  </si>
  <si>
    <t>Rapport de rapprochement bancaire mensuel.</t>
  </si>
  <si>
    <t>Écarts non détectés entre comptes bancaires et comptables.</t>
  </si>
  <si>
    <t>Informations financières inexactes.</t>
  </si>
  <si>
    <t>documenter les étapes de vérification du rapprochement</t>
  </si>
  <si>
    <t>identifier rapidement les erreurs ou omissions</t>
  </si>
  <si>
    <t>produire un rapport d'approbation signé</t>
  </si>
  <si>
    <t>Assurer que le rapprochement bancaire est validé par un responsable.</t>
  </si>
  <si>
    <t>Chaque rapprochement bancaire est validé par un responsable.</t>
  </si>
  <si>
    <t>Enregistrement des immobilisations</t>
  </si>
  <si>
    <t>valider que toutes les informations des immobilisations sont complètes et exactes</t>
  </si>
  <si>
    <t>Le rapprochement bancaire est-il validé par un responsable ?</t>
  </si>
  <si>
    <t>Signature d’approbation du rapprochement bancaire.</t>
  </si>
  <si>
    <t>Rapprochement bancaire non validé.</t>
  </si>
  <si>
    <t>Erreurs non corrigées.</t>
  </si>
  <si>
    <t>vérifier que chaque immobilisation est correctement classifiée</t>
  </si>
  <si>
    <t>contrôler la conformité des données aux politiques comptables</t>
  </si>
  <si>
    <t>garantir la traçabilité des modifications des immobilisations</t>
  </si>
  <si>
    <t>assurer une gestion systématique des actifs dans le registre</t>
  </si>
  <si>
    <t>Assurer que chaque immobilisation est enregistrée dans le système avec un enregistrement complet.</t>
  </si>
  <si>
    <t>Chaque immobilisation dispose d’une fiche complète indiquant son nom, sa date d’acquisition, sa valeur et sa durée de vie.</t>
  </si>
  <si>
    <t>L’immobilisation est-elle enregistrée avec toutes les informations requises ?</t>
  </si>
  <si>
    <t>Gestion des Immobilisations</t>
  </si>
  <si>
    <t>Calcul des amortissements</t>
  </si>
  <si>
    <t>s'assurer que la méthode d'amortissement utilisée respecte les normes en vigueur</t>
  </si>
  <si>
    <t>Fiche d’immobilisation complète.</t>
  </si>
  <si>
    <t>Immobilisations mal enregistrées ou incomplètes.</t>
  </si>
  <si>
    <t>Mauvaise gestion des actifs et erreurs d’amortissement.</t>
  </si>
  <si>
    <t>vérifier que les calculs tiennent compte des éventuelles réévaluations des actifs</t>
  </si>
  <si>
    <t>contrôler l'exactitudedes durées d'amortissement affectées à chaque actif</t>
  </si>
  <si>
    <t>documenter les résultats des calculs pour les audits futurs</t>
  </si>
  <si>
    <t>valider la concordance entre les calculs d'amortissement et les états financiers</t>
  </si>
  <si>
    <t>Assurer l’exactitude des calculs d’amortissement pour chaque immobilisation</t>
  </si>
  <si>
    <t>Le calcul de l’amortissement est effectué selon la méthode approuvée (linéaire, dégressif).</t>
  </si>
  <si>
    <t>L’amortissement est-il calculé selon la méthode appropriée ?</t>
  </si>
  <si>
    <t>Validation des calculs d’amortissement</t>
  </si>
  <si>
    <t>garantir que les calculs sont approuvés par un responsable qualifié</t>
  </si>
  <si>
    <t>Rapport de calcul des amortissements.</t>
  </si>
  <si>
    <t>Mauvais calcul de l’amortissement.</t>
  </si>
  <si>
    <t>Valeurs d’actifs incorrectes et impacts financiers.</t>
  </si>
  <si>
    <t>s'assurer que toutes les corrections nécessaires ont été effectuées avant validation</t>
  </si>
  <si>
    <t>contrôler que les calculs sont en adéquation avec les prévisions budgétaires</t>
  </si>
  <si>
    <t>documenter les approbations pour une traçabilité complète</t>
  </si>
  <si>
    <t>mettre en place un suivi des actifs avec des calculs incorrects</t>
  </si>
  <si>
    <t>Vérifier que les calculs d’amortissement sont validés par un responsable.</t>
  </si>
  <si>
    <t>Les calculs d’amortissement sont vérifiés et approuvés par un responsable comptable.</t>
  </si>
  <si>
    <t>Les calculs d’amortissement sont-ils validés par un responsable ?</t>
  </si>
  <si>
    <t>Mise à jour des fiches d’immobilisations</t>
  </si>
  <si>
    <t>vérifier que chaque modifications est documentée et validée</t>
  </si>
  <si>
    <t>Signature d’approbation des calculs d’amortissement.</t>
  </si>
  <si>
    <t>Calculs d’amortissement non validés.</t>
  </si>
  <si>
    <t>Erreurs dans les états financiers.</t>
  </si>
  <si>
    <t>s'assurer que toutes les cessions ou acquisitions sont enregistrées immédiatement</t>
  </si>
  <si>
    <t>contrôler la mise à jour des valeurs des immobilisations suite à des réévaluations</t>
  </si>
  <si>
    <t>garantir la conformité des fiches aus normes d'audit</t>
  </si>
  <si>
    <t>assurer une visibilité constante des immobilisations pour les parties prenantes</t>
  </si>
  <si>
    <t>Assurer que les fiches d’immobilisations sont mises à jour après chaque réévaluation ou cession.</t>
  </si>
  <si>
    <t>Les fiches d’immobilisations sont actualisées suite à toute modification de valeur ou changement de statut.</t>
  </si>
  <si>
    <t>Les fiches d’immobilisations sont-elles mises à jour après chaque modification ?</t>
  </si>
  <si>
    <t>Fiche d’immobilisation mise à jour.</t>
  </si>
  <si>
    <t>Données obsolètes sur les immobilisations.</t>
  </si>
  <si>
    <t>Informations inexactes pour la gestion des actifs.</t>
  </si>
  <si>
    <t>Production des états financiers</t>
  </si>
  <si>
    <t>garantir que les rapports incluent toutes les données obligatoires</t>
  </si>
  <si>
    <t>vérifier que les états sont produits sans erreurs ni omissions</t>
  </si>
  <si>
    <t>s'assurer que chaque rapport est conforme aux normes comptables (IFRS, GAAP)</t>
  </si>
  <si>
    <t>contrôler les impacts financiers pour éviter les fausses déclarations</t>
  </si>
  <si>
    <t>valider les états avant diffusion auprès des parties prenantes</t>
  </si>
  <si>
    <t>Assurer la complétude et l’exactitude des états financiers.</t>
  </si>
  <si>
    <t>Les états financiers incluent toutes les données nécessaires et sont produits sans omission.</t>
  </si>
  <si>
    <t>Les états financiers sont-ils complets et sans omission ?</t>
  </si>
  <si>
    <t>États Financiers et Rapports Comptables</t>
  </si>
  <si>
    <t>États financiers approuvés.</t>
  </si>
  <si>
    <t>Production d’états incomplets.</t>
  </si>
  <si>
    <t>Prises de décision sur des informations incomplètes.</t>
  </si>
  <si>
    <t>Vérification de la conformité des états financiers</t>
  </si>
  <si>
    <t>contrôler que les normes comptables internationales sont respectées</t>
  </si>
  <si>
    <t>vérifier que les ajustements ou régularisations sont correctement intégrés</t>
  </si>
  <si>
    <t>s'assurer que les résultats financiers sont équilibrés et fiables</t>
  </si>
  <si>
    <t>documenter les révisions effectuées pour la conformité</t>
  </si>
  <si>
    <t>anticiper et signaler tout risque de non-conformité réglementairevérifier</t>
  </si>
  <si>
    <t>Assurer la conformité des états financiers aux normes comptables en vigueur.</t>
  </si>
  <si>
    <t>Les états financiers sont conformes aux normes comptables (ex. : IFRS, GAAP).</t>
  </si>
  <si>
    <t>Les états financiers sont-ils conformes aux normes comptables en vigueur ?</t>
  </si>
  <si>
    <t>Rapport de conformité aux normes comptables.</t>
  </si>
  <si>
    <t>États financiers non conformes aux normes.</t>
  </si>
  <si>
    <t>Risque de sanctions réglementaires.</t>
  </si>
  <si>
    <t>Écritures de clôture</t>
  </si>
  <si>
    <t>vérifier que toutes les transactions de l'exercice sont enregistrées avant la clôture</t>
  </si>
  <si>
    <t>contrôler la cohérence des écritures de clôture avec les rapports financiers</t>
  </si>
  <si>
    <t>s'assurer que les écritures respectent les délais imposés par les règlements</t>
  </si>
  <si>
    <t>garantir la validation des écritures de clôture par un responsable qualifié</t>
  </si>
  <si>
    <t>documenter les opérations pour assurer la transparence</t>
  </si>
  <si>
    <t>Assurer que les écritures de clôture sont passées correctement.</t>
  </si>
  <si>
    <t>Toutes les écritures de clôture sont enregistrées avant la fin de l’exercice.</t>
  </si>
  <si>
    <t>Les écritures de clôture sont-elles passées avant la fin de l’exercice ?</t>
  </si>
  <si>
    <t>Conformité et Clôture de Fin d’Année</t>
  </si>
  <si>
    <t>Journal des écritures de clôture.</t>
  </si>
  <si>
    <t>Écritures de clôture non enregistrées.</t>
  </si>
  <si>
    <t>Comptes incomplets en fin d’exercice.</t>
  </si>
  <si>
    <t>Vérification des régularisations</t>
  </si>
  <si>
    <t>contrôler que toutes les régularisations sont exactes et justifiées</t>
  </si>
  <si>
    <t>valider les écritures correctives avant leur intégration dans les comptes</t>
  </si>
  <si>
    <t>s'assurer que les ajustements sont correctement notifiés aux parties prenantes</t>
  </si>
  <si>
    <t>garantir la traçabilité complète des opérations de régularisation</t>
  </si>
  <si>
    <t>vérifier les impacts des régularisations sur les états financiers</t>
  </si>
  <si>
    <t>Assurer l’exactitude des écritures de régularisation.</t>
  </si>
  <si>
    <t>Les écritures de régularisation sont calculées et saisies avec précision.</t>
  </si>
  <si>
    <t>Les écritures de régularisation sont-elles exactes et complètes ?</t>
  </si>
  <si>
    <t>Journal des écritures de régularisation.</t>
  </si>
  <si>
    <t>Écritures de régularisation incorrectes.</t>
  </si>
  <si>
    <t>Résultats financiers faussés.</t>
  </si>
  <si>
    <t>Archivage des documents de clôture</t>
  </si>
  <si>
    <t>s'assurer que tous les documents comptables sont stockés de manière sécurisée</t>
  </si>
  <si>
    <t>vérifier la conformité du processus d'archivage avec les exigences légales</t>
  </si>
  <si>
    <t>garantir l'accessibilité des documents en cas d'audit ou de contrôle</t>
  </si>
  <si>
    <t>documenter les étapes d'archivage pour en garantir la traçabilité</t>
  </si>
  <si>
    <t>mettre à jour régulièrement les systèmes d'archivage pour inclure les nouvelles réglementations</t>
  </si>
  <si>
    <t>Assurer l’archivage des documents comptables pour la conformité.</t>
  </si>
  <si>
    <t>Tous les documents de clôture sont archivés de manière sécurisée.</t>
  </si>
  <si>
    <t>Les documents de clôture sont-ils archivés conformément aux normes ?</t>
  </si>
  <si>
    <t>Archives des documents de clôture.</t>
  </si>
  <si>
    <t>Manque de traçabilité des documents financiers.</t>
  </si>
  <si>
    <t>Difficulté de contrôle et de vérification.</t>
  </si>
  <si>
    <t>Audit et contrôle des Projets Informatiques</t>
  </si>
  <si>
    <t>Objectifs et enjeux du projet</t>
  </si>
  <si>
    <t>Étude d'opportunité et expression des besoins</t>
  </si>
  <si>
    <t>Planification</t>
  </si>
  <si>
    <t>Instances de pilotage</t>
  </si>
  <si>
    <t>Méthodes et outils</t>
  </si>
  <si>
    <t>Qualité</t>
  </si>
  <si>
    <t>Conception générale et analyse</t>
  </si>
  <si>
    <t>Conception détaillée</t>
  </si>
  <si>
    <t>Développement, réalisation ou paramétrage</t>
  </si>
  <si>
    <t>Tests et recettes</t>
  </si>
  <si>
    <t>Documentation</t>
  </si>
  <si>
    <t>Structures mises en place à l'occasion du projet</t>
  </si>
  <si>
    <t>Gestion des évolutions</t>
  </si>
  <si>
    <t>Mise en production</t>
  </si>
  <si>
    <t>S’assurer qu’une étude de la valeur et des études d'opportunité et d'impacts ont été réalisées ;</t>
  </si>
  <si>
    <t>S’assurer qu’un bilan critique des processus existants a été effectué ;</t>
  </si>
  <si>
    <t>S’assure que les objectifs et périmètres du projet sont définis, partagés et stabilisés ;</t>
  </si>
  <si>
    <t>S’assurer que les principales orientations du système cible ont été explicitées ;</t>
  </si>
  <si>
    <t>S’assurer que les liens et impacts avec des projets connexes et les infrastructures (Datacenter, réseaux, etc.) sont pris en compte.</t>
  </si>
  <si>
    <t>S’assurer que l'expression détaillée des besoins est formalisée dans un cahier des charges fait par la MOA ;</t>
  </si>
  <si>
    <t>S’assurer que le cahier des charges préconise une solution fonctionnellement et techniquement pertinente au regard des besoins exprimés ;</t>
  </si>
  <si>
    <t>S’assurer que les exigences utilisateurs, les populations ciblées, les options et principes de gestion retenus sont précisés et priorisés ;</t>
  </si>
  <si>
    <t>S’assurer que le projet est cohérent avec le plan directeur informatique ;</t>
  </si>
  <si>
    <t>S’assurer que le projet est cohérent avec le SI actuel ou futur ;</t>
  </si>
  <si>
    <t>S’assurer qu’il existe un planning directeur commun à tout le projet ;</t>
  </si>
  <si>
    <t>S’assurer qu’il existe un plan de projet initial ;</t>
  </si>
  <si>
    <t>S’assurer que ce plan de projet a été révisé ;</t>
  </si>
  <si>
    <t>S’assurer qu’il existe des plans détaillés ;</t>
  </si>
  <si>
    <t>S’assurer que ces plans ont été révisés ;</t>
  </si>
  <si>
    <t>S’assurer que la structure de pilotage est formalisée et connue de tous les acteurs ;</t>
  </si>
  <si>
    <t>S’assurer que les différentes instances de pilotage connaissent leurs niveaux de délégation ;</t>
  </si>
  <si>
    <t>S’assurer que les objectifs des délégations sont atteints ;</t>
  </si>
  <si>
    <t>S’assurer qu’il existe un comité de pilotage ;</t>
  </si>
  <si>
    <t>S’assurer qu’il existe un comité de projet ;</t>
  </si>
  <si>
    <t>S’assurer qu’il existe une méthode de conduite de projet et celle-ci est appliquée ;</t>
  </si>
  <si>
    <t>S’assurer que la méthode repose sur un découpage des projets en tâches ;</t>
  </si>
  <si>
    <t>S’assurer que la méthode repose sur une attribution formelle des responsabilités par tâche ;</t>
  </si>
  <si>
    <t>S’assurer que la méthode repose sur une identification précise des points de contrôle et des livrables ;</t>
  </si>
  <si>
    <t>S’assurer que la méthode repose sur un reporting des temps à travers une feuille de temps ;</t>
  </si>
  <si>
    <t>S’assurer qu’il existe un dispositif d'assurance qualité documenté ;</t>
  </si>
  <si>
    <t>S’assurer qu’il existe un manuel d'assurance qualité de l'entité ;</t>
  </si>
  <si>
    <t>S’assurer qu’il existe un plan d'assurance qualité du projet ;</t>
  </si>
  <si>
    <t>S’assurer que les objectifs de qualité du produit sont formalisés ;</t>
  </si>
  <si>
    <t>S’assurer que les objectifs de qualité de service attendu sont formalisés ;</t>
  </si>
  <si>
    <t>S’assurer qu’il existe une analyse des différents scénarios possibles en termes de solution retenue ;</t>
  </si>
  <si>
    <t>S’assurer que tous les scénarios ont été envisagés, même celui de ne rien faire ;</t>
  </si>
  <si>
    <t>S’assurer que les contraintes liées aux technologies (besoins en matériels, en formation, en RH, contraintes juridiques, faisabilité opérationnelle, …) ont été prises en compte ;</t>
  </si>
  <si>
    <t>S’assurer qu’une analyse économique (bénéfices attendus, coûts de développement, de formation, de maintenance, …) a été intégrée au choix de la solution ;</t>
  </si>
  <si>
    <t>S’assurer qu’une analyse des risques a été mise en place pour chaque alternative ;</t>
  </si>
  <si>
    <t>S’assurer qu’il existe une méthode d'analyse et de conception ;</t>
  </si>
  <si>
    <t>S’assurer que cette méthode est correctement utilisée ;</t>
  </si>
  <si>
    <t>S’assurer que cette méthode est maîtrisée par l'équipe projet ;</t>
  </si>
  <si>
    <t>S’assurer que les spécifications détaillées sont exhaustives par rapport au cahier des charges ;</t>
  </si>
  <si>
    <t>S’assurer qu’il existe des contrôles adaptés à chaque point critique du système (préventifs et correctifs) ;</t>
  </si>
  <si>
    <t>S’assurer qu’il existe une méthode de développement ;</t>
  </si>
  <si>
    <t>S’assurer que cette méthode est parfaitement maîtrisée par les développeurs ;</t>
  </si>
  <si>
    <t>S’assurer qu’il existe des normes de documentation ;</t>
  </si>
  <si>
    <t>S’assurer que ces normes sont appliquées par les développeurs ;</t>
  </si>
  <si>
    <t>S’assurer que la MOE réalise des tests ;</t>
  </si>
  <si>
    <t>S’assurer que la MOE s'assure que chacun des composants de l'application fonctionne tel qu'il a été décrit dans le dossier de spécifications ;</t>
  </si>
  <si>
    <t>S’assurer que la MOE réalise des tests sur l'ensemble des composants de l'application sur le plan fonctionnel et technique ;</t>
  </si>
  <si>
    <t>S’assurer que la MOE réalise des tests sur les interfaces de l'application dans le SI ;</t>
  </si>
  <si>
    <t>S’assurer que des tests utilisateurs sont réalisés ;</t>
  </si>
  <si>
    <t>Conduite du changement et mise en œuvre</t>
  </si>
  <si>
    <t>S’assurer qu’il existe une synthèse de l'évaluation des changements ;</t>
  </si>
  <si>
    <t>S’assurer que l'évaluation des changements a été validée ;</t>
  </si>
  <si>
    <t>S’assurer que les entretiens réalisés sont représentatifs ;</t>
  </si>
  <si>
    <t>S’assurer que les utilisateurs participent à l'évaluation des changements ;</t>
  </si>
  <si>
    <t>S’assurer qu’il existe un plan de communication complet ;</t>
  </si>
  <si>
    <t>S’assurer qu’il existe un manuel d'utilisation ;</t>
  </si>
  <si>
    <t>S’assurer que le manuel utilisateur est conforme aux normes en vigueur ;</t>
  </si>
  <si>
    <t>S’assurer que le manuel d’utilisateur est disponible et compréhensible par l'ensemble des utilisateurs ;</t>
  </si>
  <si>
    <t>S’assurer que le manuel utilisateur comprend les objets du système et la description des dessins d'écran et des commandes disponibles ;</t>
  </si>
  <si>
    <t>S’assurer que le manuel utilisateur comprend les responsables concernant le redressement des erreurs ou anomalies ;</t>
  </si>
  <si>
    <t>S’assurer que les rôles et les responsabilités respectifs de la MOA et de la MOE sont clairement définis ;</t>
  </si>
  <si>
    <t>S’assurer que les prérogatives du chef de projet sont clairement définies ;</t>
  </si>
  <si>
    <t>S’assurer que le chef de projet dispose de l'autorité suffisante pour résoudre les éventuels conflits ;</t>
  </si>
  <si>
    <t>S’assurer que la MOA et la MOE disposent des compétences et des ressources managériales, techniques et fonctionnelles suffisantes ;</t>
  </si>
  <si>
    <t>S’assurer que les principales décisions et orientations du projet sont prises par le niveau de management adéquat ;</t>
  </si>
  <si>
    <t>S’assurer que les demandes d'évolution du périmètre sont fréquentes ;</t>
  </si>
  <si>
    <t>S’assurer que les demandes d'évolutions sont formalisées ;</t>
  </si>
  <si>
    <t>S’assurer qu’il existe une procédure de gestion des évolutions du périmètre ;</t>
  </si>
  <si>
    <t>S’assurer qu’une mesure d'impact est effectuée ;</t>
  </si>
  <si>
    <t>S’assurer qu’il existe une gestion des versions ;</t>
  </si>
  <si>
    <t>S’assurer qu’il existe un document décrivant les responsabilités respectives des projets et de la production lors d’une mise en production ;</t>
  </si>
  <si>
    <t>S’assurer que les équipes projet et de production connaissent et respectent ce document ;</t>
  </si>
  <si>
    <t>S’assurer que les membres de l’organisation et les fournisseurs respectent leurs obligations lors de la mise en production ;</t>
  </si>
  <si>
    <t>Existe-t-il une étude de la valeur validée ?</t>
  </si>
  <si>
    <t>Domaine</t>
  </si>
  <si>
    <t>Audit du Support Utilisateur et de la Gestion du Parc</t>
  </si>
  <si>
    <t>Fonction support : audit fiabilité et sécurité</t>
  </si>
  <si>
    <t>S’assurer qu’une structure de centre d’assistance (help-desk) (HD) est mise en place</t>
  </si>
  <si>
    <t>S’assurer qu’une procédure de gestion des demandes d’assistance est diffusée et connue des utilisateurs</t>
  </si>
  <si>
    <t xml:space="preserve">S’assurer qu’une procédure d'escalade mise en place  S’assurer de la couverture  </t>
  </si>
  <si>
    <t>géographique du HD</t>
  </si>
  <si>
    <t>S’assurer de la couverture fonctionnelle du HD</t>
  </si>
  <si>
    <t>Fonction support : audit d'efficacité et de performance</t>
  </si>
  <si>
    <t>S’assurer qu’il existe une aide à la saisie pour la saisie des tickets</t>
  </si>
  <si>
    <t>S’assurer qu’il existe des revues qualité pour la saisie des tickets</t>
  </si>
  <si>
    <t>Vérifier l’existence d’une base de connaissance</t>
  </si>
  <si>
    <t>S’assurer qu’une procédure de mise à jour de la base de connaissance existe</t>
  </si>
  <si>
    <t>S’assurer que les appels sont enregistrés</t>
  </si>
  <si>
    <t>Gestion du parc matériel et logiciel : audit fiabilité et sécurité</t>
  </si>
  <si>
    <t>Vérifier la procédure de déploiement des mises à jour, d’un nouveau logiciel</t>
  </si>
  <si>
    <t>Vérifier les outils mis en place pour gérer les versions des logiciels</t>
  </si>
  <si>
    <t>Vérifier les outils mis en place pour gérer le matériel informatique</t>
  </si>
  <si>
    <t>S’assurer qu’il existe un processus spécifique pour le suivi des mises à jour sur les portables</t>
  </si>
  <si>
    <t>S’assurer que le déploiement de nouveaux logiciels ou mises à jour est possible à distance (utile pour les utilisateurs nomades)</t>
  </si>
  <si>
    <t>Gestion du parc matériel et logiciel : audit d'efficacité et de performance</t>
  </si>
  <si>
    <t>Vérifier comment est effectué l'inventaire des licences (logiciel, version, date de mise en production, nombre d'utilisateurs)</t>
  </si>
  <si>
    <t>S’assurer que les outils de type SAM (Software Asset Management) sont déployés</t>
  </si>
  <si>
    <t>S’assurer qu’il existe des revues régulières des licences</t>
  </si>
  <si>
    <t xml:space="preserve">Vérifier que des audits sont réalisés  </t>
  </si>
  <si>
    <t>Vérifier qu’une politique logicielle existe</t>
  </si>
  <si>
    <t>Réalisation d’une étude de la valeur</t>
  </si>
  <si>
    <t>Dernier rapport d’audit du domaine d’audit</t>
  </si>
  <si>
    <t>Études d’opportunité menées</t>
  </si>
  <si>
    <t>Les études d’opportunité ont-elles été menées ?</t>
  </si>
  <si>
    <t>Dernier rapport d’audit de l’ANTIC</t>
  </si>
  <si>
    <t>Évaluation des impacts</t>
  </si>
  <si>
    <t>Les impacts ont-ils été évalués et documentés ?</t>
  </si>
  <si>
    <t>Diagramme de flux de données, des applications du domaine d’audit</t>
  </si>
  <si>
    <t>Intégration des résultats</t>
  </si>
  <si>
    <t>Les résultats ont-ils été intégrés dans les décisions ?</t>
  </si>
  <si>
    <t>Comptes rendus des comités ou groupes de travail (GT)</t>
  </si>
  <si>
    <t>Suivi des recommandations</t>
  </si>
  <si>
    <t>Un suivi des recommandations a-t-il été réalisé ?</t>
  </si>
  <si>
    <t>Dernier rapport de suivi de recommandations issues du rapport de l’ANTIC</t>
  </si>
  <si>
    <t>État des lieux réalisé</t>
  </si>
  <si>
    <t>Un état des lieux des processus actuels a-t-il été réalisé ?</t>
  </si>
  <si>
    <t>Manuel des procédures des divisions en charge du domaine d’audit</t>
  </si>
  <si>
    <t>Identification des dysfonctionnements</t>
  </si>
  <si>
    <t>Les dysfonctionnements ont-ils été identifiés ?</t>
  </si>
  <si>
    <t>Rapport de traitement des incidents</t>
  </si>
  <si>
    <t>Implication des utilisateurs</t>
  </si>
  <si>
    <t>Les utilisateurs ont-ils été consultés dans le diagnostic ?</t>
  </si>
  <si>
    <t>Bilan de la satisfaction des utilisateurs</t>
  </si>
  <si>
    <t>Utilisation de référentiels externes</t>
  </si>
  <si>
    <t>Le diagnostic s’appuie-t-il sur des référentiels externes ?</t>
  </si>
  <si>
    <t>Bilan de qualité logiciel</t>
  </si>
  <si>
    <t>Formalisation du diagnostic</t>
  </si>
  <si>
    <t>Le diagnostic est-il documenté formellement ?</t>
  </si>
  <si>
    <t>Objectifs définis</t>
  </si>
  <si>
    <t>Les objectifs du projet sont-ils clairement définis ?</t>
  </si>
  <si>
    <t>Périmètre stabilisé</t>
  </si>
  <si>
    <t>Le périmètre du projet est-il formalisé et stabilisé ?</t>
  </si>
  <si>
    <t>Cahiers de charges</t>
  </si>
  <si>
    <t>Objectifs partagés</t>
  </si>
  <si>
    <t>Les objectifs ont-ils été communiqués aux parties prenantes ?</t>
  </si>
  <si>
    <t>PV de comité</t>
  </si>
  <si>
    <t>Cohérence avec stratégie</t>
  </si>
  <si>
    <t>Les objectifs sont-ils alignés avec la stratégie de l’organisation ?</t>
  </si>
  <si>
    <t>Validation formelle</t>
  </si>
  <si>
    <t>Une validation formelle des objectifs/périmètre a-t-elle eu lieu ?</t>
  </si>
  <si>
    <t>Architecture cible définie</t>
  </si>
  <si>
    <t>L’architecture cible a-t-elle été décrite ?</t>
  </si>
  <si>
    <t>Schéma / diagramme d’interaction des applications informatiques métiers</t>
  </si>
  <si>
    <t>Communication des orientations</t>
  </si>
  <si>
    <t>Les orientations ont-elles été diffusées ?</t>
  </si>
  <si>
    <t>Alignement avec plan directeur</t>
  </si>
  <si>
    <t>Les orientations sont-elles alignées avec le plan directeur SI ?</t>
  </si>
  <si>
    <t>Justification des choix techniques</t>
  </si>
  <si>
    <t>Les choix techniques ont-ils été justifiés ?</t>
  </si>
  <si>
    <t>Contraintes d’infrastructure prises en compte</t>
  </si>
  <si>
    <t>Les contraintes techniques ont-elles été considérées ?</t>
  </si>
  <si>
    <t>Infrastructure logicielle et matérielle hébergeant les applications</t>
  </si>
  <si>
    <t>Projets connexes identifiés</t>
  </si>
  <si>
    <t>Les projets connexes ont-ils été identifiés ?</t>
  </si>
  <si>
    <t>Étude des impacts croisés</t>
  </si>
  <si>
    <t>Une étude d’impact croisée a-t-elle été conduite ?</t>
  </si>
  <si>
    <t>Coordination entre projets</t>
  </si>
  <si>
    <t>Une coordination avec les chefs des projets connexes existe-t-elle ?</t>
  </si>
  <si>
    <t>Analyse des dépendances techniques</t>
  </si>
  <si>
    <t>Les dépendances techniques ont-elles été évaluées ?</t>
  </si>
  <si>
    <t>Rapport d’audit du domaine d’audit</t>
  </si>
  <si>
    <t>Synchronisation des calendriers</t>
  </si>
  <si>
    <t>Les plannings sont-ils synchronisés entre projets ?</t>
  </si>
  <si>
    <t>Implication de la MOA</t>
  </si>
  <si>
    <t>La MOA a-t-elle rédigé l'expression des besoins ?</t>
  </si>
  <si>
    <t>Détail des besoins fonctionnels</t>
  </si>
  <si>
    <t>Les besoins fonctionnels sont-ils clairement exprimés ?</t>
  </si>
  <si>
    <t>Contraintes techniques identifiées</t>
  </si>
  <si>
    <t>Les contraintes techniques ont-elles été spécifiées ?</t>
  </si>
  <si>
    <t>Structure du document</t>
  </si>
  <si>
    <t>Le document d’expression des besoins est-il bien structuré ?</t>
  </si>
  <si>
    <t>Validation de l’expression des besoins</t>
  </si>
  <si>
    <t>L’expression des besoins a-t-elle été validée ?</t>
  </si>
  <si>
    <t>Solution en adéquation avec les besoins</t>
  </si>
  <si>
    <t>La solution proposée correspond-elle aux besoins exprimés ?</t>
  </si>
  <si>
    <t>Respect des standards techniques</t>
  </si>
  <si>
    <t>La solution respecte-t-elle les standards définis ?</t>
  </si>
  <si>
    <t>Justification de la solution retenue</t>
  </si>
  <si>
    <t>Le choix de la solution est-il justifié ?</t>
  </si>
  <si>
    <t>Analyse de faisabilité réalisée</t>
  </si>
  <si>
    <t>Une analyse de faisabilité a-t-elle été effectuée ?</t>
  </si>
  <si>
    <t>Les avis de la MOA et de la MOE ont-ils été considérés ?</t>
  </si>
  <si>
    <t>Exigences utilisateurs identifiées</t>
  </si>
  <si>
    <t>Les exigences utilisateurs sont-elles identifiées ?</t>
  </si>
  <si>
    <t>Exigences classées par priorité</t>
  </si>
  <si>
    <t>Ces exigences sont-elles hiérarchisées selon leur importance ?</t>
  </si>
  <si>
    <t>Options de gestion décrites</t>
  </si>
  <si>
    <t>Les options de gestion sont-elles bien décrites ?</t>
  </si>
  <si>
    <t>Cibles du projet définies</t>
  </si>
  <si>
    <t>Les populations cibles ont-elles été correctement définies ?</t>
  </si>
  <si>
    <t>Intégration des exigences dans la solution</t>
  </si>
  <si>
    <t>Les exigences ont-elles été intégrées dans la solution retenue ?</t>
  </si>
  <si>
    <t>Alignement stratégique</t>
  </si>
  <si>
    <t>Le projet est-il aligné avec le plan directeur SI ?</t>
  </si>
  <si>
    <t>Intégration des objectifs globaux</t>
  </si>
  <si>
    <t>Les objectifs globaux sont-ils pris en compte ?</t>
  </si>
  <si>
    <t>Respect des priorités du plan directeur</t>
  </si>
  <si>
    <t>Le projet respecte-t-il les priorités fixées ?</t>
  </si>
  <si>
    <t>Intégration dans les chantiers existants</t>
  </si>
  <si>
    <t>Le projet s’insère-t-il bien dans les chantiers en cours ?</t>
  </si>
  <si>
    <t>Révision en fonction du plan directeur</t>
  </si>
  <si>
    <t>Le projet a-t-il été réajusté suite aux évolutions du plan ?</t>
  </si>
  <si>
    <t>Prise en compte du SI actuel</t>
  </si>
  <si>
    <t>Le projet prend-il en compte le SI existant ?</t>
  </si>
  <si>
    <t>Compatibilité avec l’architecture cible</t>
  </si>
  <si>
    <t>Le projet est-il compatible avec l’architecture cible ?</t>
  </si>
  <si>
    <t>Respect des normes internes</t>
  </si>
  <si>
    <t>Les normes internes sont-elles respectées ?</t>
  </si>
  <si>
    <t>Prise en compte des applications existantes</t>
  </si>
  <si>
    <t>Les applications existantes sont-elles prises en compte ?</t>
  </si>
  <si>
    <t>Impact sur le SI futur analysé</t>
  </si>
  <si>
    <t>L’impact du projet sur le SI futur a-t-il été analysé ?</t>
  </si>
  <si>
    <t>Avis de la MOA / MOE pris en compte</t>
  </si>
  <si>
    <t>Élaboration du planning directeur</t>
  </si>
  <si>
    <t>Un planning directeur a-t-il été élaboré ?</t>
  </si>
  <si>
    <t>Partage du planning directeur</t>
  </si>
  <si>
    <t>Le planning directeur est-il partagé avec tous les acteurs ?</t>
  </si>
  <si>
    <t>Intégration des sous-projets</t>
  </si>
  <si>
    <t>Le planning intègre-t-il l’ensemble des sous-projets concernés ?</t>
  </si>
  <si>
    <t>Mise à jour du planning directeur</t>
  </si>
  <si>
    <t>Le planning directeur est-il mis à jour régulièrement ?</t>
  </si>
  <si>
    <t>Validation du planning</t>
  </si>
  <si>
    <t>Le planning directeur a-t-il été validé formellement ?</t>
  </si>
  <si>
    <t>Plan de projet rédigé</t>
  </si>
  <si>
    <t>Un plan de projet initial a-t-il été rédigé ?</t>
  </si>
  <si>
    <t>Détail des jalons et livrables</t>
  </si>
  <si>
    <t>Le plan de projet détaille-t-il les jalons et les livrables ?</t>
  </si>
  <si>
    <t>Identification des ressources nécessaires</t>
  </si>
  <si>
    <t>Les ressources sont-elles identifiées dans le plan de projet ?</t>
  </si>
  <si>
    <t>Identification des parties prenantes</t>
  </si>
  <si>
    <t>Le plan de projet mentionne-t-il les parties prenantes ?</t>
  </si>
  <si>
    <t>Cohérence avec les objectifs</t>
  </si>
  <si>
    <t>Le plan est-il en cohérence avec les objectifs du projet ?</t>
  </si>
  <si>
    <t>Révision planifiée</t>
  </si>
  <si>
    <t>Une procédure de révision du plan initial existe-t-elle ?</t>
  </si>
  <si>
    <t>Version actuelle du plan identifiable</t>
  </si>
  <si>
    <t>Peut-on identifier clairement la version actuelle du plan ?</t>
  </si>
  <si>
    <t>Traçabilité des modifications</t>
  </si>
  <si>
    <t>Les modifications sont-elles tracées ?</t>
  </si>
  <si>
    <t>Communication des versions révisées</t>
  </si>
  <si>
    <t>Les versions révisées sont-elles communiquées aux équipes ?</t>
  </si>
  <si>
    <t>Validation des révisions</t>
  </si>
  <si>
    <t>Les révisions ont-elles été validées par les instances compétentes ?</t>
  </si>
  <si>
    <t>Plans détaillés formalisés</t>
  </si>
  <si>
    <t>Des plans détaillés ont-ils été formalisés ?</t>
  </si>
  <si>
    <t>Plans par lot ou par domaine</t>
  </si>
  <si>
    <t>Les plans sont-ils organisés par lot ou domaine fonctionnel ?</t>
  </si>
  <si>
    <t>Détail des charges et délais</t>
  </si>
  <si>
    <t>Les charges et délais sont-ils précisés dans les plans ?</t>
  </si>
  <si>
    <t>Plans mis à disposition</t>
  </si>
  <si>
    <t>Les plans sont-ils disponibles pour les parties prenantes ?</t>
  </si>
  <si>
    <t>Mise à jour des plans détaillés</t>
  </si>
  <si>
    <t>Les plans sont-ils mis à jour régulièrement ?</t>
  </si>
  <si>
    <t>Révisions planifiées</t>
  </si>
  <si>
    <t>Les révisions des plans détaillés sont-elles planifiées ?</t>
  </si>
  <si>
    <t>Historique des versions disponible</t>
  </si>
  <si>
    <t>Un historique des versions est-il disponible ?</t>
  </si>
  <si>
    <t>Diffusion des versions révisées</t>
  </si>
  <si>
    <t>Les versions révisées sont-elles diffusées ?</t>
  </si>
  <si>
    <t>Validation des versions révisées</t>
  </si>
  <si>
    <t>Les versions révisées ont-elles été validées ?</t>
  </si>
  <si>
    <t>Impact des révisions analysé</t>
  </si>
  <si>
    <t>L’impact des révisions a-t-il été analysé ?</t>
  </si>
  <si>
    <t>Structure formalisée</t>
  </si>
  <si>
    <t>Une structure de pilotage formalisée existe-t-elle ?</t>
  </si>
  <si>
    <t>Rôles et responsabilités définis</t>
  </si>
  <si>
    <t>Les rôles et responsabilités sont-ils clairement définis ?</t>
  </si>
  <si>
    <t>Documentation de la structure</t>
  </si>
  <si>
    <t>La structure de pilotage est-elle documentée ?</t>
  </si>
  <si>
    <t>Communication aux acteurs</t>
  </si>
  <si>
    <t>La structure est-elle connue de tous les acteurs concernés ?</t>
  </si>
  <si>
    <t>Alignement avec la gouvernance projet</t>
  </si>
  <si>
    <t>La structure est-elle alignée avec la gouvernance du projet ?</t>
  </si>
  <si>
    <t>Délégations définies</t>
  </si>
  <si>
    <t>Les niveaux de délégation sont-ils définis ?</t>
  </si>
  <si>
    <t>Délégations communiquées</t>
  </si>
  <si>
    <t>Ces niveaux sont-ils communiqués aux instances concernées ?</t>
  </si>
  <si>
    <t>Délégations conformes aux règles internes</t>
  </si>
  <si>
    <t>Les délégations respectent-elles les règles de gouvernance interne ?</t>
  </si>
  <si>
    <t>Outils de suivi des délégations</t>
  </si>
  <si>
    <t>Des outils de suivi des délégations existent-ils ?</t>
  </si>
  <si>
    <t>Mise à jour des délégations</t>
  </si>
  <si>
    <t>Les délégations sont-elles révisées en cas de changement organisationnel ?</t>
  </si>
  <si>
    <t>Objectifs fixés</t>
  </si>
  <si>
    <t>Des objectifs ont-ils été fixés pour chaque délégation ?</t>
  </si>
  <si>
    <t>Objectifs mesurables</t>
  </si>
  <si>
    <t>Ces objectifs sont-ils mesurables ?</t>
  </si>
  <si>
    <t>Suivi des objectifs</t>
  </si>
  <si>
    <t>Un suivi régulier des objectifs est-il effectué ?</t>
  </si>
  <si>
    <t>Objectifs atteints</t>
  </si>
  <si>
    <t>Les objectifs assignés sont-ils atteints ?</t>
  </si>
  <si>
    <t>Actions correctives en cas d’écart</t>
  </si>
  <si>
    <t>Des actions correctives sont-elles prises si les objectifs ne sont pas atteints ?</t>
  </si>
  <si>
    <t>Comité officiellement institué</t>
  </si>
  <si>
    <t>Un comité de pilotage a-t-il été officiellement institué ?</t>
  </si>
  <si>
    <t>Composition conforme</t>
  </si>
  <si>
    <t>La composition du comité est-elle conforme aux attentes ?</t>
  </si>
  <si>
    <t>Réunions régulières</t>
  </si>
  <si>
    <t>Le comité de pilotage se réunit-il régulièrement ?</t>
  </si>
  <si>
    <t>Comptes rendus disponibles</t>
  </si>
  <si>
    <t>Les comptes rendus des réunions sont-ils produits et diffusés ?</t>
  </si>
  <si>
    <t>Prises de décision documentées</t>
  </si>
  <si>
    <t>Les décisions du comité sont-elles formalisées ?</t>
  </si>
  <si>
    <t>Comité de projet mis en place</t>
  </si>
  <si>
    <t>Un comité de projet est-il mis en place ?</t>
  </si>
  <si>
    <t>Composition documentée</t>
  </si>
  <si>
    <t>La composition du comité de projet est-elle formalisée ?</t>
  </si>
  <si>
    <t>Implication dans le suivi</t>
  </si>
  <si>
    <t>Le comité participe-t-il activement au suivi du projet ?</t>
  </si>
  <si>
    <t>Fréquence des réunions</t>
  </si>
  <si>
    <t>Le comité de projet se réunit-il à une fréquence régulière ?</t>
  </si>
  <si>
    <t>Suivi des décisions</t>
  </si>
  <si>
    <t>Le suivi des décisions du comité est-il assuré ?</t>
  </si>
  <si>
    <t>Présence d’une équipe dédiée</t>
  </si>
  <si>
    <t>Une structure formelle de help-desk est-elle mise en place ?</t>
  </si>
  <si>
    <t>Absence de support structuré</t>
  </si>
  <si>
    <t>Disponibilité continue</t>
  </si>
  <si>
    <t>Le HD fonctionne-t-il selon une plage horaire définie ?</t>
  </si>
  <si>
    <t>Rapports de supervision</t>
  </si>
  <si>
    <t>Non-disponibilité du support</t>
  </si>
  <si>
    <t>Affectation des rôles</t>
  </si>
  <si>
    <t>Les responsabilités sont-elles définies ?</t>
  </si>
  <si>
    <t>Matrices des rôles et responsabilités</t>
  </si>
  <si>
    <t>Confusion dans les interventions</t>
  </si>
  <si>
    <t>Ressources suffisantes</t>
  </si>
  <si>
    <t>Le HD dispose-t-il des ressources humaines et matérielles suffisantes ?</t>
  </si>
  <si>
    <t>Bilans qualité</t>
  </si>
  <si>
    <t>Surcharge ou délais prolongés</t>
  </si>
  <si>
    <t>Accès à distance</t>
  </si>
  <si>
    <t>Les utilisateurs peuvent-ils joindre le HD à distance ?</t>
  </si>
  <si>
    <t>Politiques de sécurité</t>
  </si>
  <si>
    <t>Limitations pour sites éloignés</t>
  </si>
  <si>
    <t>Organigramme de l'entité</t>
  </si>
  <si>
    <t>Bilans qualité logiciel</t>
  </si>
  <si>
    <t>La procédure est formalisée</t>
  </si>
  <si>
    <t>Existe-t-il une procédure écrite ?</t>
  </si>
  <si>
    <t>Manuels de procédures</t>
  </si>
  <si>
    <t>Gestion non homogène</t>
  </si>
  <si>
    <t>La procédure est diffusée</t>
  </si>
  <si>
    <t>Est-elle envoyée ou affichée ?</t>
  </si>
  <si>
    <t>Politiques d’accès</t>
  </si>
  <si>
    <t>Incompréhension des règles</t>
  </si>
  <si>
    <t>Les utilisateurs sont formés</t>
  </si>
  <si>
    <t>Une sensibilisation a-t-elle été organisée ?</t>
  </si>
  <si>
    <t>Plans de formation</t>
  </si>
  <si>
    <t>Demandes incorrectes</t>
  </si>
  <si>
    <t>La procédure est comprise</t>
  </si>
  <si>
    <t>A-t-elle été rédigée dans un langage accessible ?</t>
  </si>
  <si>
    <t>Comptes rendus de comités</t>
  </si>
  <si>
    <t>Mauvaise interprétation</t>
  </si>
  <si>
    <t>La procédure est à jour</t>
  </si>
  <si>
    <t>Date de mise à jour visible et récente ?</t>
  </si>
  <si>
    <t>Rapports d’audit</t>
  </si>
  <si>
    <t>Utilisation d’une version obsolète</t>
  </si>
  <si>
    <t>Une procédure d’escalade existe</t>
  </si>
  <si>
    <t>Est-elle officiellement définie ?</t>
  </si>
  <si>
    <t>Blocage des incidents critiques</t>
  </si>
  <si>
    <t>Les niveaux sont clairs</t>
  </si>
  <si>
    <t>Chaque niveau d’escalade est-il documenté ?</t>
  </si>
  <si>
    <t>Matrices d’accès</t>
  </si>
  <si>
    <t>Mauvaise orientation</t>
  </si>
  <si>
    <t>Les délais sont spécifiés</t>
  </si>
  <si>
    <t>Les délais d’intervention sont-ils précisés ?</t>
  </si>
  <si>
    <t>Allongement des résolutions</t>
  </si>
  <si>
    <t>Les responsabilités sont attribuées</t>
  </si>
  <si>
    <t>Chaque intervenant est-il identifié ?</t>
  </si>
  <si>
    <t>Organigrammes</t>
  </si>
  <si>
    <t>Fuite de responsabilité</t>
  </si>
  <si>
    <t>Le processus est testé</t>
  </si>
  <si>
    <t>Y a-t-il eu une simulation d’escalade ?</t>
  </si>
  <si>
    <t>Inefficacité en situation réelle</t>
  </si>
  <si>
    <t>Le HD couvre tous les sites</t>
  </si>
  <si>
    <t>Le support est-il disponible sur chaque site ?</t>
  </si>
  <si>
    <t>Sites non desservis</t>
  </si>
  <si>
    <t>L’accès distant est prévu</t>
  </si>
  <si>
    <t>Existe-t-il une assistance en ligne ou téléphone ?</t>
  </si>
  <si>
    <t>Description d’application</t>
  </si>
  <si>
    <t>Retard dans la prise en charge</t>
  </si>
  <si>
    <t>Les horaires couvrent tous les sites</t>
  </si>
  <si>
    <t>Le service est-il adapté aux fuseaux horaires ?</t>
  </si>
  <si>
    <t>Heures creuses sans support</t>
  </si>
  <si>
    <t>Les besoins locaux sont identifiés</t>
  </si>
  <si>
    <t>Un interlocuteur local est-il désigné ?</t>
  </si>
  <si>
    <t>Manque de proximité</t>
  </si>
  <si>
    <t>Le suivi géographique est assuré</t>
  </si>
  <si>
    <t>Un rapport par site est-il établi régulièrement ?</t>
  </si>
  <si>
    <t>Zones invisibles dans l’analyse</t>
  </si>
  <si>
    <t>Le HD couvre les fonctions critiques</t>
  </si>
  <si>
    <t>Tous les services sont-ils supportés ?</t>
  </si>
  <si>
    <t>Descriptifs d'applications</t>
  </si>
  <si>
    <t>Failles dans le support</t>
  </si>
  <si>
    <t>Les agents comprennent les outils métiers</t>
  </si>
  <si>
    <t>Une formation métier est-elle assurée ?</t>
  </si>
  <si>
    <t>Réponses inadéquates</t>
  </si>
  <si>
    <t>Les relais métier coopèrent</t>
  </si>
  <si>
    <t>Des interlocuteurs fonctionnels sont-ils désignés ?</t>
  </si>
  <si>
    <t>Temps de traitement élevé</t>
  </si>
  <si>
    <t>La documentation fonctionnelle est disponible</t>
  </si>
  <si>
    <t>Les processus métiers sont-ils décrits ?</t>
  </si>
  <si>
    <t>Interprétations erronées</t>
  </si>
  <si>
    <t>Les tickets métiers sont analysés régulièrement</t>
  </si>
  <si>
    <t>Un rapport thématique est-il produit ?</t>
  </si>
  <si>
    <t>Répétition des incidents</t>
  </si>
  <si>
    <t>Tableau de bord</t>
  </si>
  <si>
    <t>Politiques SI et de sécurité SI de l’organisation</t>
  </si>
  <si>
    <t>Matrice des tâches et fonctions incompatibles</t>
  </si>
  <si>
    <t>Plan d’occupation des sols (POS) du SI et la liste des responsables de zones fonctionnelles</t>
  </si>
  <si>
    <t>Manuels d’utilisation des applications du domaine d’audit</t>
  </si>
  <si>
    <t>Fiches de postes de la DSI</t>
  </si>
  <si>
    <t>Politique RH et de formation</t>
  </si>
  <si>
    <t>Comptes rendus des comités ou groupes de travail (GT) consacrés pour tout ou partie aux SI</t>
  </si>
  <si>
    <t>Procédure de suppression/désactivation d’un utilisateur dans les applications du domaine d’audit</t>
  </si>
  <si>
    <t>Organigramme de l’entité</t>
  </si>
  <si>
    <t>Procédure de modification/changement de profil d’un utilisateur dans les applications du domaine d’audit</t>
  </si>
  <si>
    <t>Organigramme des projets et la définition des rôles et responsabilités ; Cahiers de charges</t>
  </si>
  <si>
    <t>États financiers de la période</t>
  </si>
  <si>
    <t>Manuels d’administration des applications du domaine d’audit</t>
  </si>
  <si>
    <t>Liste des applications informatiques, avec leur descriptif</t>
  </si>
  <si>
    <t>Date, objet, et descriptif des 5 dernières mises à jour des applications du domaine d’audit</t>
  </si>
  <si>
    <t>Organigramme fonctionnel de la DSI</t>
  </si>
  <si>
    <t>Planning de formation avec liste des personnes formées</t>
  </si>
  <si>
    <t>Infrastructure logicielle et matérielle hébergeant les applications du domaine d’audit</t>
  </si>
  <si>
    <t>Charte de l’utilisation des SI à laquelle sont soumis les membres de l’organisation</t>
  </si>
  <si>
    <t>Matrice des autorisations/droits d’accès pour chaque application du domaine d’audit</t>
  </si>
  <si>
    <t>Liste des responsables de la DSI en charge de l’administration/support/maintenance des applications du domaine d’audit</t>
  </si>
  <si>
    <t>Liste des applications informatiques</t>
  </si>
  <si>
    <t>Rapports de traitements des incidents</t>
  </si>
  <si>
    <t>Procédure de création d’un nouvel utilisateur dans les applications du domaine d’audit</t>
  </si>
  <si>
    <t>Liste et le poids financier des principaux marchés SI en cours</t>
  </si>
  <si>
    <t>Procédures encadrant la gestion des incidents survenus en lien avec les applications du domaine d’audit</t>
  </si>
  <si>
    <t>Liste des 100 derniers incidents survenus dans le domaine d’audit, ainsi que le sort qui leur a été réservé</t>
  </si>
  <si>
    <t>Liste des responsables présents dans le processus du domaine d’audit</t>
  </si>
  <si>
    <t>Stratégie de migration des données et la méthodologie de reprise des données retenue par l’organisation</t>
  </si>
  <si>
    <t>Méthode de conduite documentée</t>
  </si>
  <si>
    <t>Existe-t-il une méthode de conduite de projet formalisée ?</t>
  </si>
  <si>
    <t>Application de la méthode</t>
  </si>
  <si>
    <t>Cette méthode est-elle appliquée dans les projets ?</t>
  </si>
  <si>
    <t>Diffusion de la méthode</t>
  </si>
  <si>
    <t>La méthode est-elle connue des parties prenantes ?</t>
  </si>
  <si>
    <t>Vérification périodique</t>
  </si>
  <si>
    <t>Des contrôles de conformité à la méthode sont-ils réalisés ?</t>
  </si>
  <si>
    <t>Alignement avec les standards</t>
  </si>
  <si>
    <t>La méthode suit-elle les standards internes de gestion de projet ?</t>
  </si>
  <si>
    <t>Découpage documenté</t>
  </si>
  <si>
    <t>Le découpage en tâches est-il formalisé ?</t>
  </si>
  <si>
    <t>Cohérence des tâches</t>
  </si>
  <si>
    <t>Les tâches sont-elles cohérentes avec les objectifs projet ?</t>
  </si>
  <si>
    <t>Organigramme des projets et la définition des rôles et responsabilités</t>
  </si>
  <si>
    <t>Granularité adéquate</t>
  </si>
  <si>
    <t>Les tâches sont-elles suffisamment détaillées ?</t>
  </si>
  <si>
    <t>Utilisation dans les outils</t>
  </si>
  <si>
    <t>Le découpage est-il intégré aux outils de suivi ?</t>
  </si>
  <si>
    <t>Validation du découpage</t>
  </si>
  <si>
    <t>Le découpage des tâches a-t-il été validé par les chefs de projet ?</t>
  </si>
  <si>
    <t>Existence des attributions</t>
  </si>
  <si>
    <t>Les responsabilités sont-elles définies pour chaque tâche ?</t>
  </si>
  <si>
    <t>Traçabilité des attributions</t>
  </si>
  <si>
    <t>Peut-on tracer qui est responsable de quoi ?</t>
  </si>
  <si>
    <t>Validation des affectations</t>
  </si>
  <si>
    <t>Les affectations sont-elles validées par la direction projet ?</t>
  </si>
  <si>
    <t>Communication des rôles</t>
  </si>
  <si>
    <t>Les responsabilités sont-elles bien communiquées ?</t>
  </si>
  <si>
    <t>Supervision</t>
  </si>
  <si>
    <t>Y a-t-il un suivi des responsabilités dans l’exécution des tâches ?</t>
  </si>
  <si>
    <t>Livrables définis</t>
  </si>
  <si>
    <t>Les livrables du projet sontils identifiés ?</t>
  </si>
  <si>
    <t>Points de contrôle formalisés</t>
  </si>
  <si>
    <t>Les points de contrôle sontils définis ?</t>
  </si>
  <si>
    <t>Validation des livrables</t>
  </si>
  <si>
    <t>Les livrables sontils validés à chaque étape ?</t>
  </si>
  <si>
    <t>Documentation des contrôles</t>
  </si>
  <si>
    <t>Les contrôles sontils documentés ?</t>
  </si>
  <si>
    <t>Suivi des livrables</t>
  </si>
  <si>
    <t>Un suivi des livrables estil en place ?</t>
  </si>
  <si>
    <t xml:space="preserve"> Système de feuille de temps existant</t>
  </si>
  <si>
    <t>Existetil un système de suivi du temps par tâche ?</t>
  </si>
  <si>
    <t>Suivi régulier du temps</t>
  </si>
  <si>
    <t>Le temps estil reporté régulièrement par les équipes ?</t>
  </si>
  <si>
    <t>Contrôle qualité des données temps</t>
  </si>
  <si>
    <t>Les feuilles de temps sontelles contrôlées ?</t>
  </si>
  <si>
    <t>Impact sur la planification</t>
  </si>
  <si>
    <t>Les données de temps sontelles utilisées dans le pilotage projet ?</t>
  </si>
  <si>
    <t>Accessibilité du système</t>
  </si>
  <si>
    <t>Le système de reporting estil accessible à tous les intervenants ?</t>
  </si>
  <si>
    <t>Charte de l’utilisation des SI</t>
  </si>
  <si>
    <t>Dispositif qualité existant</t>
  </si>
  <si>
    <t>Un dispositif d'assurance qualité estil en place ?</t>
  </si>
  <si>
    <t>Documentation du dispositif</t>
  </si>
  <si>
    <t>Le dispositif estil bien documenté ?</t>
  </si>
  <si>
    <t>Communication du dispositif</t>
  </si>
  <si>
    <t>Le dispositif estil connu des acteurs du projet ?</t>
  </si>
  <si>
    <t>Suivi du dispositif</t>
  </si>
  <si>
    <t>Un suivi estil assuré sur l’application du dispositif qualité ?</t>
  </si>
  <si>
    <t>Mise à jour régulière</t>
  </si>
  <si>
    <t>Le dispositif qualité estil révisé régulièrement ?</t>
  </si>
  <si>
    <t>Existence du manuel</t>
  </si>
  <si>
    <t>Un manuel d'assurance qualité estil disponible dans l’entité ?</t>
  </si>
  <si>
    <t>Diffusion du manuel</t>
  </si>
  <si>
    <t>Le manuel estil accessible à tous les acteurs ?</t>
  </si>
  <si>
    <t>Conformité du contenu</t>
  </si>
  <si>
    <t>Le contenu du manuel estil conforme aux exigences qualité ?</t>
  </si>
  <si>
    <t>Actualisation du manuel</t>
  </si>
  <si>
    <t>Le manuel estil mis à jour régulièrement ?</t>
  </si>
  <si>
    <t>Validation du manuel</t>
  </si>
  <si>
    <t>Le manuel atil été validé par la direction ?</t>
  </si>
  <si>
    <t>Plan qualité projet formalisé</t>
  </si>
  <si>
    <t>Existetil un plan d’assurance qualité spécifique au projet ?</t>
  </si>
  <si>
    <t>Responsables identifiés</t>
  </si>
  <si>
    <t>Les acteurs du plan qualité sontils clairement désignés ?</t>
  </si>
  <si>
    <t>Objectifs qualité définis</t>
  </si>
  <si>
    <t>Les objectifs qualité du projet sontils définis ?</t>
  </si>
  <si>
    <t>Métriques de qualité prévues</t>
  </si>
  <si>
    <t>Des indicateurs qualité sontils prévus dans le plan ?</t>
  </si>
  <si>
    <t>Plan qualité validé</t>
  </si>
  <si>
    <t>Le plan qualité atil été validé par le comité projet ?</t>
  </si>
  <si>
    <t>PV de comité (dans : Comptes rendus des comités ou GT)</t>
  </si>
  <si>
    <t>Objectifs de qualité listés</t>
  </si>
  <si>
    <t>Les objectifs qualité du produit sontils listés ?</t>
  </si>
  <si>
    <t>Suivi de ces objectifs</t>
  </si>
  <si>
    <t>Un suivi estil effectué sur ces objectifs ?</t>
  </si>
  <si>
    <t>Métriques de performance établies</t>
  </si>
  <si>
    <t>Des indicateurs qualité ontils été définis ?</t>
  </si>
  <si>
    <t>Documentation des critères qualité</t>
  </si>
  <si>
    <t>Les critères qualité sontils documentés ?</t>
  </si>
  <si>
    <t>Objectifs validés</t>
  </si>
  <si>
    <t>Ces objectifs ontils été validés par le client ou la MOA ?</t>
  </si>
  <si>
    <t>Formalisation des objectifs de service</t>
  </si>
  <si>
    <t>Les objectifs de qualité de service sontils documentés ?</t>
  </si>
  <si>
    <t>Suivi qualité de service</t>
  </si>
  <si>
    <t>La qualité de service estelle suivie régulièrement ?</t>
  </si>
  <si>
    <t>Bilan de satisfaction des utilisateurs</t>
  </si>
  <si>
    <t>Objectifs accessibles aux parties prenantes</t>
  </si>
  <si>
    <t>Les objectifs sontils partagés avec les utilisateurs ?</t>
  </si>
  <si>
    <t>Ajustement selon les retours</t>
  </si>
  <si>
    <t>Les objectifs sontils ajustés selon les retours terrain ?</t>
  </si>
  <si>
    <t>Inclusion dans les engagements formels</t>
  </si>
  <si>
    <t>Les objectifs figurentils dans les documents contractuels ?</t>
  </si>
  <si>
    <t>Contrat de maintenance ou d’assistance pour les applications du domaine d’audit</t>
  </si>
  <si>
    <t>Scénarios possibles identifiés</t>
  </si>
  <si>
    <t>Différents scénarios ont-ils été envisagés ?</t>
  </si>
  <si>
    <t>Documentation des scénarios</t>
  </si>
  <si>
    <t>Les scénarios sont-ils documentés ?</t>
  </si>
  <si>
    <t>Comparaison des avantages/inconvénients</t>
  </si>
  <si>
    <t>Chaque scénario a-t-il été comparé selon des critères objectifs ?</t>
  </si>
  <si>
    <t>Présence d’un scénario de référence</t>
  </si>
  <si>
    <t>Un scénario de référence est-il proposé comme base de décision ?</t>
  </si>
  <si>
    <t>Participation des parties prenantes</t>
  </si>
  <si>
    <t>Les parties prenantes ont-elles contribué à l’analyse des scénarios ?</t>
  </si>
  <si>
    <t>Prise en compte du scénario "ne rien faire"</t>
  </si>
  <si>
    <t>Le scénario « ne rien faire » a-t-il été envisagé ?</t>
  </si>
  <si>
    <t>Justification du scénario retenu</t>
  </si>
  <si>
    <t>Le scénario choisi est-il justifié au regard des autres ?</t>
  </si>
  <si>
    <t>Neutralité dans l’analyse</t>
  </si>
  <si>
    <t>L’analyse des scénarios est-elle impartiale ?</t>
  </si>
  <si>
    <t>Validation du scénario retenu</t>
  </si>
  <si>
    <t>Le scénario retenu a-t-il été validé par les instances de pilotage ?</t>
  </si>
  <si>
    <t>PV de comité (dans : comptes rendus GT)</t>
  </si>
  <si>
    <t>Archivage de l’analyse</t>
  </si>
  <si>
    <t>L’analyse des scénarios est-elle archivée ?</t>
  </si>
  <si>
    <t>Contraintes matérielles identifiées</t>
  </si>
  <si>
    <t>Les besoins en infrastructure ont-ils été identifiés ?</t>
  </si>
  <si>
    <t>Contraintes logicielles prises en compte</t>
  </si>
  <si>
    <t>Les contraintes logicielles sont-elles prises en compte ?</t>
  </si>
  <si>
    <t>Contraintes humaines analysées</t>
  </si>
  <si>
    <t>Les besoins en formation et en ressources humaines sont-ils identifiés ?</t>
  </si>
  <si>
    <t>Contraintes juridiques évaluées</t>
  </si>
  <si>
    <t>Les contraintes légales ont-elles été analysées ?</t>
  </si>
  <si>
    <t>Faisabilité opérationnelle évaluée</t>
  </si>
  <si>
    <t>La faisabilité a-t-elle été confirmée ?</t>
  </si>
  <si>
    <t>Rapport d’audit de l’ANTIC</t>
  </si>
  <si>
    <t>Coûts de développement estimés</t>
  </si>
  <si>
    <t>Les coûts de développement ont-ils été estimés ?</t>
  </si>
  <si>
    <t>Coûts de maintenance anticipés</t>
  </si>
  <si>
    <t>Les coûts de maintenance ont-ils été pris en compte ?</t>
  </si>
  <si>
    <t>Contrat de maintenance ou d’assistance</t>
  </si>
  <si>
    <t>Coûts de formation évalués</t>
  </si>
  <si>
    <t>Les coûts de formation ont-ils été intégrés ?</t>
  </si>
  <si>
    <t>Évaluation des bénéfices attendus</t>
  </si>
  <si>
    <t>Les bénéfices attendus sont-ils clairement définis ?</t>
  </si>
  <si>
    <t>Comparaison avec d’autres options</t>
  </si>
  <si>
    <t>La rentabilité du scénario retenu a-t-elle été comparée ?</t>
  </si>
  <si>
    <t>Identification des risques</t>
  </si>
  <si>
    <t>Les risques ont-ils été identifiés pour chaque option ?</t>
  </si>
  <si>
    <t>Évaluation de la gravité</t>
  </si>
  <si>
    <t>Les impacts des risques ont-ils été évalués ?</t>
  </si>
  <si>
    <t>Probabilité d’occurrence étudiée</t>
  </si>
  <si>
    <t>Les probabilités de survenance ont-elles été étudiées ?</t>
  </si>
  <si>
    <t>Diagramme de flux de données</t>
  </si>
  <si>
    <t>Plan de réponse défini</t>
  </si>
  <si>
    <t>Des réponses aux risques ont-elles été prévues ?</t>
  </si>
  <si>
    <t>Suivi des risques prévu</t>
  </si>
  <si>
    <t>Un suivi des risques est-il prévu dans le projet ?</t>
  </si>
  <si>
    <t>Stratégie de migration des données</t>
  </si>
  <si>
    <t>Méthode formalisée</t>
  </si>
  <si>
    <t>Une méthode d’analyse et de conception est-elle définie ?</t>
  </si>
  <si>
    <t>Méthode adaptée au projet</t>
  </si>
  <si>
    <t>La méthode est-elle adaptée au contexte du projet ?</t>
  </si>
  <si>
    <t>Cette méthode est-elle communiquée aux membres de l’équipe ?</t>
  </si>
  <si>
    <t>Mise en œuvre effective</t>
  </si>
  <si>
    <t>La méthode est-elle effectivement utilisée ?</t>
  </si>
  <si>
    <t>Compte rendu de réunion</t>
  </si>
  <si>
    <t>Référentiel de bonnes pratiques utilisé</t>
  </si>
  <si>
    <t>La méthode s’appuie-t-elle sur des standards reconnus ?</t>
  </si>
  <si>
    <t>Formation des développeurs</t>
  </si>
  <si>
    <t>Les développeurs ont-ils été formés à la méthode de développement ?</t>
  </si>
  <si>
    <t>Expérience démontrée</t>
  </si>
  <si>
    <t>Les développeurs ont-ils démontré leur maîtrise de la méthode ?</t>
  </si>
  <si>
    <t>Application sans erreur</t>
  </si>
  <si>
    <t>La méthode est-elle appliquée sans erreur dans les projets ?</t>
  </si>
  <si>
    <t>Supervision technique</t>
  </si>
  <si>
    <t>Un encadrement technique existe-t-il pour assurer l’application correcte ?</t>
  </si>
  <si>
    <t>Revue de code basée sur la méthode</t>
  </si>
  <si>
    <t>Des revues de code utilisent-elles la méthode comme référentiel ?</t>
  </si>
  <si>
    <t>Normes définies</t>
  </si>
  <si>
    <t>Des normes de documentation sont-elles définies ?</t>
  </si>
  <si>
    <t>Normes validées</t>
  </si>
  <si>
    <t>Les normes ont-elles été validées par l’autorité compétente ?</t>
  </si>
  <si>
    <t>Référentiel accessible</t>
  </si>
  <si>
    <t>Un document centralise-t-il ces normes ?</t>
  </si>
  <si>
    <t>Les normes de documentation sont-elles mises à jour régulièrement ?</t>
  </si>
  <si>
    <t>Communication des normes</t>
  </si>
  <si>
    <t>Ces normes sont-elles bien diffusées auprès des équipes concernées ?</t>
  </si>
  <si>
    <t>Respect des normes</t>
  </si>
  <si>
    <t>Les développeurs appliquent-ils les normes de documentation ?</t>
  </si>
  <si>
    <t>Vérifications de conformité</t>
  </si>
  <si>
    <t>Des vérifications sont-elles faites pour s’assurer du respect des normes ?</t>
  </si>
  <si>
    <t>Documentation homogène</t>
  </si>
  <si>
    <t>La documentation est-elle homogène entre les projets ?</t>
  </si>
  <si>
    <t>Sanctions ou alertes en cas de non-respect</t>
  </si>
  <si>
    <t>Y a-t-il un dispositif de correction en cas de non-respect des normes ?</t>
  </si>
  <si>
    <t>Sensibilisation des développeurs</t>
  </si>
  <si>
    <t>Les développeurs ont-ils été sensibilisés aux exigences documentaires ?</t>
  </si>
  <si>
    <t>Réalisation des tests unitaires</t>
  </si>
  <si>
    <t>La MOE réalise-t-elle des tests unitaires ?</t>
  </si>
  <si>
    <t>Réalisation des tests d’intégration</t>
  </si>
  <si>
    <t>Des tests d’intégration sont-ils réalisés ?</t>
  </si>
  <si>
    <t>Documentation des tests</t>
  </si>
  <si>
    <t>Les tests réalisés sont-ils documentés ?</t>
  </si>
  <si>
    <t>Manuel d’administration des applications du domaine d’audit</t>
  </si>
  <si>
    <t>Mise en place d’un environnement de test</t>
  </si>
  <si>
    <t>Un environnement spécifique de test est-il utilisé ?</t>
  </si>
  <si>
    <t>Reproductibilité des tests</t>
  </si>
  <si>
    <t>Les tests sont-ils reproductibles et réutilisables ?</t>
  </si>
  <si>
    <t>Composants testés individuellement</t>
  </si>
  <si>
    <t>Chaque composant est-il testé indépendamment ?</t>
  </si>
  <si>
    <t>Conformité avec les spécifications</t>
  </si>
  <si>
    <t>Les composants respectent-ils les spécifications ?</t>
  </si>
  <si>
    <t>Tests automatisés ou scripts</t>
  </si>
  <si>
    <t>Des scripts ou outils sont-ils utilisés pour les tests ?</t>
  </si>
  <si>
    <t>Vérification par les responsables MOE</t>
  </si>
  <si>
    <t>Les responsables MOE vérifient-ils les résultats des tests ?</t>
  </si>
  <si>
    <t>Résultats documentés</t>
  </si>
  <si>
    <t>Les résultats sont-ils conservés et analysés ?</t>
  </si>
  <si>
    <t>Couverture fonctionnelle</t>
  </si>
  <si>
    <t>Les fonctionnalités ont-elles toutes été testées ?</t>
  </si>
  <si>
    <t>Couverture technique</t>
  </si>
  <si>
    <t>Les aspects techniques ont-ils également été testés ?</t>
  </si>
  <si>
    <t>Existence de jeux d’essai</t>
  </si>
  <si>
    <t>Des jeux d’essai ont-ils été préparés pour les tests ?</t>
  </si>
  <si>
    <t>Exécution des scénarios</t>
  </si>
  <si>
    <t>Tous les scénarios de test ont-ils été exécutés ?</t>
  </si>
  <si>
    <t>Documentation des écarts</t>
  </si>
  <si>
    <t>Les écarts constatés sont-ils formalisés et suivis ?</t>
  </si>
  <si>
    <t>Identification des interfaces</t>
  </si>
  <si>
    <t>Toutes les interfaces ont-elles été identifiées ?</t>
  </si>
  <si>
    <t>Tests réalisés sur les interfaces</t>
  </si>
  <si>
    <t>Des tests spécifiques sur les interfaces ont-ils été réalisés ?</t>
  </si>
  <si>
    <t>Documentation des résultats</t>
  </si>
  <si>
    <t>Les résultats de ces tests sont-ils documentés ?</t>
  </si>
  <si>
    <t>Correction des erreurs d’interface</t>
  </si>
  <si>
    <t>Les erreurs détectées sur les interfaces sont-elles corrigées ?</t>
  </si>
  <si>
    <t>Impact sur les flux inter-applicatifs évalué</t>
  </si>
  <si>
    <t>Les impacts des erreurs sur les flux SI ont-ils été évalués ?</t>
  </si>
  <si>
    <t>Réalisation effective des tests utilisateurs</t>
  </si>
  <si>
    <t>Les utilisateurs ont-ils bien réalisé les tests ?</t>
  </si>
  <si>
    <t>Scénarios définis avec les utilisateurs</t>
  </si>
  <si>
    <t>Les scénarios ont-ils été définis avec les utilisateurs ?</t>
  </si>
  <si>
    <t>Feedback collecté et documenté</t>
  </si>
  <si>
    <t>Les retours utilisateurs sont-ils formalisés ?</t>
  </si>
  <si>
    <t>Implication des utilisateurs finaux</t>
  </si>
  <si>
    <t>Les utilisateurs finaux sont-ils impliqués dans la validation ?</t>
  </si>
  <si>
    <t>Prise en compte des retours</t>
  </si>
  <si>
    <t>Les remarques utilisateurs ont-elles été intégrées ?</t>
  </si>
  <si>
    <t>Document de synthèse disponible</t>
  </si>
  <si>
    <t>Existe-t-il un document de synthèse des évaluations de changement ?</t>
  </si>
  <si>
    <t>Validation de la synthèse</t>
  </si>
  <si>
    <t>Cette synthèse a-t-elle été validée par la direction projet ?</t>
  </si>
  <si>
    <t>Communication de la synthèse</t>
  </si>
  <si>
    <t>Le document est-il partagé avec les parties prenantes ?</t>
  </si>
  <si>
    <t>Suivi des décisions issues de l’évaluation</t>
  </si>
  <si>
    <t>Les recommandations sont-elles suivies d’effets ?</t>
  </si>
  <si>
    <t>Archivage de la synthèse</t>
  </si>
  <si>
    <t>La synthèse est-elle conservée dans le référentiel projet ?</t>
  </si>
  <si>
    <t>Existence d’un processus de validation</t>
  </si>
  <si>
    <t>Existe-t-il un processus formel de validation des changements ?</t>
  </si>
  <si>
    <t>Instances de validation identifiées</t>
  </si>
  <si>
    <t>Les instances de validation sont-elles définies ?</t>
  </si>
  <si>
    <t>Validation documentée</t>
  </si>
  <si>
    <t>Les décisions de validation sont-elles tracées ?</t>
  </si>
  <si>
    <t>Communication des validations</t>
  </si>
  <si>
    <t>Les validations sont-elles partagées avec les équipes concernées ?</t>
  </si>
  <si>
    <t>Historique des validations</t>
  </si>
  <si>
    <t>L’historique des validations est-il consultable ?</t>
  </si>
  <si>
    <t>Processus de validation défini</t>
  </si>
  <si>
    <t>Rôle des instances identifié</t>
  </si>
  <si>
    <t>Les instances responsables de la validation sont-elles identifiées ?</t>
  </si>
  <si>
    <t>Existence de validation documentée</t>
  </si>
  <si>
    <t>Une trace écrite des validations est-elle disponible ?</t>
  </si>
  <si>
    <t>Communication des résultats de validation</t>
  </si>
  <si>
    <t>Les résultats de validation sont-ils communiqués aux parties prenantes ?</t>
  </si>
  <si>
    <t>Archivage des éléments validés</t>
  </si>
  <si>
    <t>Les éléments validés sont-ils archivés dans le référentiel projet ?</t>
  </si>
  <si>
    <t>Les composants sont identifiés</t>
  </si>
  <si>
    <t>Les composants sont identifiés ?</t>
  </si>
  <si>
    <t>Les tests fonctionnels sont réalisés</t>
  </si>
  <si>
    <t>Les tests fonctionnels sont réalisés ?</t>
  </si>
  <si>
    <t>Les tests techniques sont réalisés</t>
  </si>
  <si>
    <t>Les tests techniques sont réalisés ?</t>
  </si>
  <si>
    <t>Les résultats des tests sont documentés</t>
  </si>
  <si>
    <t>Les résultats des tests sont documentés ?</t>
  </si>
  <si>
    <t>Les tests couvrent l’ensemble du périmètre</t>
  </si>
  <si>
    <t>Les tests couvrent l’ensemble du périmètre ?</t>
  </si>
  <si>
    <t>Les interfaces applicatives sont recensées</t>
  </si>
  <si>
    <t>Les interfaces applicatives sont recensées ?</t>
  </si>
  <si>
    <t>Liste des responsables de la DSI en charge de l’administration/support</t>
  </si>
  <si>
    <t>Les tests d’interfaces sont planifiés</t>
  </si>
  <si>
    <t>Les tests d’interfaces sont planifiés ?</t>
  </si>
  <si>
    <t>Les tests sont exécutés selon le plan</t>
  </si>
  <si>
    <t>Les tests sont exécutés selon le plan ?</t>
  </si>
  <si>
    <t>Les anomalies détectées sont tracées</t>
  </si>
  <si>
    <t>Les anomalies détectées sont tracées ?</t>
  </si>
  <si>
    <t>Les corrections sont validées</t>
  </si>
  <si>
    <t>Les corrections sont validées ?</t>
  </si>
  <si>
    <t>Procédure de suppression/désactivation d’un utilisateur</t>
  </si>
  <si>
    <t>Les tests utilisateurs sont planifiés</t>
  </si>
  <si>
    <t>Les tests utilisateurs sont planifiés ?</t>
  </si>
  <si>
    <t>Les scénarios de test sont préparés</t>
  </si>
  <si>
    <t>Les scénarios de test sont préparés ?</t>
  </si>
  <si>
    <t>Les utilisateurs sont impliqués</t>
  </si>
  <si>
    <t>Les utilisateurs sont impliqués ?</t>
  </si>
  <si>
    <t>Les retours utilisateurs sont collectés</t>
  </si>
  <si>
    <t>Les retours utilisateurs sont collectés ?</t>
  </si>
  <si>
    <t>Liste des 100 derniers incidents survenus dans le domaine d’audit</t>
  </si>
  <si>
    <t>Les résultats sont analysés et diffusés</t>
  </si>
  <si>
    <t>Les résultats sont analysés et diffusés ?</t>
  </si>
  <si>
    <t>Une synthèse des changements est formalisée</t>
  </si>
  <si>
    <t>Une synthèse des changements est formalisée ?</t>
  </si>
  <si>
    <t>La synthèse inclut les analyses d’impact</t>
  </si>
  <si>
    <t>La synthèse inclut les analyses d’impact ?</t>
  </si>
  <si>
    <t>Les décisions issues des changements sont listées</t>
  </si>
  <si>
    <t>Les décisions issues des changements sont listées ?</t>
  </si>
  <si>
    <t>Les responsables sont identifiés</t>
  </si>
  <si>
    <t>Les responsables sont identifiés ?</t>
  </si>
  <si>
    <t>La synthèse est accessible aux parties prenantes</t>
  </si>
  <si>
    <t>La synthèse est accessible aux parties prenantes ?</t>
  </si>
  <si>
    <t>Un processus de validation existe</t>
  </si>
  <si>
    <t>Un processus de validation existe ?</t>
  </si>
  <si>
    <t>Les validations sont enregistrées</t>
  </si>
  <si>
    <t>Les validations sont enregistrées ?</t>
  </si>
  <si>
    <t>Les résultats sont signés ou approuvés</t>
  </si>
  <si>
    <t>Les résultats sont signés ou approuvés ?</t>
  </si>
  <si>
    <t>Les documents de validation sont archivés</t>
  </si>
  <si>
    <t>Les documents de validation sont archivés ?</t>
  </si>
  <si>
    <t>Les validations sont partagées avec les équipes</t>
  </si>
  <si>
    <t>Les validations sont partagées avec les équipes ?</t>
  </si>
  <si>
    <t>Diversité des interlocuteurs</t>
  </si>
  <si>
    <t>Les entretiens couvrent-ils tous les profils concernés ?</t>
  </si>
  <si>
    <t>Liste des responsables présents</t>
  </si>
  <si>
    <t>Besoins utilisateurs mal pris en compte</t>
  </si>
  <si>
    <t>Méthodologie de sélection</t>
  </si>
  <si>
    <t>Une méthode formelle a-t-elle été utilisée pour choisir les participants ?</t>
  </si>
  <si>
    <t>Biais dans la collecte des informations</t>
  </si>
  <si>
    <t>Documentations des échanges</t>
  </si>
  <si>
    <t>Les entretiens sont-ils formalisés et archivés ?</t>
  </si>
  <si>
    <t>Dernier rapport d’audit ANTIC</t>
  </si>
  <si>
    <t>Manque de traçabilité</t>
  </si>
  <si>
    <t>Pertinence des informations recueillies</t>
  </si>
  <si>
    <t>Les informations obtenues sont-elles jugées utiles ?</t>
  </si>
  <si>
    <t>Déconnexion entre besoins et solutions proposées</t>
  </si>
  <si>
    <t>Exploitation des résultats</t>
  </si>
  <si>
    <t>Les résultats sont-ils utilisés dans le processus décisionnel ?</t>
  </si>
  <si>
    <t>Non-prise en compte des retours d’expérience</t>
  </si>
  <si>
    <t>Implication formelle des utilisateurs</t>
  </si>
  <si>
    <t>Les utilisateurs sont-ils sollicités dans l’évaluation ?</t>
  </si>
  <si>
    <t>Comptes rendus des comités SI</t>
  </si>
  <si>
    <t>Non-appropriation des évolutions</t>
  </si>
  <si>
    <t>Traçabilité des retours</t>
  </si>
  <si>
    <t>Les retours utilisateurs sont-ils collectés et analysés ?</t>
  </si>
  <si>
    <t>Perte d'informations précieuses</t>
  </si>
  <si>
    <t>Intégration des suggestions</t>
  </si>
  <si>
    <t>Les suggestions des utilisateurs sont-elles prises en compte ?</t>
  </si>
  <si>
    <t>Rapport de suivi de recommandations</t>
  </si>
  <si>
    <t>Résistance au changement</t>
  </si>
  <si>
    <t>Diversité des utilisateurs</t>
  </si>
  <si>
    <t>Les utilisateurs proviennent-ils de toutes les divisions concernées ?</t>
  </si>
  <si>
    <t>Liste des responsables du domaine</t>
  </si>
  <si>
    <t>Représentation incomplète</t>
  </si>
  <si>
    <t>Communication sur les évaluations</t>
  </si>
  <si>
    <t>Les utilisateurs sont-ils informés des résultats d’évaluation ?</t>
  </si>
  <si>
    <t>Plan de communication</t>
  </si>
  <si>
    <t>Manque de transparence</t>
  </si>
  <si>
    <t>Existence du plan</t>
  </si>
  <si>
    <t>Un plan de communication est-il formellement défini ?</t>
  </si>
  <si>
    <t>Communication désorganisée</t>
  </si>
  <si>
    <t>Identification des cibles</t>
  </si>
  <si>
    <t>Les cibles de communication sont-elles clairement identifiées ?</t>
  </si>
  <si>
    <t>Messages mal orientés</t>
  </si>
  <si>
    <t>Calendrier des actions</t>
  </si>
  <si>
    <t>Les actions de communication sont-elles planifiées ?</t>
  </si>
  <si>
    <t>Retards et incompréhensions dans le projet</t>
  </si>
  <si>
    <t>Supports de communication</t>
  </si>
  <si>
    <t>Des supports variés sont-ils utilisés selon les besoins ?</t>
  </si>
  <si>
    <t>Comptes rendus des comités</t>
  </si>
  <si>
    <t>Difficulté d’atteindre certaines parties prenantes</t>
  </si>
  <si>
    <t xml:space="preserve">Environnement de Contrôle </t>
  </si>
  <si>
    <t xml:space="preserve"> Engagement envers l’intégrité et les valeurs 
éthiques </t>
  </si>
  <si>
    <t xml:space="preserve">S’assurer que l'organisation dispose d'une charte éthique formelle  qui couvre l'ensemble des pratiques professionnelles et des interactions au sein de l'organisation, y compris les activités liées aux systèmes d'information. </t>
  </si>
  <si>
    <t>Existence d’un document officiel décrivant la charte éthique.</t>
  </si>
  <si>
    <t>Existe-t-il un document officiel décrivant la charte éthique de l'organisation ?</t>
  </si>
  <si>
    <t>Charte éthique, Manuel des procédures internes</t>
  </si>
  <si>
    <t>Absence de cadre éthique formel pouvant entraîner des comportements non conformes</t>
  </si>
  <si>
    <t>Inclusion explicite des pratiques liées aux systèmes d’information dans la charte.</t>
  </si>
  <si>
    <t>La charte éthique inclut-elle explicitement des pratiques et des directives spécifiques concernant l'utilisation et la gestion des systèmes d'information ?</t>
  </si>
  <si>
    <t>Charte éthique, Politique de sécurité des SI</t>
  </si>
  <si>
    <t>Manque de directives claires sur l’usage des SI, augmentant les risques de non-conformité et de failles</t>
  </si>
  <si>
    <t>Validation et approbation de la charte par la direction et les instances compétentes.</t>
  </si>
  <si>
    <t>La charte éthique a-t-elle été validée et approuvée par la direction et les instances compétentes de l'organisation ?</t>
  </si>
  <si>
    <t>Procès-verbal d'approbation, Document de validation interne</t>
  </si>
  <si>
    <t>Absence d’engagement de la direction, réduisant l’efficacité et l’application de la charte</t>
  </si>
  <si>
    <t>Disponibilité et accessibilité de la charte pour tous les employés et partenaires.</t>
  </si>
  <si>
    <t>La charte éthique est-elle facilement disponible et accessible à tous les employés et partenaires de l'organisation ?</t>
  </si>
  <si>
    <t>Site intranet de l'organisation, Support de communication interne</t>
  </si>
  <si>
    <t>Manque de sensibilisation pouvant entraîner des violations involontaires</t>
  </si>
  <si>
    <t>Mise à jour régulière de la charte en fonction des évolutions réglementaires et technologiques.</t>
  </si>
  <si>
    <t>La charte éthique est-elle mise à jour régulièrement pour tenir compte des évolutions réglementaires et technologiques ?</t>
  </si>
  <si>
    <t>Versionnage des mises à jour, Références aux nouvelles réglementations</t>
  </si>
  <si>
    <t>Risque de non-conformité aux nouvelles réglementations</t>
  </si>
  <si>
    <t xml:space="preserve">Vérifier que des mécanismes existent pour garantir que tous les 
acteurs (employés, partenaires, prestataires) respectent cette charte 
éthique dans leurs activités professionnelles, y compris dans leur 
utilisation des systèmes d'information </t>
  </si>
  <si>
    <t>Existence de procédures de contrôle et de suivi du respect de la charte.</t>
  </si>
  <si>
    <t>Des procédures de contrôle et de suivi sont-elles en place pour s'assurer du respect de la charte éthique par les employés et partenaires ?</t>
  </si>
  <si>
    <t>Rapports d’audit interne, Registre des incidents éthiques</t>
  </si>
  <si>
    <t>Absence de contrôle favorisant la non-application des règles éthiques</t>
  </si>
  <si>
    <t>Signature d’un engagement de conformité à la charte par les employés, partenaires et prestataires.</t>
  </si>
  <si>
    <t>Les employés, partenaires et prestataires sont-ils tenus de signer un engagement de conformité à la charte éthique ?</t>
  </si>
  <si>
    <t>Registre des engagements signés, Contrats de prestation</t>
  </si>
  <si>
    <t>Absence d’obligation formelle pouvant limiter la responsabilisation</t>
  </si>
  <si>
    <t>Mise en place de sanctions claires et appliquées en cas de non-respect.</t>
  </si>
  <si>
    <t>Des sanctions claires et définies sont-elles en place en cas de non-respect de la charte éthique ?</t>
  </si>
  <si>
    <t>Politique disciplinaire, Procès-verbaux de sanctions</t>
  </si>
  <si>
    <t>Absence de mesures dissuasives entraînant une application inefficace des règles</t>
  </si>
  <si>
    <t>Réalisation d’audits périodiques pour évaluer le respect des règles éthiques.</t>
  </si>
  <si>
    <t>Des audits périodiques sont-ils réalisés pour évaluer le respect des règles éthiques au sein de l'organisation ?</t>
  </si>
  <si>
    <t>Plan d’audit, Rapports d’audit éthique</t>
  </si>
  <si>
    <t>Non-détection des violations éthiques entraînant des risques légaux et réputationnels</t>
  </si>
  <si>
    <t>Présence d’un responsable ou d’un comité chargé du suivi de la conformité à la charte.</t>
  </si>
  <si>
    <t>Un responsable ou un comité spécifique est-il chargé du suivi de la conformité à la charte éthique au sein de l'organisation ?</t>
  </si>
  <si>
    <t>Organigramme de gouvernance, Procès-verbal de nomination</t>
  </si>
  <si>
    <t>Manque de gouvernance claire sur l’application des principes éthiques</t>
  </si>
  <si>
    <t xml:space="preserve">S’assurer que des actions de sensibilisation, telles que des 
formations régulières, sont mises en place pour garantir que tous les 
employés et intervenants comprennent et appliquent les principes 
éthiques dans leurs interactions avec les systèmes d'information </t>
  </si>
  <si>
    <t>Existence d’un programme de formation régulier sur l’éthique et l’utilisation des systèmes d’information.</t>
  </si>
  <si>
    <t>Un programme de formation régulier sur l'éthique et l'utilisation des systèmes d'information est-il en place pour les employés ?</t>
  </si>
  <si>
    <t>Programme de formation</t>
  </si>
  <si>
    <t>Manque de sensibilisation augmentant les risques d’erreurs humaines</t>
  </si>
  <si>
    <t>Obligation pour les employés et intervenants de suivre ces formations.</t>
  </si>
  <si>
    <t>Les employés et intervenants sont-ils tenus de suivre les formations sur l'éthique et l'utilisation des systèmes d'information ?</t>
  </si>
  <si>
    <t>Liste des participants</t>
  </si>
  <si>
    <t>Non-formation des employés entraînant des comportements non conformes</t>
  </si>
  <si>
    <t>Évaluation des connaissances acquises après chaque session de formation.</t>
  </si>
  <si>
    <t>Les connaissances acquises par les participants aux formations sur l'éthique et l'utilisation des systèmes d'information sont-elles évaluées ?</t>
  </si>
  <si>
    <t>Résultats d’évaluation</t>
  </si>
  <si>
    <t>Formation inefficace ne garantissant pas une réelle assimilation</t>
  </si>
  <si>
    <t>Enregistrement et suivi des employés ayant suivi la formation.</t>
  </si>
  <si>
    <t>Un enregistrement et un suivi des employés ayant suivi les formations sur l'éthique et l'utilisation des systèmes d'information sont-ils mis en place ?</t>
  </si>
  <si>
    <t>Absence de traçabilité empêchant de vérifier la couverture des formations</t>
  </si>
  <si>
    <t>Mise à jour des supports de formation en fonction des évolutions des bonnes pratiques et des réglementations.</t>
  </si>
  <si>
    <t>Les supports de formation sur l'éthique et l'utilisation des systèmes d'information sont-ils mis à jour en fonction des évolutions des bonnes pratiques et des réglementations ?</t>
  </si>
  <si>
    <t>Versions mises à jour des supports</t>
  </si>
  <si>
    <t>Obsolescence des formations menant à une non-conformité</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</si>
  <si>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</si>
  <si>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Existence d’un processus formel de signalement et de traitement des violations éthiques.</t>
  </si>
  <si>
    <t>Un processus formel de signalement et de traitement des violations éthiques est-il en place au sein de l'organisation ?</t>
  </si>
  <si>
    <t>Procédure de signalement</t>
  </si>
  <si>
    <t>Absence de canal de signalement décourageant les déclarations d’incidents</t>
  </si>
  <si>
    <t>Définition de sanctions proportionnées en fonction de la gravité des violations.</t>
  </si>
  <si>
    <t>Les sanctions applicables en cas de violation éthique sont-elles définies de manière proportionnée à la gravité des violations ?</t>
  </si>
  <si>
    <t>Politique disciplinaire</t>
  </si>
  <si>
    <t>Incohérence dans l’application des sanctions, compromettant l’équité</t>
  </si>
  <si>
    <t>Mise en place d’un système de suivi des incidents éthiques.</t>
  </si>
  <si>
    <t>Un système de suivi des incidents éthiques (signalements, enquêtes, sanctions) est-il en place ?</t>
  </si>
  <si>
    <t>Registre des incidents éthiques</t>
  </si>
  <si>
    <t>Absence de traçabilité limitant les actions correctives</t>
  </si>
  <si>
    <t>Communication transparente des mesures correctives prises en cas de violation.</t>
  </si>
  <si>
    <t>Les mesures correctives prises en cas de violation éthique sont-elles communiquées de manière transparente au sein de l'organisation (dans le respect de la confidentialité) ?</t>
  </si>
  <si>
    <t>Rapports internes de conformité</t>
  </si>
  <si>
    <t>Manque de transparence réduisant l’effet dissuasif des sanctions</t>
  </si>
  <si>
    <t>Audit périodique pour évaluer l’efficacité du mécanisme de gestion des violations éthiques.</t>
  </si>
  <si>
    <t>Des audits périodiques sont-ils réalisés pour évaluer l'efficacité du mécanisme de gestion des violations éthiques ?</t>
  </si>
  <si>
    <t>Inefficacité du processus de gestion des violations, augmentant les risques de récidive</t>
  </si>
  <si>
    <t>S’assurer que l’organisation dispose d’un canal de signalement confidentiel et accessible, permettant aux employés, partenaires et prestataires de signaler toute violation éthique, notamment en lien avec l’utilisation des systèmes d’information, sans crainte de représailles.</t>
  </si>
  <si>
    <t>Mise en place d’un canal de signalement anonyme et sécurisé (ex : hotline, plateforme en ligne).</t>
  </si>
  <si>
    <t>Un canal de signalement anonyme et sécurisé (ex : hotline, plateforme en ligne) est-il mis à disposition des employés et partenaires pour signaler des violations éthiques ?</t>
  </si>
  <si>
    <t>Documentation du canal</t>
  </si>
  <si>
    <t>Absence de moyen sécurisé pouvant décourager le signalement</t>
  </si>
  <si>
    <t>Garantie de la confidentialité des signalements pour protéger les lanceurs d’alerte.</t>
  </si>
  <si>
    <t>Des mesures sont-elles en place pour garantir la confidentialité des signalements et protéger les lanceurs d'alerte contre les représailles ?</t>
  </si>
  <si>
    <t>Politique de protection des lanceurs d’alerte</t>
  </si>
  <si>
    <t>Peur des représailles réduisant le taux de signalement</t>
  </si>
  <si>
    <t>Communication claire sur l’existence et l’accessibilité de ce canal à tous les employés et partenaires.</t>
  </si>
  <si>
    <t>L'existence et l'accessibilité du canal de signalement anonyme et sécurisé sont-elles clairement communiquées à tous les employés et partenaires ?</t>
  </si>
  <si>
    <t>Communication interne sur le canal</t>
  </si>
  <si>
    <t>Méconnaissance du canal entraînant une sous-utilisation</t>
  </si>
  <si>
    <t>Existence d’une procédure d’enquête et de traitement des signalements reçus.</t>
  </si>
  <si>
    <t>Une procédure d'enquête et de traitement des signalements reçus via le canal anonyme est-elle en place ?</t>
  </si>
  <si>
    <t>Procédure d’enquête</t>
  </si>
  <si>
    <t>Signalements non traités réduisant la confiance des employés</t>
  </si>
  <si>
    <t>Suivi des signalements et évaluation de l’efficacité du canal mis en place.</t>
  </si>
  <si>
    <t>Les signalements reçus via le canal anonyme sont-ils suivis et l'efficacité de ce canal est-elle évaluée périodiquement ?</t>
  </si>
  <si>
    <t>Rapports d’évaluation du canal</t>
  </si>
  <si>
    <t>Manque d’amélioration continue pouvant réduire son efficacité</t>
  </si>
  <si>
    <t xml:space="preserve"> Structures, autorités et responsabilités </t>
  </si>
  <si>
    <t xml:space="preserve">S’assurer que la structure organisationnelle est clairement définie, 
incluant les rattachements hiérarchiques, les rôles, les 
responsabilités et les pouvoirs de chaque collaborateur. </t>
  </si>
  <si>
    <t>Existence d’un organigramme détaillé décrivant les rôles et responsabilités.</t>
  </si>
  <si>
    <t>Un organigramme détaillé décrivant les rôles et responsabilités de chaque fonction au sein de l'organisation existe-t-il ?</t>
  </si>
  <si>
    <t>Organigramme officiel</t>
  </si>
  <si>
    <t>Manque de clarté organisationnelle créant des conflits de responsabilité</t>
  </si>
  <si>
    <t>Définition formelle des attributions et pouvoirs de chaque poste.</t>
  </si>
  <si>
    <t>Les attributions et les pouvoirs de chaque poste au sein de l'organisation sont-ils formellement définis ?</t>
  </si>
  <si>
    <t>Fiches de poste</t>
  </si>
  <si>
    <t>Risque de confusion dans la prise de décisions et la délégation</t>
  </si>
  <si>
    <t>Mise en place de fiches de poste précisant les responsabilités de chaque collaborateur.</t>
  </si>
  <si>
    <t>Des fiches de poste précisant les responsabilités de chaque collaborateur sont-elles en place et régulièrement mises à jour ?</t>
  </si>
  <si>
    <t>Fiches de poste mises à jour</t>
  </si>
  <si>
    <t>Incohérences dans la répartition des tâches</t>
  </si>
  <si>
    <t>Présence d’un cadre de référence pour clarifier les relations hiérarchiques et fonctionnelles.</t>
  </si>
  <si>
    <t>Un cadre de référence est-il en place pour clarifier les relations hiérarchiques et fonctionnelles entre les différentes entités et les collaborateurs ?</t>
  </si>
  <si>
    <t>Document de référence organisationnel</t>
  </si>
  <si>
    <t>Ambiguïtés dans la gestion des interactions et responsabilités</t>
  </si>
  <si>
    <t>Accessibilité de la structure organisationnelle à tous les employés via un support officiel (intranet, manuel interne, etc.).</t>
  </si>
  <si>
    <t>La structure organisationnelle est-elle accessible à tous les employés via un support officiel (intranet, manuel interne, etc.) ?</t>
  </si>
  <si>
    <t>Support de communication interne</t>
  </si>
  <si>
    <t>Méconnaissance des circuits hiérarchiques ralentissant la prise de décision</t>
  </si>
  <si>
    <t xml:space="preserve">Vérifier que les responsabilités et laes pouvoirs sont attribués de 
manière appropriée, en fonction des compétences et des objectifs 
stratégiques de l’organisation. </t>
  </si>
  <si>
    <t>Processus formalisé d’attribution des responsabilités basé sur les compétences et qualifications.</t>
  </si>
  <si>
    <t>Un processus formalisé d’attribution des responsabilités basé sur les compétences et qualifications est-il en place ?</t>
  </si>
  <si>
    <t>Procédure de gestion des compétences</t>
  </si>
  <si>
    <t>Attribution inadaptée des responsabilités pouvant compromettre l’efficacité</t>
  </si>
  <si>
    <t>Cohérence entre les attributions de pouvoir et les objectifs stratégiques de l’organisation.</t>
  </si>
  <si>
    <t>Existe-t-il une cohérence entre les attributions de pouvoir et les objectifs stratégiques de l’organisation ?</t>
  </si>
  <si>
    <t>Politique interne d’alignement stratégique</t>
  </si>
  <si>
    <t>Décalage entre les décisions prises et les objectifs globaux</t>
  </si>
  <si>
    <t>Présence de mécanismes de contrôle pour éviter la concentration excessive de pouvoirs.</t>
  </si>
  <si>
    <t>Des mécanismes de contrôle sont-ils en place pour éviter la concentration excessive de pouvoirs au sein de l'organisation ?</t>
  </si>
  <si>
    <t>Procédure de délégation et contrôle interne</t>
  </si>
  <si>
    <t>Risque d’abus de pouvoir et de fraude</t>
  </si>
  <si>
    <t>Existence d’un processus d’évaluation des compétences avant l’attribution de nouvelles responsabilités.</t>
  </si>
  <si>
    <t>Un processus d’évaluation des compétences est-il en place avant l’attribution de nouvelles responsabilités ?</t>
  </si>
  <si>
    <t>Rapports d’évaluation des compétences</t>
  </si>
  <si>
    <t>Affectation inadaptée compromettant la performance</t>
  </si>
  <si>
    <t>Vérification régulière de l’adéquation entre les responsabilités attribuées et les résultats attendus.</t>
  </si>
  <si>
    <t>L'adéquation entre les responsabilités attribuées et les résultats attendus est-elle vérifiée régulièrement ?</t>
  </si>
  <si>
    <t>Rapports de performance</t>
  </si>
  <si>
    <t>Risque de non-atteinte des objectifs stratégiques</t>
  </si>
  <si>
    <t xml:space="preserve">Vérifier que le management reçoit l’approbation du Conseil pour les 
modifications de la structure organisationnelle, afin d’assurer une 
supervision adéquate des changements importants. </t>
  </si>
  <si>
    <t>Existence d’un processus formel de validation des changements structurels par le Conseil.</t>
  </si>
  <si>
    <t>Un processus formel de validation des changements structurels par le Conseil d'administration existe-t-il ?</t>
  </si>
  <si>
    <t>Procès-verbaux du Conseil d'Administration, Politique de gestion des changements</t>
  </si>
  <si>
    <t>Changements structurels non approuvés.</t>
  </si>
  <si>
    <t>Documentation des décisions et des motivations derrière chaque modification de la structure.</t>
  </si>
  <si>
    <t>Les décisions et les motivations derrière chaque modification de la structure organisationnelle sont-elles documentées ?</t>
  </si>
  <si>
    <t>Documents de conception de la structure, Procès-verbaux des décisions</t>
  </si>
  <si>
    <t>Manque de traçabilité des décisions.</t>
  </si>
  <si>
    <t>Participation active du Conseil dans l’analyse des impacts des changements organisationnels.</t>
  </si>
  <si>
    <t>Le Conseil d'administration participe-t-il activement à l’analyse des impacts des changements organisationnels ?</t>
  </si>
  <si>
    <t>Procès-verbaux du Conseil d'Administration, Rapports d'analyse d'impact</t>
  </si>
  <si>
    <t>Impacts négatifs des changements non anticipés.</t>
  </si>
  <si>
    <t>Intégration des recommandations du Conseil avant la mise en œuvre des modifications.</t>
  </si>
  <si>
    <t>Les recommandations du Conseil d'administration sont-elles intégrées avant la mise en œuvre des modifications structurelles ?</t>
  </si>
  <si>
    <t>Procès-verbaux du Conseil d'Administration, Plans de mise en œuvre des changements</t>
  </si>
  <si>
    <t>Non-prise en compte de l'expertise du Conseil.</t>
  </si>
  <si>
    <t>Vérification de la conformité des modifications avec les objectifs et les valeurs de l’organisation.</t>
  </si>
  <si>
    <t>La conformité des modifications structurelles avec les objectifs et les valeurs de l’organisation est-elle vérifiée ?</t>
  </si>
  <si>
    <t>Documents de conception de la structure, Référentiel des objectifs et valeurs</t>
  </si>
  <si>
    <t>Structure organisationnelle non alignée avec la stratégie.</t>
  </si>
  <si>
    <t xml:space="preserve">S’assurer que des mécanismes sont en place pour communiquer la 
structure organisationnelle à tous les collaborateurs, afin qu'ils 
comprennent clairement leurs rôles et leurs responsabilités. </t>
  </si>
  <si>
    <t>Disponibilité d’un document officiel décrivant la structure organisationnelle.</t>
  </si>
  <si>
    <t>Un document officiel décrivant la structure organisationnelle est-il disponible et à jour ?</t>
  </si>
  <si>
    <t>Organigramme officiel, Manuel d'organisation</t>
  </si>
  <si>
    <t>Manque de clarté sur les rôles et responsabilités.</t>
  </si>
  <si>
    <t>Organisation de sessions d’information ou de formation sur la structure et les responsabilités.</t>
  </si>
  <si>
    <t>Des sessions d’information ou de formation sur la structure organisationnelle et les responsabilités sont-elles organisées pour les employés ?</t>
  </si>
  <si>
    <t>Plans de formation, Supports de formation, Compte-rendus de sessions</t>
  </si>
  <si>
    <t>Mauvaise compréhension de la structure.</t>
  </si>
  <si>
    <t>Accès facile aux documents via l’intranet ou tout autre moyen de diffusion interne.</t>
  </si>
  <si>
    <t>Les documents relatifs à la structure organisationnelle sont-ils facilement accessibles aux employés via l’intranet ou d'autres moyens de diffusion interne ?</t>
  </si>
  <si>
    <t>Intranet, Manuel d'organisation, Plateformes de communication interne</t>
  </si>
  <si>
    <t>Difficulté à trouver les informations.</t>
  </si>
  <si>
    <t>Mise en place d’un point de contact pour répondre aux questions des employés sur l’organisation.</t>
  </si>
  <si>
    <t>Un point de contact est-il en place pour répondre aux questions des employés concernant la structure organisationnelle et les responsabilités ?</t>
  </si>
  <si>
    <t>Liste des contacts, Portail RH</t>
  </si>
  <si>
    <t>Questions des employés sans réponse.</t>
  </si>
  <si>
    <t>Vérification de la compréhension de la structure organisationnelle par les employés via des enquêtes ou des entretiens.</t>
  </si>
  <si>
    <t>La compréhension de la structure organisationnelle par les employés est-elle vérifiée via des enquêtes ou des entretiens ?</t>
  </si>
  <si>
    <t>Résultats d'enquêtes, Compte-rendus d'entretiens</t>
  </si>
  <si>
    <t>Lacunes dans la compréhension non identifiées.</t>
  </si>
  <si>
    <t>Vérifier que les structures, les rattachements et les responsabilités 
sont clairement documentés et accessibles pour consultation, 
garantissant une traçabilité des décisions organisation</t>
  </si>
  <si>
    <t>Existence d’un document officiel mis à jour sur les rattachements et responsabilités.</t>
  </si>
  <si>
    <t>Un document officiel et à jour sur les rattachements hiérarchiques et les responsabilités de chaque poste existe-t-il ?</t>
  </si>
  <si>
    <t>Fiches de poste, Organigramme détaillé</t>
  </si>
  <si>
    <t>Ambiguïté sur les responsabilités.</t>
  </si>
  <si>
    <t>Archivage des modifications structurelles avec justification et validation.</t>
  </si>
  <si>
    <t>Les modifications structurelles sont-elles archivées avec la justification et la validation correspondantes ?</t>
  </si>
  <si>
    <t>Archives des documents organisationnels, Historique des modifications</t>
  </si>
  <si>
    <t>Perte de traçabilité des évolutions.</t>
  </si>
  <si>
    <t>Accessibilité des documents organisationnels aux managers et employés concernés.</t>
  </si>
  <si>
    <t>Les documents organisationnels sont-ils facilement accessibles aux managers et aux employés concernés ?</t>
  </si>
  <si>
    <t>Intranet, Systèmes de gestion documentaire</t>
  </si>
  <si>
    <t>Difficulté d'accès à l'information pour la prise de décision.</t>
  </si>
  <si>
    <t>Présence d’un processus de contrôle pour garantir la cohérence des documents avec la réalité opérationnelle.</t>
  </si>
  <si>
    <t>Un processus de contrôle est-il en place pour garantir la cohérence des documents organisationnels avec la réalité opérationnelle ?</t>
  </si>
  <si>
    <t>Procédures de revue documentaire, Audits internes</t>
  </si>
  <si>
    <t>Documents obsolètes ou incorrects.</t>
  </si>
  <si>
    <t>Intégration des documents organisationnels dans un référentiel structuré et centralisé.</t>
  </si>
  <si>
    <t>Les documents organisationnels sont-ils intégrés dans un référentiel structuré et centralisé ?</t>
  </si>
  <si>
    <t>Système de gestion documentaire, Intranet</t>
  </si>
  <si>
    <t>Difficulté à trouver les informations fiables.</t>
  </si>
  <si>
    <t xml:space="preserve">Compétences des individus </t>
  </si>
  <si>
    <t>S’assurer que l’organisation dispose de processus clairs et 
formalisés pour attirer des talents qualifiés dans les domaines 
nécessaires à son fonctionnement, y compris pour les systèmes 
d’information.</t>
  </si>
  <si>
    <t>Existence d’une politique de recrutement détaillant les besoins en compétences clés.</t>
  </si>
  <si>
    <t>Une politique de recrutement détaillant les besoins en compétences clés est-elle en place ?</t>
  </si>
  <si>
    <t>Politique de recrutement</t>
  </si>
  <si>
    <t>Difficulté à attirer les bons profils.</t>
  </si>
  <si>
    <t>Présence d’un processus structuré de sélection des candidats basé sur des critères objectifs.</t>
  </si>
  <si>
    <t>Un processus structuré de sélection des candidats basé sur des critères objectifs est-il en place ?</t>
  </si>
  <si>
    <t>Procédure de recrutement, Grilles d'évaluation</t>
  </si>
  <si>
    <t>Risque de biais dans le recrutement.</t>
  </si>
  <si>
    <t>Utilisation de canaux de recrutement adaptés (plateformes spécialisées, réseaux professionnels, partenariats avec des universités).</t>
  </si>
  <si>
    <t>L'organisation utilise-t-elle des canaux de recrutement adaptés (plateformes spécialisées, réseaux professionnels, partenariats avec des universités) ?</t>
  </si>
  <si>
    <t>Stratégie de sourcing, Liste des canaux utilisés</t>
  </si>
  <si>
    <t>Difficulté à atteindre les profils recherchés.</t>
  </si>
  <si>
    <t>Intégration d’une grille d’évaluation pour s’assurer de l’adéquation entre les profils recrutés et les besoins organisationnels.</t>
  </si>
  <si>
    <t>Une grille d'évaluation est-elle utilisée pour s'assurer de l'adéquation entre les profils recrutés et les besoins organisationnels ?</t>
  </si>
  <si>
    <t>Grilles d'évaluation, Descriptions de poste</t>
  </si>
  <si>
    <t>Risque de recruter des personnes inadaptées aux postes.</t>
  </si>
  <si>
    <t>Suivi et évaluation des performances des nouvelles recrues pour valider leur adaptation et efficacité.</t>
  </si>
  <si>
    <t>Un suivi et une évaluation des performances des nouvelles recrues sont-ils réalisés pour valider leur adaptation et leur efficacité ?</t>
  </si>
  <si>
    <t>Politique d'intégration, Entretiens de suivi, Périodes d'essai</t>
  </si>
  <si>
    <t>Difficulté à identifier les problèmes d'intégration rapidement.</t>
  </si>
  <si>
    <t xml:space="preserve">Vérifier que l’organisation met en place des programmes de 
formation continue pour ses collaborateurs, en particulier dans les 
domaines stratégiques comme la gestion des systèmes 
d'information et la cybersécurité. </t>
  </si>
  <si>
    <t>Existence d’un plan de formation annuel couvrant les domaines clés, dont les systèmes d’information et la cybersécurité.</t>
  </si>
  <si>
    <t>Un plan de formation annuel couvrant les domaines clés, dont les systèmes d’information et la cybersécurité, est-il en place ?</t>
  </si>
  <si>
    <t>Plan de formation annuel</t>
  </si>
  <si>
    <t>Compétences clés manquantes.</t>
  </si>
  <si>
    <t>Participation active des employés aux formations et certification des compétences acquises.</t>
  </si>
  <si>
    <t>Les employés participent-ils activement aux formations et les compétences acquises sont-elles certifiées ?</t>
  </si>
  <si>
    <t>Registres de participation, Certifications, Évaluations de formation</t>
  </si>
  <si>
    <t>Investissement en formation non valorisé.</t>
  </si>
  <si>
    <t>Disponibilité de ressources pédagogiques accessibles (plateformes en ligne, formations en présentiel, webinaires).</t>
  </si>
  <si>
    <t>Des ressources pédagogiques accessibles (plateformes en ligne, formations en présentiel, webinaires) sont-elles disponibles pour les employés ?</t>
  </si>
  <si>
    <t>Catalogue de formations, Plateformes LMS, Supports de formation</t>
  </si>
  <si>
    <t>Difficulté pour les employés de se former.</t>
  </si>
  <si>
    <t>Évaluation périodique de l’efficacité des formations à travers des tests et des retours des participants.</t>
  </si>
  <si>
    <t>L'efficacité des formations est-elle évaluée périodiquement à travers des tests et des retours des participants ?</t>
  </si>
  <si>
    <t>Résultats d'évaluations de formation, Enquêtes de satisfaction</t>
  </si>
  <si>
    <t>Efficacité des formations non mesurée.</t>
  </si>
  <si>
    <t>Alignement des formations avec les évolutions technologiques et les besoins stratégiques de l’organisation.</t>
  </si>
  <si>
    <t>Les formations sont-elles alignées avec les évolutions technologiques et les besoins stratégiques de l’organisation ?</t>
  </si>
  <si>
    <t>Plans de formation, Stratégie de l'organisation, Veille technologique</t>
  </si>
  <si>
    <t>Compétences obsolètes.</t>
  </si>
  <si>
    <t xml:space="preserve">S’assurer que des mécanismes de fidélisation des talents sont en 
place, tels que des parcours de carrière, des avantages compétitifs 
et des opportunités de développement personnel, pour encourager 
les collaborateurs à rester au sein de l’organisation. </t>
  </si>
  <si>
    <t>Mise en place de plans de carrière clairs et évolutifs pour les employés.</t>
  </si>
  <si>
    <t>Des plans de carrière clairs et évolutifs sont-ils mis en place pour les employés ?</t>
  </si>
  <si>
    <t>Politique de gestion des carrières, Plans de développement individuel</t>
  </si>
  <si>
    <t>Manque de motivation et d'engagement.</t>
  </si>
  <si>
    <t>Présence d’un système d’avantages compétitifs (rémunération attractive, primes, flexibilité de travail).</t>
  </si>
  <si>
    <t>Un système d’avantages compétitifs (rémunération attractive, primes, flexibilité de travail) est-il en place ?</t>
  </si>
  <si>
    <t>Politique de rémunération, Grilles salariales, Offres d'avantages sociaux</t>
  </si>
  <si>
    <t>Difficulté à attirer et retenir les talents.</t>
  </si>
  <si>
    <t>Existence de programmes de mentorat et d’accompagnement professionnel.</t>
  </si>
  <si>
    <t>Des programmes de mentorat et d’accompagnement professionnel existent-ils au sein de l'organisation ?</t>
  </si>
  <si>
    <t>Politique de mentorat, Liste des mentors</t>
  </si>
  <si>
    <t>Développement des compétences plus lent.</t>
  </si>
  <si>
    <t>Organisation régulière d’activités de team-building et de reconnaissance des performances.</t>
  </si>
  <si>
    <t>Des activités de team-building et de reconnaissance des performances sont-elles organisées régulièrement ?</t>
  </si>
  <si>
    <t>Calendrier des événements, Politique de reconnaissance</t>
  </si>
  <si>
    <t>Moral des employés plus faible.</t>
  </si>
  <si>
    <t>Suivi des taux de rétention et identification des raisons de départs volontaires.</t>
  </si>
  <si>
    <t>Les taux de rétention sont-ils suivis et les raisons des départs volontaires sont-elles identifiées ?</t>
  </si>
  <si>
    <t>Données de turnover, Enquêtes de départ</t>
  </si>
  <si>
    <t>Difficulté à identifier les problèmes de rétention.</t>
  </si>
  <si>
    <t>Vérifier que des évaluations régulières de la performance des 
collaborateurs sont menées, avec des retours constructifs et des 
opportunités de développement, afin d’assurer leur progression 
professionnelle.</t>
  </si>
  <si>
    <t>Existence d’un système d’évaluation de la performance basé sur des critères objectifs et mesurables.</t>
  </si>
  <si>
    <t>Un système d’évaluation de la performance basé sur des critères objectifs et mesurables est-il en place ?</t>
  </si>
  <si>
    <t>Politique d'évaluation de la performance, Grilles d'évaluation</t>
  </si>
  <si>
    <t>Subjectivité dans l'évaluation.</t>
  </si>
  <si>
    <t>Organisation d’entretiens d’évaluation périodiques avec des retours constructifs.</t>
  </si>
  <si>
    <t>Des entretiens d’évaluation périodiques avec des retours constructifs sont-ils organisés ?</t>
  </si>
  <si>
    <t>Planning des entretiens, Guides d'entretien</t>
  </si>
  <si>
    <t>Manque de communication sur la performance.</t>
  </si>
  <si>
    <t>Mise en place de plans de développement personnalisés pour chaque employé.</t>
  </si>
  <si>
    <t>Des plans de développement personnalisés sont-ils mis en place pour chaque employé ?</t>
  </si>
  <si>
    <t>Plans de développement individuel</t>
  </si>
  <si>
    <t>Potentiel des employés non exploité.</t>
  </si>
  <si>
    <t>Suivi des progrès individuels et ajustement des objectifs en fonction des résultats.</t>
  </si>
  <si>
    <t>Les progrès individuels sont-ils suivis et les objectifs ajustés en fonction des résultats ?</t>
  </si>
  <si>
    <t>Outils de suivi des objectifs, Entretiens de suivi</t>
  </si>
  <si>
    <t>Désengagement si les objectifs sont irréalistes ou non suivis.</t>
  </si>
  <si>
    <t>Implication des managers dans le processus d’évaluation et de développement des compétences.</t>
  </si>
  <si>
    <t>Les managers sont-ils impliqués dans le processus d’évaluation et de développement des compétences de leurs équipes ?</t>
  </si>
  <si>
    <t>Programmes de formation pour managers, Guides d'évaluation</t>
  </si>
  <si>
    <t>Évaluations non cohérentes.</t>
  </si>
  <si>
    <t>Évaluation des Risques</t>
  </si>
  <si>
    <t>Spécification des objectifs appropriés</t>
  </si>
  <si>
    <t>S’assurer que les responsabilités de chaque collaborateur en 
matière de contrôle interne sont clairement définies, documentées 
et communiquées à l’ensemble de l’organisation.</t>
  </si>
  <si>
    <t>Existence d’un document officiel décrivant les responsabilités de chaque collaborateur en matière de contrôle interne.</t>
  </si>
  <si>
    <t>Existe-t-il un document officiel décrivant les responsabilités de chaque collaborateur en matière de contrôle interne ?</t>
  </si>
  <si>
    <t>Manuel de contrôle interne, Charte d'audit interne, Descriptions de poste</t>
  </si>
  <si>
    <t>Manque de clarté sur les responsabilités en matière de contrôle interne.</t>
  </si>
  <si>
    <t>Diffusion et accessibilité des documents de référence pour l’ensemble des collaborateurs.</t>
  </si>
  <si>
    <t>Les documents de référence relatifs au contrôle interne sont-ils diffusés et accessibles à l’ensemble des collaborateurs ?</t>
  </si>
  <si>
    <t>Politique de contrôle interne, Manuel de procédures, Intranet, Plateformes de communication interne</t>
  </si>
  <si>
    <t>Méconnaissance des procédures de contrôle interne par les collaborateurs.</t>
  </si>
  <si>
    <t>Organisation de sessions d’information et de sensibilisation sur les responsabilités en matière de contrôle interne.</t>
  </si>
  <si>
    <t>Des sessions d’information et de sensibilisation sur les responsabilités en matière de contrôle interne sont-elles organisées ?</t>
  </si>
  <si>
    <t>Sensibilisation insuffisante des collaborateurs aux enjeux du contrôle interne.</t>
  </si>
  <si>
    <t>Mise à jour régulière des rôles et responsabilités en fonction des évolutions organisationnelles et réglementaires.</t>
  </si>
  <si>
    <t>Les rôles et responsabilités en matière de contrôle interne sont-ils mis à jour régulièrement en fonction des évolutions organisationnelles et réglementaires ?</t>
  </si>
  <si>
    <t>Organigramme, Descriptions de poste, Politique de contrôle interne, Veille réglementaire</t>
  </si>
  <si>
    <t>Responsabilités obsolètes ou non alignées avec la réalité.</t>
  </si>
  <si>
    <t>Vérification de la compréhension des collaborateurs à travers des tests ou des évaluations internes.</t>
  </si>
  <si>
    <t>La compréhension des collaborateurs concernant leurs responsabilités en matière de contrôle interne est-elle vérifiée à travers des tests ou des évaluations internes ?</t>
  </si>
  <si>
    <t>Résultats de tests, Compte-rendus d'évaluations</t>
  </si>
  <si>
    <t>Niveau de compréhension des responsabilités non évalué.</t>
  </si>
  <si>
    <t xml:space="preserve">Vérifier que des mécanismes de suivi sont mis en place pour 
s’assurer que les responsables respectent leurs responsabilités en 
matière de contrôle interne et rendent compte de leur gestion. </t>
  </si>
  <si>
    <t>Mise en place d’un système de suivi des activités des responsables du contrôle interne.</t>
  </si>
  <si>
    <t>Un système de suivi des activités des responsables du contrôle interne est-il en place ?</t>
  </si>
  <si>
    <t>Tableaux de bord, Rapports d'activité, Outils de gestion des tâches</t>
  </si>
  <si>
    <t>Manque de visibilité sur les actions des responsables du contrôle interne.</t>
  </si>
  <si>
    <t>Définition d’indicateurs de performance pour évaluer la conformité des actions avec les attentes.</t>
  </si>
  <si>
    <t>Des indicateurs de performance sont-ils définis pour évaluer la conformité des actions des responsables du contrôle interne avec les attentes ?</t>
  </si>
  <si>
    <t>Cadre de performance, Tableaux de bord, Rapports d'audit interne</t>
  </si>
  <si>
    <t>Évaluation de la performance des responsables du contrôle interne subjective ou non mesurable.</t>
  </si>
  <si>
    <t>Existence de revues périodiques par la direction ou le conseil pour évaluer le respect des responsabilités.</t>
  </si>
  <si>
    <t>Des revues périodiques sont-elles réalisées par la direction ou le conseil pour évaluer le respect des responsabilités en matière de contrôle interne ?</t>
  </si>
  <si>
    <t>Procès-verbaux de réunions de direction ou du conseil, Rapports d'évaluation</t>
  </si>
  <si>
    <t>Supervision insuffisante du respect des responsabilités en matière de contrôle interne.</t>
  </si>
  <si>
    <t>Documentation et archivage des rapports de suivi et des comptes rendus de réunions.</t>
  </si>
  <si>
    <t>Les rapports de suivi et les comptes rendus de réunions relatifs au contrôle interne sont-ils documentés et archivés ?</t>
  </si>
  <si>
    <t>Systèmes de gestion documentaire, Archives</t>
  </si>
  <si>
    <t>Perte d'informations importantes sur le contrôle interne.</t>
  </si>
  <si>
    <t>Mise en œuvre d’un processus de signalement des manquements observés.</t>
  </si>
  <si>
    <t>Un processus de signalement des manquements observés en matière de contrôle interne est-il mis en œuvre ?</t>
  </si>
  <si>
    <t>Politique de signalement, Plateforme de signalement, Procédures de traitement des signalements</t>
  </si>
  <si>
    <t>Manque de canaux pour signaler les problèmes de contrôle interne.</t>
  </si>
  <si>
    <t xml:space="preserve">S’assurer que des processus de reporting sont en place pour 
permettre à chaque responsable de rendre compte de 
l’accomplissement de ses tâches liées au contrôle interne, avec des 
indicateurs de performance définis. </t>
  </si>
  <si>
    <t>Définition claire des formats et contenus des rapports de contrôle interne.</t>
  </si>
  <si>
    <t>Les formats et contenus des rapports de contrôle interne sont-ils clairement définis ?</t>
  </si>
  <si>
    <t>Modèles de rapports, Guides de reporting</t>
  </si>
  <si>
    <t>Rapports de contrôle interne non standardisés et difficiles à interpréter.</t>
  </si>
  <si>
    <t>Fréquence définie et respectée pour la transmission des rapports de suivi.</t>
  </si>
  <si>
    <t>Une fréquence est-elle définie et respectée pour la transmission des rapports de suivi du contrôle interne ?</t>
  </si>
  <si>
    <t>Calendrier de reporting, Politique de contrôle interne</t>
  </si>
  <si>
    <t>Transmission irrégulière ou tardive des informations de contrôle interne.</t>
  </si>
  <si>
    <t>Intégration d’indicateurs de performance précis pour mesurer l’efficacité des actions menées.</t>
  </si>
  <si>
    <t>Des indicateurs de performance précis sont-ils intégrés pour mesurer l’efficacité des actions menées en matière de contrôle interne ?</t>
  </si>
  <si>
    <t>Tableaux de bord, Rapports d'audit interne, Cadre de performance</t>
  </si>
  <si>
    <t>Difficulté à mesurer l'efficacité des actions de contrôle interne.</t>
  </si>
  <si>
    <t>Analyse et validation des rapports par une instance de supervision dédiée.</t>
  </si>
  <si>
    <t>Les rapports de contrôle interne sont-ils analysés et validés par une instance de supervision dédiée ?</t>
  </si>
  <si>
    <t>Procès-verbaux de réunions du comité d'audit ou de direction, Rapports d'analyse</t>
  </si>
  <si>
    <t>Manque de supervision et de validation des informations de contrôle interne.</t>
  </si>
  <si>
    <t>Existence de retours et recommandations suite à l’analyse des rapports soumis.</t>
  </si>
  <si>
    <t>Des retours et des recommandations sont-ils formulés suite à l’analyse des rapports de contrôle interne soumis ?</t>
  </si>
  <si>
    <t>Procès-verbaux de réunions, Plans d'action, Suivi des recommandations</t>
  </si>
  <si>
    <t>Absence de suivi et d'amélioration continue basés sur les rapports de contrôle interne.</t>
  </si>
  <si>
    <t xml:space="preserve">Vérifier que des procédures de contrôle sont en place pour évaluer 
la conformité des actions des responsables avec les normes de 
contrôle interne, et pour identifier les non-conformités ou les écarts. </t>
  </si>
  <si>
    <t>Existence d’un cadre normatif de référence pour l’évaluation des actions des responsables.</t>
  </si>
  <si>
    <t>Un cadre normatif de référence existe-t-il pour l’évaluation des actions des responsables du contrôle interne ?</t>
  </si>
  <si>
    <t>Cadre de référence du contrôle interne (ex: COSO), Chartes professionnelles</t>
  </si>
  <si>
    <t>Évaluation non standardisée et potentiellement biaisée des actions des responsables du contrôle interne.</t>
  </si>
  <si>
    <t>Mise en place d’audits réguliers pour contrôler la conformité des actions avec les normes établies.</t>
  </si>
  <si>
    <t>Des audits réguliers sont-ils mis en place pour contrôler la conformité des actions des responsables du contrôle interne avec les normes établies ?</t>
  </si>
  <si>
    <t>Plans d'audit, Rapports d'audit interne, Suivi des recommandations</t>
  </si>
  <si>
    <t>Non-détection des non-conformités dans les actions des responsables du contrôle interne.</t>
  </si>
  <si>
    <t>Définition de critères d’évaluation clairs pour identifier les écarts et les non-conformités.</t>
  </si>
  <si>
    <t>Des critères d’évaluation clairs sont-ils définis pour identifier les écarts et les non-conformités en matière de contrôle interne ?</t>
  </si>
  <si>
    <t>Manuels de contrôle interne, Procédures, Grilles d'évaluation</t>
  </si>
  <si>
    <t>Évaluation subjective des écarts et des non-conformités.</t>
  </si>
  <si>
    <t>Documentation et suivi des écarts identifiés avec des recommandations d’amélioration.</t>
  </si>
  <si>
    <t>Les écarts identifiés en matière de contrôle interne sont-ils documentés et suivis avec des recommandations d’amélioration ?</t>
  </si>
  <si>
    <t>Registre des incidents, Plans d'action corrective, Suivi des actions</t>
  </si>
  <si>
    <t>Non-suivi et non-correction des écarts identifiés.</t>
  </si>
  <si>
    <t>Mise en place de sanctions ou de corrections en cas de non-respect des procédures de contrôle interne.</t>
  </si>
  <si>
    <t>Des sanctions ou des mesures correctives sont-elles mises en place en cas de non-respect des procédures de contrôle interne ?</t>
  </si>
  <si>
    <t>Politique disciplinaire, Procédures de sanctions</t>
  </si>
  <si>
    <t>Non-respect des procédures de contrôle interne non sanctionné.</t>
  </si>
  <si>
    <t xml:space="preserve">Vérifier que des mécanismes de formation et de sensibilisation sont 
mis en place pour renforcer la compréhension et l'engagement de 
chaque collaborateur vis-à-vis de ses responsabilités en matière de 
contrôle interne. </t>
  </si>
  <si>
    <t>Déploiement d’un programme de formation dédié au contrôle interne.</t>
  </si>
  <si>
    <t>Un programme de formation dédié au contrôle interne est-il déployé pour les collaborateurs ?</t>
  </si>
  <si>
    <t>Plan de formation, Supports de formation, Registres de participation</t>
  </si>
  <si>
    <t>Connaissances insuffisantes des collaborateurs sur le contrôle interne.</t>
  </si>
  <si>
    <t>Organisation régulière de sessions de sensibilisation pour les collaborateurs.</t>
  </si>
  <si>
    <t>Des sessions de sensibilisation au contrôle interne sont-elles organisées régulièrement pour les collaborateurs ?</t>
  </si>
  <si>
    <t>Calendrier des sessions, Supports de sensibilisation, Compte-rendus</t>
  </si>
  <si>
    <t>Sensibilisation ponctuelle et potentiellement oubliée.</t>
  </si>
  <si>
    <t>Mise à disposition de supports pédagogiques accessibles (guides, vidéos, e-learning).</t>
  </si>
  <si>
    <t>Des supports pédagogiques accessibles (guides, vidéos, e-learning) sur le contrôle interne sont-ils mis à disposition des collaborateurs ?</t>
  </si>
  <si>
    <t>Intranet, Plateformes e-learning, Manuels et guides</t>
  </si>
  <si>
    <t>Difficulté pour les collaborateurs d'accéder à l'information sur le contrôle interne.</t>
  </si>
  <si>
    <t>Évaluation de l’efficacité des formations par des tests ou des études d’impact.</t>
  </si>
  <si>
    <t>L’efficacité des formations au contrôle interne est-elle évaluée par des tests ou des études d’impact ?</t>
  </si>
  <si>
    <t>Résultats de tests, Enquêtes de satisfaction, Évaluations post-formation</t>
  </si>
  <si>
    <t>Mise à jour des contenus de formation en fonction des évolutions réglementaires et organisationnelles.</t>
  </si>
  <si>
    <t>Les contenus de formation au contrôle interne sont-ils mis à jour en fonction des évolutions réglementaires et organisationnelles ?</t>
  </si>
  <si>
    <t>Plans de formation, Supports de formation, Veille réglementaire, Documentation des changements organisationnels</t>
  </si>
  <si>
    <t>Formation au contrôle interne obsolète.</t>
  </si>
  <si>
    <t xml:space="preserve"> Identification et analyse des risques</t>
  </si>
  <si>
    <t xml:space="preserve">S’assurer que l’organisation dispose d’une structure 
organisationnelle clairement définie, incluant les rôles et 
responsabilités relatifs à la gestion des systèmes d’information. </t>
  </si>
  <si>
    <t>Existence d’un organigramme détaillant les rôles et responsabilités liés aux systèmes d’information.</t>
  </si>
  <si>
    <t>Un organigramme détaillant les rôles et responsabilités liés aux systèmes d’information existe-t-il ?</t>
  </si>
  <si>
    <t>Organigramme SI, Descriptions de poste SI</t>
  </si>
  <si>
    <t>Manque de clarté sur les responsabilités au sein de la direction des systèmes d'information.</t>
  </si>
  <si>
    <t>Documentation des attributions spécifiques aux fonctions SI (DSI, RSSI, administrateurs, etc.).</t>
  </si>
  <si>
    <t>Les attributions spécifiques aux fonctions SI (DSI, RSSI, administrateurs, etc.) sont-elles documentées ?</t>
  </si>
  <si>
    <t>Fiches de poste, Politiques de sécurité SI</t>
  </si>
  <si>
    <t>Ambiguïté sur les responsabilités des acteurs clés des systèmes d'information.</t>
  </si>
  <si>
    <t>Communication de la structure organisationnelle aux collaborateurs concernés.</t>
  </si>
  <si>
    <t>La structure organisationnelle des systèmes d’information est-elle communiquée aux collaborateurs concernés ?</t>
  </si>
  <si>
    <t>Intranet, Communications internes</t>
  </si>
  <si>
    <t>Méconnaissance de l'organisation de la direction des systèmes d'information par les collaborateurs.</t>
  </si>
  <si>
    <t>Alignement de la structure organisationnelle avec les besoins stratégiques en SI.</t>
  </si>
  <si>
    <t>La structure organisationnelle des systèmes d’information est-elle alignée avec les besoins stratégiques en SI ?</t>
  </si>
  <si>
    <t>Plan stratégique SI, Organigramme SI</t>
  </si>
  <si>
    <t>Structure SI non adaptée aux objectifs de l'organisation.</t>
  </si>
  <si>
    <t>Mise à jour régulière de la structure organisationnelle en fonction des évolutions technologiques et réglementaires.</t>
  </si>
  <si>
    <t>La structure organisationnelle des systèmes d’information est-elle mise à jour régulièrement en fonction des évolutions technologiques et réglementaires ?</t>
  </si>
  <si>
    <t>Organigramme SI, Politique de gestion des changements SI, Veille technologique et réglementaire</t>
  </si>
  <si>
    <t>Structure SI obsolète face aux évolutions technologiques et réglementaires.</t>
  </si>
  <si>
    <t xml:space="preserve">Vérifier que les responsabilités liées à la sécurité des systèmes 
d’information et à la gestion des données sont attribuées à des 
postes spécifiques, avec des descriptions de rôle formalisées. </t>
  </si>
  <si>
    <t>Attribution claire des responsabilités en cybersécurité et gestion des données.</t>
  </si>
  <si>
    <t>Les responsabilités en matière de cybersécurité et de gestion des données sont-elles clairement attribuées ?</t>
  </si>
  <si>
    <t>Organigramme SI, Fiches de poste, Politiques de sécurité SI, Politiques de gestion des données</t>
  </si>
  <si>
    <t>Responsabilités ambiguës en matière de cybersécurité et de gestion des données.</t>
  </si>
  <si>
    <t>Existence de fiches de poste détaillant les tâches spécifiques de chaque acteur clé.</t>
  </si>
  <si>
    <t>Des fiches de poste détaillant les tâches spécifiques de chaque acteur clé des systèmes d’information existent-elles ?</t>
  </si>
  <si>
    <t>Fiches de poste SI</t>
  </si>
  <si>
    <t>Manque de précision dans les rôles et responsabilités au sein des équipes SI.</t>
  </si>
  <si>
    <t>Accès facilité aux documents de référence pour les collaborateurs concernés.</t>
  </si>
  <si>
    <t>L’accès aux documents de référence relatifs aux systèmes d’information est-il facilité pour les collaborateurs concernés ?</t>
  </si>
  <si>
    <t>Intranet, Systèmes de gestion documentaire, Politiques de sécurité SI</t>
  </si>
  <si>
    <t>Difficulté d'accès aux informations importantes pour les équipes SI.</t>
  </si>
  <si>
    <t>Vérification de la conformité des descriptions de rôle avec les réglementations en vigueur.</t>
  </si>
  <si>
    <t>La conformité des descriptions de rôle dans les systèmes d’information avec les réglementations en vigueur est-elle vérifiée ?</t>
  </si>
  <si>
    <t>Fiches de poste SI, Veille réglementaire, Avis juridique</t>
  </si>
  <si>
    <t>Descriptions de rôle non conformes aux réglementations.</t>
  </si>
  <si>
    <t>Mise en place d’un processus de validation et de révision des rôles en fonction des besoins.</t>
  </si>
  <si>
    <t>Un processus de validation et de révision des rôles dans les systèmes d’information en fonction des besoins est-il en place ?</t>
  </si>
  <si>
    <t>Politique de gestion des rôles, Procédures de revue organisationnelle</t>
  </si>
  <si>
    <t>Rôles SI non adaptés aux besoins évolutifs.</t>
  </si>
  <si>
    <t>S’assurer que les responsables des systèmes d’information, ainsi 
que les autres parties prenantes, sont dotés des ressources et des 
autorisations nécessaires pour exercer efficacement leurs 
responsabilités.</t>
  </si>
  <si>
    <t>Disponibilité des outils et infrastructures nécessaires à la gestion efficace des SI.</t>
  </si>
  <si>
    <t>Les outils et infrastructures nécessaires à la gestion efficace des systèmes d’information sont-ils disponibles ?</t>
  </si>
  <si>
    <t>Inventaire des outils et infrastructures, Budgets SI</t>
  </si>
  <si>
    <t>Manque d'outils et d'infrastructures adéquats.</t>
  </si>
  <si>
    <t>Accès approprié aux ressources critiques pour les responsables SI.</t>
  </si>
  <si>
    <t>Les responsables des systèmes d’information ont-ils un accès approprié aux ressources critiques ?</t>
  </si>
  <si>
    <t>Politiques de gestion des accès, Inventaire des ressources</t>
  </si>
  <si>
    <t>Accès inapproprié aux ressources critiques.</t>
  </si>
  <si>
    <t>Validation des budgets alloués aux équipes SI pour garantir leur bon fonctionnement.</t>
  </si>
  <si>
    <t>Les budgets alloués aux équipes des systèmes d’information sont-ils validés pour garantir leur bon fonctionnement ?</t>
  </si>
  <si>
    <t>Processus budgétaire, Budgets SI approuvés</t>
  </si>
  <si>
    <t>Budgets SI insuffisants ou non validés.</t>
  </si>
  <si>
    <t>Existence de procédures de gestion des accès et des autorisations.</t>
  </si>
  <si>
    <t>Des procédures de gestion des accès et des autorisations aux systèmes d’information existent-elles ?</t>
  </si>
  <si>
    <t>Politique de gestion des accès, Procédures d'attribution et de révocation des accès</t>
  </si>
  <si>
    <t>Gestion des accès et des autorisations inadéquate.</t>
  </si>
  <si>
    <t>Évaluation périodique de la suffisance des ressources allouées aux SI.</t>
  </si>
  <si>
    <t>La suffisance des ressources allouées aux systèmes d’information est-elle évaluée périodiquement ?</t>
  </si>
  <si>
    <t>Rapports d'utilisation des ressources, Enquêtes de satisfaction des équipes SI</t>
  </si>
  <si>
    <t>Insuffisance des ressources SI non identifiée.</t>
  </si>
  <si>
    <t xml:space="preserve">Vérifier que des mécanismes de communication efficaces existent 
pour assurer une coordination fluide entre les différents 
départements et les responsables des systèmes d’information. </t>
  </si>
  <si>
    <t>Existence de réunions régulières entre les SI et les autres départements.</t>
  </si>
  <si>
    <t>Des réunions régulières sont-elles organisées entre les équipes des systèmes d’information et les autres départements ?</t>
  </si>
  <si>
    <t>Calendrier des réunions, Procès-verbaux</t>
  </si>
  <si>
    <t>Communication insuffisante entre les équipes SI et les autres départements.</t>
  </si>
  <si>
    <t>Utilisation d’outils de communication collaborative pour faciliter les échanges.</t>
  </si>
  <si>
    <t>Des outils de communication collaborative sont-ils utilisés pour faciliter les échanges entre les équipes des systèmes d’information et les autres départements ?</t>
  </si>
  <si>
    <t>Liste des outils de communication, Politiques d'utilisation</t>
  </si>
  <si>
    <t>Utilisation inefficace des outils de communication.</t>
  </si>
  <si>
    <t>Définition claire des circuits d’information et de validation entre équipes.</t>
  </si>
  <si>
    <t>Les circuits d’information et de validation entre les équipes des systèmes d’information et les autres départements sont-ils clairement définis ?</t>
  </si>
  <si>
    <t>Cartographie des processus, Politiques de communication</t>
  </si>
  <si>
    <t>Circuits d'information et de validation ambigus.</t>
  </si>
  <si>
    <t>Formalisation de processus de remontée et d’escalade en cas d’incident.</t>
  </si>
  <si>
    <t>Des processus de remontée et d’escalade en cas d’incident lié aux systèmes d’information sont-ils formalisés ?</t>
  </si>
  <si>
    <t>Procédures de gestion des incidents, Plan de réponse aux incidents</t>
  </si>
  <si>
    <t>Gestion des incidents SI inefficace.</t>
  </si>
  <si>
    <t>Mesure de l’efficacité des canaux de communication via des feedbacks internes.</t>
  </si>
  <si>
    <t>L’efficacité des canaux de communication entre les équipes des systèmes d’information et les autres départements est-elle mesurée via des feedbacks internes ?</t>
  </si>
  <si>
    <t>Enquêtes de satisfaction, Analyse des temps de réponse</t>
  </si>
  <si>
    <t>Efficacité de la communication non évaluée.</t>
  </si>
  <si>
    <t xml:space="preserve">S’assurer qu’il existe une hiérarchie de responsabilité permettant de 
rendre compte de la performance des systèmes d’information, avec 
des rapports réguliers destinés à la direction. </t>
  </si>
  <si>
    <t>Mise en place d’un cadre de reporting structuré sur la performance des SI.</t>
  </si>
  <si>
    <t>Un cadre de reporting structuré sur la performance des systèmes d’information est-il mis en place ?</t>
  </si>
  <si>
    <t>Modèles de rapports SI, Politique de reporting</t>
  </si>
  <si>
    <t>Manque de reporting structuré sur la performance des SI.</t>
  </si>
  <si>
    <t>Définition d’indicateurs clés pour évaluer l’efficacité des systèmes d’information.</t>
  </si>
  <si>
    <t>Des indicateurs clés sont-ils définis pour évaluer l’efficacité des systèmes d’information ?</t>
  </si>
  <si>
    <t>Tableaux de bord SI, Catalogue d'indicateurs</t>
  </si>
  <si>
    <t>Évaluation subjective de l'efficacité des SI.</t>
  </si>
  <si>
    <t>Fréquence définie pour la remise des rapports à la direction.</t>
  </si>
  <si>
    <t>Une fréquence est-elle définie pour la remise des rapports sur la performance des systèmes d’information à la direction ?</t>
  </si>
  <si>
    <t>Calendrier de reporting SI, Politique de reporting</t>
  </si>
  <si>
    <t>Remise irrégulière des rapports de performance SI.</t>
  </si>
  <si>
    <t>Analyse et exploitation des rapports pour améliorer les processus SI.</t>
  </si>
  <si>
    <t>Les rapports sur la performance des systèmes d’information sont-ils analysés et exploités pour améliorer les processus SI ?</t>
  </si>
  <si>
    <t>Procès-verbaux de réunions de direction, Plans d'amélioration SI</t>
  </si>
  <si>
    <t>Non-utilisation des rapports pour l'amélioration continue des SI.</t>
  </si>
  <si>
    <t>Existence de plans d’amélioration basés sur les observations issues des rapports.</t>
  </si>
  <si>
    <t>Des plans d’amélioration basés sur les observations issues des rapports sur la performance des systèmes d’information existent-ils ?</t>
  </si>
  <si>
    <t>Plans d'amélioration SI, Suivi des actions</t>
  </si>
  <si>
    <t>Absence de plans d'amélioration basés sur les données de performance SI.</t>
  </si>
  <si>
    <t xml:space="preserve"> Identification et analyse des changements 
significatifs </t>
  </si>
  <si>
    <t>S’assurer que l’organisation met en place un processus structuré 
pour identifier les changements, qu’ils soient internes 
(réorganisations, nouvelles technologies, etc.) ou externes 
(évolutions réglementaires, marché, etc.), susceptibles d’affecter le 
système de contrôle interne.</t>
  </si>
  <si>
    <t>Définition de plans d’action détaillés pour adapter les contrôles internes.</t>
  </si>
  <si>
    <t>Des plans d’action détaillés sont-ils définis pour adapter les contrôles internes en réponse aux changements ?</t>
  </si>
  <si>
    <t>Plans d'action de contrôle interne, Analyse d'impact des changements</t>
  </si>
  <si>
    <t>Plans d'action de contrôle interne incomplets ou inexistants face aux changements.</t>
  </si>
  <si>
    <t>Mise en œuvre de tests pilotes avant généralisation des nouvelles mesures.</t>
  </si>
  <si>
    <t>Des tests pilotes sont-ils mis en œuvre avant la généralisation des nouvelles mesures de contrôle interne ?</t>
  </si>
  <si>
    <t>Plans de tests pilotes, Rapports de tests</t>
  </si>
  <si>
    <t>Mise en œuvre de contrôles internes non testés.</t>
  </si>
  <si>
    <t>Existence d’un calendrier précis de mise à jour des procédures de contrôle.</t>
  </si>
  <si>
    <t>Un calendrier précis de mise à jour des procédures de contrôle interne existe-t-il ?</t>
  </si>
  <si>
    <t>Calendrier de revue des procédures, Politique de contrôle interne</t>
  </si>
  <si>
    <t>Procédures de contrôle interne obsolètes.</t>
  </si>
  <si>
    <t>Suivi et évaluation de l’efficacité des ajustements apportés.</t>
  </si>
  <si>
    <t>L’efficacité des ajustements apportés aux contrôles internes est-elle suivie et évaluée ?</t>
  </si>
  <si>
    <t>Indicateurs de performance, Rapports de suivi</t>
  </si>
  <si>
    <t>Efficacité des ajustements non mesurée.</t>
  </si>
  <si>
    <t>Documentation systématique des modifications et de leurs impacts sur l’organisation.</t>
  </si>
  <si>
    <t>Les modifications des contrôles internes et leurs impacts sur l’organisation sont-ils documentés de manière systématique ?</t>
  </si>
  <si>
    <t>Registre des modifications de contrôle interne, Analyse d'impact</t>
  </si>
  <si>
    <t>Manque de traçabilité des modifications de contrôle interne.</t>
  </si>
  <si>
    <t xml:space="preserve">Vérifier que les changements identifiés sont évalués de manière 
formelle et structurée, avec une analyse de l’impact potentiel sur les 
contrôles internes et les risques associés. </t>
  </si>
  <si>
    <t>Existence d'une procédure formelle pour l’évaluation des changements.</t>
  </si>
  <si>
    <t>Existe-t-il une procédure formelle pour l’évaluation des changements internes et externes ?</t>
  </si>
  <si>
    <t>Politique de gestion des changements, Procédure d'évaluation des impacts</t>
  </si>
  <si>
    <t>Évaluation informelle ou inexistante des changements.</t>
  </si>
  <si>
    <t>Documentation des analyses d’impact effectuées sur les contrôles internes.</t>
  </si>
  <si>
    <t>Les analyses d’impact effectuées sur les contrôles internes suite à des changements sont-elles documentées ?</t>
  </si>
  <si>
    <t>Rapports d'analyse d'impact sur le contrôle interne</t>
  </si>
  <si>
    <t>Manque de documentation des impacts des changements sur le contrôle interne.</t>
  </si>
  <si>
    <t>Prise en compte des risques associés dans l’évaluation des changements.</t>
  </si>
  <si>
    <t>Les risques associés sont-ils pris en compte lors de l’évaluation des changements affectant le contrôle interne ?</t>
  </si>
  <si>
    <t>Registre des risques, Analyse d'impact des changements</t>
  </si>
  <si>
    <t>Risques non pris en compte lors de l'évaluation des changements.</t>
  </si>
  <si>
    <t>Validation des évaluations par les parties prenantes concernées.</t>
  </si>
  <si>
    <t>Les évaluations des changements et leurs impacts sur le contrôle interne sont-elles validées par les parties prenantes concernées ?</t>
  </si>
  <si>
    <t>Procès-verbaux de réunions, Listes de validation</t>
  </si>
  <si>
    <t>Évaluations des changements non validées.</t>
  </si>
  <si>
    <t>Suivi des décisions prises suite à l’évaluation des changements.</t>
  </si>
  <si>
    <t>Les décisions prises suite à l’évaluation des changements affectant le contrôle interne sont-elles suivies ?</t>
  </si>
  <si>
    <t>Plans d'action, Suivi des décisions</t>
  </si>
  <si>
    <t>Non-suivi des décisions prises suite aux évaluations des changements.</t>
  </si>
  <si>
    <t xml:space="preserve">S’assurer que les responsables du contrôle interne sont impliqués 
dans l’identification et l’évaluation des changements, afin qu’ils 
puissent adapter les contrôles en conséquence. </t>
  </si>
  <si>
    <t>Présence des responsables du contrôle interne dans les comités de gestion du changement.</t>
  </si>
  <si>
    <t>Les responsables du contrôle interne sont-ils présents dans les comités de gestion du changement ?</t>
  </si>
  <si>
    <t>Listes de participation aux comités, Chartes des comités</t>
  </si>
  <si>
    <t>Absence des responsables du contrôle interne dans les comités de gestion du changement.</t>
  </si>
  <si>
    <t>- Traçabilité de leur participation dans les revues de changements.</t>
  </si>
  <si>
    <t>La participation des responsables du contrôle interne aux revues de changements est-elle traçable ?</t>
  </si>
  <si>
    <t>Procès-verbaux de réunions, Listes de présence</t>
  </si>
  <si>
    <t>Participation des responsables du contrôle interne non tracée.</t>
  </si>
  <si>
    <t>- Intégration de leurs recommandations dans les décisions finales.</t>
  </si>
  <si>
    <t>Les recommandations des responsables du contrôle interne sont-elles intégrées dans les décisions finales relatives aux changements ?</t>
  </si>
  <si>
    <t>Procès-verbaux de réunions, Documents de décision</t>
  </si>
  <si>
    <t>Recommandations du contrôle interne non prises en compte.</t>
  </si>
  <si>
    <t>- Existence d’une communication formelle entre les équipes en charge des changements et le contrôle interne.</t>
  </si>
  <si>
    <t>Une communication formelle existe-t-elle entre les équipes en charge des changements et les responsables du contrôle interne ?</t>
  </si>
  <si>
    <t>Politique de communication, Procédures de communication</t>
  </si>
  <si>
    <t>Communication informelle ou inexistante entre les équipes de changement et le contrôle interne.</t>
  </si>
  <si>
    <t>- Formation continue des responsables du contrôle interne sur les évolutions du système.</t>
  </si>
  <si>
    <t>Une formation continue sur les évolutions du système est-elle proposée aux responsables du contrôle interne ?</t>
  </si>
  <si>
    <t>Plans de formation, Supports de formation</t>
  </si>
  <si>
    <t>Formation continue insuffisante pour les responsables du contrôle interne.</t>
  </si>
  <si>
    <t>Vérifier que des plans d’action sont mis en place pour ajuster le 
système de contrôle interne en fonction des changements identifiés, 
y compris des processus de mise à jour et de révision des contrôles 
existants.</t>
  </si>
  <si>
    <t>Élaboration systématique de plans d’action détaillés pour chaque changement majeur.</t>
  </si>
  <si>
    <t>Des plans d’action détaillés sont-ils systématiquement élaborés pour chaque changement majeur impactant le contrôle interne ?</t>
  </si>
  <si>
    <t>Absence de plans d'action détaillés pour les changements majeurs.</t>
  </si>
  <si>
    <t>- Existence d’un processus de validation et de mise en œuvre des plans d’action.</t>
  </si>
  <si>
    <t>Un processus de validation et de mise en œuvre des plans d’action relatifs aux changements du contrôle interne existe-t-il ?</t>
  </si>
  <si>
    <t>Procédures de validation, Suivi de la mise en œuvre</t>
  </si>
  <si>
    <t>Validation et mise en œuvre des plans d'action non structurées.</t>
  </si>
  <si>
    <t>- Mise à jour régulière des procédures et contrôles internes documentés.</t>
  </si>
  <si>
    <t>Les procédures et contrôles internes documentés sont-ils mis à jour régulièrement en fonction des changements ?</t>
  </si>
  <si>
    <t>Documentation des contrôles internes non mise à jour.</t>
  </si>
  <si>
    <t>- Attribution claire des responsabilités pour l’application des ajustements.</t>
  </si>
  <si>
    <t>Les responsabilités pour l’application des ajustements aux contrôles internes sont-elles clairement attribuées ?</t>
  </si>
  <si>
    <t>Organigramme, Descriptions de poste, Plans d'action</t>
  </si>
  <si>
    <t>Responsabilités ambiguës pour l'application des ajustements.</t>
  </si>
  <si>
    <t>- Suivi de l’exécution des plans d’action et évaluation de leur efficacité.</t>
  </si>
  <si>
    <t>L’exécution des plans d’action relatifs aux changements du contrôle interne est-elle suivie et leur efficacité évaluée ?</t>
  </si>
  <si>
    <t>Rapports de suivi, Indicateurs de performance</t>
  </si>
  <si>
    <t>Suivi et évaluation de l'exécution des plans d'action insuffisants.</t>
  </si>
  <si>
    <t xml:space="preserve">S’assurer que les changements et leur impact sur le système de 
contrôle interne sont régulièrement suivis et que des rapports 
détaillés sont fournis à la direction pour assurer une prise de 
décision informée. </t>
  </si>
  <si>
    <t>Mise en place d’un système de reporting régulier sur les changements et leur impact.</t>
  </si>
  <si>
    <t>Un système de reporting régulier sur les changements et leur impact sur le contrôle interne est-il en place ?</t>
  </si>
  <si>
    <t>Modèles de rapports, Politique de reporting</t>
  </si>
  <si>
    <t>Manque de reporting régulier sur l'impact des changements.</t>
  </si>
  <si>
    <t>- Existence d’indicateurs de suivi des modifications du contrôle interne.</t>
  </si>
  <si>
    <t>Des indicateurs de suivi des modifications du contrôle interne existent-ils ?</t>
  </si>
  <si>
    <t>Tableaux de bord, Catalogue d'indicateurs</t>
  </si>
  <si>
    <t>Suivi des modifications du contrôle interne non formalisé.</t>
  </si>
  <si>
    <t>- Fréquence et qualité des rapports transmis à la direction.</t>
  </si>
  <si>
    <t>La fréquence et la qualité des rapports sur les changements du contrôle interne transmis à la direction sont-elles définies et respectées ?</t>
  </si>
  <si>
    <t>Calendrier de reporting, Politique de reporting, Évaluations de la qualité des rapports</t>
  </si>
  <si>
    <t>Rapports sur les changements de contrôle interne irréguliers ou de qualité insuffisante.</t>
  </si>
  <si>
    <t>- Intégration des recommandations issues des rapports dans les décisions stratégiques.</t>
  </si>
  <si>
    <t>Les recommandations issues des rapports sur les changements du contrôle interne sont-elles intégrées dans les décisions stratégiques ?</t>
  </si>
  <si>
    <t>Procès-verbaux de réunions de direction, Documents de décision stratégique</t>
  </si>
  <si>
    <t>Recommandations des rapports non prises en compte dans les décisions stratégiques.</t>
  </si>
  <si>
    <t>- Accès des parties prenantes concernées aux informations critiques sur les changements.</t>
  </si>
  <si>
    <t>Les parties prenantes concernées ont-elles accès aux informations critiques sur les changements affectant le contrôle interne ?</t>
  </si>
  <si>
    <t>Politique de communication, Plateformes de communication</t>
  </si>
  <si>
    <t>Manque de transparence sur les changements affectant le contrôle interne.</t>
  </si>
  <si>
    <t xml:space="preserve"> Activités de Contrôle</t>
  </si>
  <si>
    <t xml:space="preserve">Développement des activités de contrôle sur les technologies </t>
  </si>
  <si>
    <t xml:space="preserve">S’assurer que l’organisation sélectionne des activités de contrôle 
adaptées aux risques identifiés, en prenant en compte la nature, 
l’ampleur et la criticité des risques. </t>
  </si>
  <si>
    <t>Existence d’une analyse des risques documentée et mise à jour périodiquement.</t>
  </si>
  <si>
    <t>Une analyse des risques documentée et mise à jour périodiquement existe-t-elle ?</t>
  </si>
  <si>
    <t>Plan d'analyse des risques</t>
  </si>
  <si>
    <t>Absence d'identification et d'évaluation des risques</t>
  </si>
  <si>
    <t>Alignement des activités de contrôle avec la criticité des risques identifiés.</t>
  </si>
  <si>
    <t>Les activités de contrôle sont-elles alignées avec la criticité des risques identifiés ?</t>
  </si>
  <si>
    <t>Matrice des risques et des contrôles</t>
  </si>
  <si>
    <t>Contrôles non pertinents par rapport aux risques</t>
  </si>
  <si>
    <t>Prise en compte des spécificités opérationnelles dans le choix des contrôles.</t>
  </si>
  <si>
    <t>Les spécificités opérationnelles sont-elles prises en compte dans le choix des contrôles ?</t>
  </si>
  <si>
    <t>Documentation des contrôles opérationnels</t>
  </si>
  <si>
    <t>Contrôles inadaptés au contexte opérationnel</t>
  </si>
  <si>
    <t>Validation des contrôles sélectionnés par les instances de gouvernance.</t>
  </si>
  <si>
    <t>Les contrôles sélectionnés sont-ils validés par les instances de gouvernance ?</t>
  </si>
  <si>
    <t>Procès-verbaux des instances de gouvernance</t>
  </si>
  <si>
    <t>Manque de validation et d'approbation des contrôles</t>
  </si>
  <si>
    <t>Ajustement des contrôles en fonction des nouvelles menaces et vulnérabilités.</t>
  </si>
  <si>
    <t>Les contrôles sont-ils ajustés en fonction des nouvelles menaces et vulnérabilités ?</t>
  </si>
  <si>
    <t>Politique de gestion des changements, Veille sécurité</t>
  </si>
  <si>
    <t>Obsolescence des contrôles face aux nouvelles menaces</t>
  </si>
  <si>
    <t>Vérifier que des mécanismes de suivi sont mis en place pour évaluer 
l’efficacité des activités de contrôle dans la réduction des risques à 
des niveaux acceptables.</t>
  </si>
  <si>
    <t>Mise en place d’indicateurs de performance pour mesurer l’efficacité des contrôles.</t>
  </si>
  <si>
    <t>Des indicateurs de performance sont-ils mis en place pour mesurer l’efficacité des contrôles ?</t>
  </si>
  <si>
    <t>Tableau de bord des indicateurs de performance</t>
  </si>
  <si>
    <t>Incapacité à évaluer l'efficacité des contrôles</t>
  </si>
  <si>
    <t>Réalisation d’audits internes et externes pour évaluer les contrôles.</t>
  </si>
  <si>
    <t>Des audits internes et externes sont-ils réalisés pour évaluer les contrôles ?</t>
  </si>
  <si>
    <t>Rapports d'audits internes et externes</t>
  </si>
  <si>
    <t>Manque d'évaluation indépendante de l'efficacité des contrôles</t>
  </si>
  <si>
    <t>Documentation des écarts identifiés et mise en place de mesures correctives.</t>
  </si>
  <si>
    <t>Les écarts identifiés lors des audits des contrôles sont-ils documentés et des mesures correctives mises en place ?</t>
  </si>
  <si>
    <t>Registre des anomalies et des plans d'action</t>
  </si>
  <si>
    <t>Absence de suivi et de correction des faiblesses des contrôles</t>
  </si>
  <si>
    <t>Suivi régulier des niveaux de risques après l’application des contrôles.</t>
  </si>
  <si>
    <t>Les niveaux de risques sont-ils suivis régulièrement après l’application des contrôles ?</t>
  </si>
  <si>
    <t>Rapports de suivi des risques résiduels</t>
  </si>
  <si>
    <t>Mauvaise appréciation de l'évolution des risques après contrôles</t>
  </si>
  <si>
    <t>Présentation des résultats des évaluations aux instances de décision.</t>
  </si>
  <si>
    <t>Les résultats des évaluations des contrôles sont-ils présentés aux instances de décision ?</t>
  </si>
  <si>
    <t>Rapports de synthèse des évaluations de contrôles</t>
  </si>
  <si>
    <t>Manque d'information pour la prise de décision éclairée</t>
  </si>
  <si>
    <t>S’assurer que les activités de contrôle sont intégrées dans les 
processus opérationnels de l’organisation, de manière à garantir que 
les risques sont gérés de manière continue et proactive.</t>
  </si>
  <si>
    <t>Intégration des contrôles dans les procédures et workflows opérationnels.</t>
  </si>
  <si>
    <t>Les contrôles sont-ils intégrés dans les procédures et workflows opérationnels ?</t>
  </si>
  <si>
    <t>Documentation des procédures et workflows</t>
  </si>
  <si>
    <t>Application non systématique et incohérente des contrôles</t>
  </si>
  <si>
    <t>Formation du personnel sur l’application des contrôles dans les processus métiers.</t>
  </si>
  <si>
    <t>Le personnel est-il formé à l’application des contrôles dans les processus métiers concernés ?</t>
  </si>
  <si>
    <t>Plan de formation, supports de formation, enregistrements de formation</t>
  </si>
  <si>
    <t>Mauvaise application des contrôles par manque de connaissance</t>
  </si>
  <si>
    <t>Automatisation des contrôles pour assurer leur application systématique.</t>
  </si>
  <si>
    <t>Des contrôles sont-ils automatisés pour assurer leur application systématique ?</t>
  </si>
  <si>
    <t>Liste des contrôles automatisés, règles d'automatisation</t>
  </si>
  <si>
    <t>Dépendance de l'application manuelle des contrôles et risque d'erreur</t>
  </si>
  <si>
    <t>Suivi des incidents opérationnels pour identifier les éventuelles failles de contrôle.</t>
  </si>
  <si>
    <t>Les incidents opérationnels sont-ils suivis pour identifier d'éventuelles failles dans les contrôles ?</t>
  </si>
  <si>
    <t>Registre des incidents opérationnels, analyses post-incident</t>
  </si>
  <si>
    <t>Manque d'apprentissage des incidents pour améliorer les contrôles</t>
  </si>
  <si>
    <t>Responsabilisation des équipes opérationnelles dans la mise en œuvre des contrôles.</t>
  </si>
  <si>
    <t>Les équipes opérationnelles sont-elles responsabilisées dans la mise en œuvre des contrôles ?</t>
  </si>
  <si>
    <t>Définition des rôles et responsabilités, indicateurs de responsabilisation</t>
  </si>
  <si>
    <t>Manque d'appropriation et d'engagement des équipes dans les contrôles</t>
  </si>
  <si>
    <t>Vérifier que les activités de contrôle sont adaptées à l’évolution des 
risques, avec des ajustements réguliers pour garantir qu'elles restent 
efficaces face à des risques changeants.</t>
  </si>
  <si>
    <t>Mise à jour périodique des contrôles en fonction des analyses de risques.</t>
  </si>
  <si>
    <t>Les contrôles sont-ils mis à jour périodiquement en fonction des analyses de risques ?</t>
  </si>
  <si>
    <t>Politique de mise à jour des contrôles</t>
  </si>
  <si>
    <t>Obsolescence des contrôles par rapport à l'évolution des risques</t>
  </si>
  <si>
    <t>Surveillance continue des nouvelles menaces et vulnérabilités.</t>
  </si>
  <si>
    <t>Une surveillance continue des nouvelles menaces et vulnérabilités est-elle en place ?</t>
  </si>
  <si>
    <t>Processus de veille des menaces et vulnérabilités</t>
  </si>
  <si>
    <t>Absence d'anticipation des nouvelles menaces et vulnérabilités</t>
  </si>
  <si>
    <t>Réalisation d’évaluations post-incident pour ajuster les contrôles en place.</t>
  </si>
  <si>
    <t>Des évaluations post-incident sont-elles réalisées pour ajuster les contrôles en place ?</t>
  </si>
  <si>
    <t>Procédures d'analyse post-incident</t>
  </si>
  <si>
    <t>Manque d'amélioration des contrôles suite aux incidents</t>
  </si>
  <si>
    <t>Implication des experts en gestion des risques dans la révision des contrôles.</t>
  </si>
  <si>
    <t>Les experts en gestion des risques sont-ils impliqués dans la révision des contrôles ?</t>
  </si>
  <si>
    <t>Politique de gestion des risques, liste des acteurs</t>
  </si>
  <si>
    <t>Contrôles non alignés avec l'expertise en gestion des risques</t>
  </si>
  <si>
    <t>Adaptation des contrôles aux évolutions technologiques et réglementaires.</t>
  </si>
  <si>
    <t>Les contrôles sont-ils adaptés aux évolutions technologiques et réglementaires ?</t>
  </si>
  <si>
    <t>Politique de gestion des changements, Veille réglementaire et technologique</t>
  </si>
  <si>
    <t>Inadéquation des contrôles face aux évolutions technologiques/réglementaires</t>
  </si>
  <si>
    <t xml:space="preserve">S’assurer que les responsabilités des différentes parties prenantes 
concernant les activités de contrôle sont clairement définies et que 
les ressources nécessaires sont allouées pour leur mise en œuvre. </t>
  </si>
  <si>
    <t>Attribution formelle des rôles et responsabilités en matière de contrôle.</t>
  </si>
  <si>
    <t>Les rôles et responsabilités en matière de contrôle sont-ils formellement attribués ?</t>
  </si>
  <si>
    <t>Organigramme, descriptions de poste</t>
  </si>
  <si>
    <t>Confusion et manque de clarté dans les responsabilités des contrôles</t>
  </si>
  <si>
    <t>Existence d’une documentation précisant les obligations de chaque acteur.</t>
  </si>
  <si>
    <t>Une documentation précisant les obligations de chaque acteur en matière de contrôle existe-t-elle ?</t>
  </si>
  <si>
    <t>Manuels de procédures, chartes</t>
  </si>
  <si>
    <t>Manque de compréhension des obligations en matière de contrôle</t>
  </si>
  <si>
    <t>Allocation de budgets et de ressources pour la mise en œuvre des contrôles.</t>
  </si>
  <si>
    <t>Des budgets et des ressources sont-ils alloués pour la mise en œuvre des contrôles ?</t>
  </si>
  <si>
    <t>Plan budgétaire, allocation des ressources</t>
  </si>
  <si>
    <t>Mise en œuvre des contrôles compromise par un manque de ressources</t>
  </si>
  <si>
    <t>Suivi des actions des parties prenantes pour assurer leur implication effective.</t>
  </si>
  <si>
    <t>Les actions des parties prenantes sont-elles suivies pour assurer leur implication effective dans le contrôle ?</t>
  </si>
  <si>
    <t>Indicateurs de suivi de l'implication des parties prenantes</t>
  </si>
  <si>
    <t>Implication insuffisante des parties prenantes dans les contrôles</t>
  </si>
  <si>
    <t>Mise en place de formations pour renforcer les compétences en gestion des contrôles.</t>
  </si>
  <si>
    <t>Des formations sont-elles mises en place pour renforcer les compétences en gestion des contrôles ?</t>
  </si>
  <si>
    <t>Compétences insuffisantes pour la gestion efficace des contrôles</t>
  </si>
  <si>
    <t xml:space="preserve">Vérifier que les résultats des activités de contrôle sont documentés 
et partagés avec la direction, permettant une évaluation régulière et 
un ajustement des stratégies de gestion des risques. </t>
  </si>
  <si>
    <t>Existence de rapports réguliers sur l’état des contrôles et leur efficacité.</t>
  </si>
  <si>
    <t>Des rapports réguliers sur l’état des contrôles et leur efficacité existent-ils ?</t>
  </si>
  <si>
    <t>Rapports de suivi des contrôles</t>
  </si>
  <si>
    <t>Manque de visibilité sur l'état et l'efficacité des contrôles</t>
  </si>
  <si>
    <t>Communication des résultats des contrôles aux instances décisionnelles.</t>
  </si>
  <si>
    <t>Les résultats de l'évaluation des contrôles sont-ils communiqués aux instances décisionnelles ?</t>
  </si>
  <si>
    <t>Rapports d'évaluation des contrôles</t>
  </si>
  <si>
    <t>Prise de décision non informée sur l'efficacité des contrôles</t>
  </si>
  <si>
    <t>Prise en compte des recommandations issues des évaluations de contrôle.</t>
  </si>
  <si>
    <t>Les recommandations issues des évaluations de contrôle sont-elles prises en compte ?</t>
  </si>
  <si>
    <t>Registre des recommandations, plans d'action</t>
  </si>
  <si>
    <t>Non-amélioration des contrôles malgré les évaluations</t>
  </si>
  <si>
    <t>Conservation des documents d’audit pour assurer la traçabilité des actions.</t>
  </si>
  <si>
    <t>Les documents d’audit sont-ils conservés pour assurer la traçabilité des actions liées au contrôle ?</t>
  </si>
  <si>
    <t>Politique de conservation des documents, archives d'audit</t>
  </si>
  <si>
    <t>Manque de traçabilité des actions liées au contrôle</t>
  </si>
  <si>
    <t>Mise en place d’un processus de retour d’information pour améliorer les contrôles.</t>
  </si>
  <si>
    <t>Un processus de retour d’information est-il en place pour améliorer les contrôles ?</t>
  </si>
  <si>
    <t>Procédure de retour d'information</t>
  </si>
  <si>
    <t>Opportunités d'amélioration des contrôles non exploitées</t>
  </si>
  <si>
    <t xml:space="preserve">Mise en œuvre des politiques et procédures </t>
  </si>
  <si>
    <t>S’assurer que l’organisation sélectionne des contrôles généraux 
informatiques appropriés pour protéger les systèmes d'information 
contre les menaces internes et externes.</t>
  </si>
  <si>
    <t>Identification et classification des menaces internes et externes affectant les systèmes d'information.</t>
  </si>
  <si>
    <t>Les menaces internes et externes affectant les systèmes d'information sont-elles identifiées et classifiées ?</t>
  </si>
  <si>
    <t>Analyse des risques SI, cartographie des menaces</t>
  </si>
  <si>
    <t>Mauvaise identification et classification des menaces SI</t>
  </si>
  <si>
    <t>Existence d’un cadre de contrôle aligné sur les meilleures pratiques de cybersécurité.</t>
  </si>
  <si>
    <t>Un cadre de contrôle aligné sur les meilleures pratiques de cybersécurité est-il en place ?</t>
  </si>
  <si>
    <t>Politique de sécurité SI, référentiels de sécurité</t>
  </si>
  <si>
    <t>Cadre de contrôle SI non aligné sur les meilleures pratiques</t>
  </si>
  <si>
    <t>Mise en place de mesures de protection adaptées aux risques identifiés.</t>
  </si>
  <si>
    <t>Des mesures de protection adaptées aux risques identifiés pour les systèmes d'information sont-elles mises en place ?</t>
  </si>
  <si>
    <t>Architecture de sécurité, documentation des mesures de sécurité</t>
  </si>
  <si>
    <t>Mesures de protection SI inadaptées aux risques</t>
  </si>
  <si>
    <t>Existence de plans de réponse aux incidents en cas de compromission.</t>
  </si>
  <si>
    <t>Des plans de réponse aux incidents de sécurité sont-ils en place en cas de compromission des systèmes d'information ?</t>
  </si>
  <si>
    <t>Plans de réponse aux incidents de sécurité</t>
  </si>
  <si>
    <t>Gestion inefficace des incidents de sécurité SI</t>
  </si>
  <si>
    <t>Validation des contrôles sélectionnés par la direction et les experts en sécurité.</t>
  </si>
  <si>
    <t>Les contrôles de sécurité des systèmes d'information sont-ils validés par la direction et les experts en sécurité ?</t>
  </si>
  <si>
    <t>Procès-verbaux de validation, rapports d'expertise</t>
  </si>
  <si>
    <t>Manque de validation des contrôles de sécurité SI</t>
  </si>
  <si>
    <t>Vérifier que les contrôles généraux informatiques sont conçus pour 
être efficaces à tous les niveaux de l’infrastructure informatique, 
incluant les réseaux, les bases de données, les applications et les 
dispositifs matériels.</t>
  </si>
  <si>
    <t>Présence de contrôles de sécurité à chaque niveau de l’architecture informatique.</t>
  </si>
  <si>
    <t>Des contrôles de sécurité sont-ils présents à chaque niveau de l’architecture informatique ?</t>
  </si>
  <si>
    <t>Architecture de sécurité, documentation des contrôles par niveau</t>
  </si>
  <si>
    <t>Couverture incomplète des contrôles de sécurité dans l'architecture SI</t>
  </si>
  <si>
    <t>Intégration des contrôles dans les politiques de gestion des accès et des identités.</t>
  </si>
  <si>
    <t>Les contrôles de sécurité sont-ils intégrés dans les politiques de gestion des accès et des identités ?</t>
  </si>
  <si>
    <t>Politiques de gestion des accès et des identités</t>
  </si>
  <si>
    <t>Contrôles de sécurité non intégrés à la gestion des accès/identités</t>
  </si>
  <si>
    <t>Existence de mécanismes de surveillance pour détecter les vulnérabilités.</t>
  </si>
  <si>
    <t>Des mécanismes de surveillance sont-ils en place pour détecter les vulnérabilités dans les systèmes d'information ?</t>
  </si>
  <si>
    <t>Outils de surveillance des vulnérabilités, procédures de gestion des vulnérabilités</t>
  </si>
  <si>
    <t>Détection tardive des vulnérabilités SI</t>
  </si>
  <si>
    <t>Tests réguliers pour vérifier l’efficacité des contrôles sur l’ensemble des infrastructures.</t>
  </si>
  <si>
    <t>Des tests réguliers sont-ils effectués pour vérifier l’efficacité des contrôles de sécurité sur l’ensemble des infrastructures informatiques ?</t>
  </si>
  <si>
    <t>Plans de tests de sécurité, rapports de tests d'intrusion, audits de sécurité</t>
  </si>
  <si>
    <t>Efficacité non prouvée des contrôles de sécurité SI</t>
  </si>
  <si>
    <t>Documentation détaillée des contrôles mis en place sur chaque composant du SI.</t>
  </si>
  <si>
    <t>Une documentation détaillée des contrôles mis en place sur chaque composant des systèmes d'information existe-t-elle ?</t>
  </si>
  <si>
    <t>Documentation technique des systèmes, inventaire des contrôles SI</t>
  </si>
  <si>
    <t>Manque de visibilité sur les contrôles de sécurité SI mis en place</t>
  </si>
  <si>
    <t>S’assurer que des règles de contrôle claires et bien définies sont 
mises en place pour chaque domaine critique, et qu’elles couvrent 
toutes les activités pertinentes pour assurer la conformité et la 
gestion des risques.</t>
  </si>
  <si>
    <t>Définition explicite des règles de contrôle applicables à chaque domaine critique.</t>
  </si>
  <si>
    <t>Des règles de contrôle applicables à chaque domaine critique des systèmes d'information sont-elles explicitement définies ?</t>
  </si>
  <si>
    <t>Politiques de sécurité SI, normes et standards internes</t>
  </si>
  <si>
    <t>Manque de clarté et d'exhaustivité des règles de contrôle SI</t>
  </si>
  <si>
    <t>Alignement des règles de contrôle avec les réglementations en vigueur.</t>
  </si>
  <si>
    <t>Les règles de contrôle des systèmes d'information sont-elles alignées avec les réglementations en vigueur ?</t>
  </si>
  <si>
    <t>Analyse de conformité réglementaire, cartographie des obligations légales</t>
  </si>
  <si>
    <t>Non-conformité réglementaire des contrôles SI</t>
  </si>
  <si>
    <t>Mise en place de mécanismes de contrôle pour assurer l’application des règles.</t>
  </si>
  <si>
    <t>Des mécanismes de contrôle sont-ils mis en place pour assurer l’application des règles de sécurité des systèmes d'information ?</t>
  </si>
  <si>
    <t>Outils de gestion de la conformité, mécanismes d'application des politiques</t>
  </si>
  <si>
    <t>Non-respect des règles de sécurité SI</t>
  </si>
  <si>
    <t>Documentation des règles de contrôle et des responsabilités associées.</t>
  </si>
  <si>
    <t>Les règles de contrôle des systèmes d'information et les responsabilités associées sont-elles documentées ?</t>
  </si>
  <si>
    <t>Politiques de sécurité SI, descriptions de rôles et responsabilités</t>
  </si>
  <si>
    <t>Confusion sur les responsabilités d'application des règles de contrôle SI</t>
  </si>
  <si>
    <t>Vérification de l’adéquation des règles avec les objectifs de sécurité et de conformité.</t>
  </si>
  <si>
    <t>L’adéquation des règles de contrôle des systèmes d'information avec les objectifs de sécurité et de conformité est-elle vérifiée ?</t>
  </si>
  <si>
    <t>Rapports d'évaluation de la conformité, audits de sécurité</t>
  </si>
  <si>
    <t>Règles de contrôle SI potentiellement inefficaces ou non pertinentes</t>
  </si>
  <si>
    <t xml:space="preserve">Vérifier que des procédures détaillées sont établies pour mettre en 
œuvre les règles de contrôle, avec des instructions précises sur la 
manière de suivre et de maintenir ces règles dans les opérations 
quotidiennes. </t>
  </si>
  <si>
    <t>Formalisation des procédures de mise en œuvre des règles de contrôle.</t>
  </si>
  <si>
    <t>Les procédures de mise en œuvre des règles de contrôle des systèmes d'information sont-elles formalisées ?</t>
  </si>
  <si>
    <t>Manuels de procédures de sécurité SI</t>
  </si>
  <si>
    <t>Application non standardisée et potentiellement erronée des règles SI</t>
  </si>
  <si>
    <t>Intégration des instructions dans les politiques et guides de sécurité.</t>
  </si>
  <si>
    <t>Les instructions relatives aux règles de contrôle des systèmes d'information sont-elles intégrées dans les politiques et guides de sécurité ?</t>
  </si>
  <si>
    <t>Politiques de sécurité SI, guides de bonnes pratiques</t>
  </si>
  <si>
    <t>Manque de sensibilisation et de guidance sur les règles de contrôle SI</t>
  </si>
  <si>
    <t>Mise en place de formations pour sensibiliser les utilisateurs aux règles de contrôle.</t>
  </si>
  <si>
    <t>Des formations sont-elles mises en place pour sensibiliser les utilisateurs aux règles de contrôle des systèmes d'information ?</t>
  </si>
  <si>
    <t>Plan de formation à la sécurité SI, supports de formation</t>
  </si>
  <si>
    <t>Non-respect des règles de contrôle SI par manque de sensibilisation</t>
  </si>
  <si>
    <t>Surveillance de l’application des procédures et identification des écarts.</t>
  </si>
  <si>
    <t>L’application des procédures de contrôle des systèmes d'information est-elle surveillée et les écarts identifiés ?</t>
  </si>
  <si>
    <t>Outils de surveillance, rapports de conformité</t>
  </si>
  <si>
    <t>Non-détection des non-conformités aux procédures de contrôle SI</t>
  </si>
  <si>
    <t>Mise à jour des procédures en fonction des évolutions des règles de contrôle.</t>
  </si>
  <si>
    <t>Les procédures de contrôle des systèmes d'information sont-elles mises à jour en fonction des évolutions des règles de contrôle ?</t>
  </si>
  <si>
    <t>Politique de mise à jour des procédures</t>
  </si>
  <si>
    <t>Procédures de contrôle SI obsolètes par rapport aux règles</t>
  </si>
  <si>
    <t xml:space="preserve">S’assurer que les règles et procédures sont régulièrement révisées et 
mises à jour pour refléter les changements dans l’environnement 
interne et externe, les évolutions réglementaires ou les améliorations 
des meilleures pratiques. </t>
  </si>
  <si>
    <t>Planification des révisions périodiques des règles et procédures de contrôle.</t>
  </si>
  <si>
    <t>Des révisions périodiques des règles et procédures de contrôle des systèmes d'information sont-elles planifiées ?</t>
  </si>
  <si>
    <t>Calendrier des revues, politique de révision</t>
  </si>
  <si>
    <t>Règles et procédures de contrôle SI potentiellement dépassées</t>
  </si>
  <si>
    <t>Suivi des évolutions réglementaires et technologiques impactant les contrôles.</t>
  </si>
  <si>
    <t>Les évolutions réglementaires et technologiques impactant les contrôles des systèmes d'information sont-elles suivies ?</t>
  </si>
  <si>
    <t>Veille réglementaire et technologique</t>
  </si>
  <si>
    <t>Non-adaptation des contrôles SI aux évolutions externes</t>
  </si>
  <si>
    <t>Consultation des parties prenantes lors des mises à jour des procédures.</t>
  </si>
  <si>
    <t>Les parties prenantes sont-elles consultées lors des mises à jour des procédures de contrôle des systèmes d'information ?</t>
  </si>
  <si>
    <t>Plan de communication, processus de consultation</t>
  </si>
  <si>
    <t>Adhésion limitée des parties prenantes aux nouvelles procédures SI</t>
  </si>
  <si>
    <t>Documentation des modifications apportées et communication aux équipes concernées.</t>
  </si>
  <si>
    <t>Les modifications apportées aux procédures de contrôle des systèmes d'information sont-elles documentées et communiquées aux équipes concernées ?</t>
  </si>
  <si>
    <t>Journal des modifications, plan de communication</t>
  </si>
  <si>
    <t>Manque de traçabilité et de communication des changements de procédures SI</t>
  </si>
  <si>
    <t>Intégration des retours d’expérience dans l’amélioration continue des procédures.</t>
  </si>
  <si>
    <t>Les retours d’expérience sont-ils intégrés dans l’amélioration continue des procédures de contrôle des systèmes d'information ?</t>
  </si>
  <si>
    <t>Processus d'amélioration continue, analyse des retours d'expérience</t>
  </si>
  <si>
    <t>Opportunités d'amélioration des procédures de contrôle SI non exploitées</t>
  </si>
  <si>
    <t xml:space="preserve"> Information et Communication</t>
  </si>
  <si>
    <t xml:space="preserve">Utilisation d’informations de qualité </t>
  </si>
  <si>
    <t xml:space="preserve">S’assurer que des mécanismes de suivi sont en place pour garantir 
le respect des règles et procédures de contrôle, avec des rapports 
réguliers sur leur mise en œuvre et des audits pour vérifier leur 
efficacité. </t>
  </si>
  <si>
    <t>Taux de précision des informations validées via les processus formels.</t>
  </si>
  <si>
    <t>Un taux de précision est-il défini et mesuré pour les informations validées via les processus formels ?</t>
  </si>
  <si>
    <t>Politique de validation des données, rapports de suivi de la qualité des données</t>
  </si>
  <si>
    <t>Fiabilité incertaine des informations validées</t>
  </si>
  <si>
    <t>Exhaustivité des validations réalisées pour couvrir toutes les données critiques</t>
  </si>
  <si>
    <t>Les validations réalisées couvrent-elles toutes les données critiques des systèmes d'information ?</t>
  </si>
  <si>
    <t>Inventaire des données critiques, matrice de couverture des validations</t>
  </si>
  <si>
    <t>Données critiques non validées, risque d'erreurs importantes</t>
  </si>
  <si>
    <t>Fréquence des mises à jour des processus de validation en fonction des nouvelles exigences</t>
  </si>
  <si>
    <t>La fréquence des mises à jour des processus de validation est-elle adaptée en fonction des nouvelles exigences réglementaires ou opérationnelles ?</t>
  </si>
  <si>
    <t>Politique de mise à jour des processus, documentation des exigences</t>
  </si>
  <si>
    <t>Processus de validation obsolètes face aux nouvelles exigences</t>
  </si>
  <si>
    <t>Temps moyen requis pour valider les informations critiques.</t>
  </si>
  <si>
    <t>Un temps moyen requis pour valider les informations critiques des systèmes d'information est-il défini et suivi ?</t>
  </si>
  <si>
    <t>Indicateurs de performance des processus de validation, rapports de suivi des délais</t>
  </si>
  <si>
    <t>Inefficacité et retards dans la validation des informations critiques</t>
  </si>
  <si>
    <t>Documentation des résultats de validation pour une traçabilité complète.</t>
  </si>
  <si>
    <t>Les résultats des validations des informations des systèmes d'information sont-ils documentés pour assurer une traçabilité complète ?</t>
  </si>
  <si>
    <t>Registres de validation, journaux d'audit</t>
  </si>
  <si>
    <t>Manque de traçabilité des validations, difficulté à identifier les erreurs et les responsabilités</t>
  </si>
  <si>
    <t xml:space="preserve">Vérifier que des actions correctives sont prises lorsque des écarts 
sont identifiés dans l’application des règles et procédures de 
contrôle, avec des processus de mise à jour ou de renforcement des 
contrôles si nécessaire. </t>
  </si>
  <si>
    <t>Fréquence des mises à jour des informations relatives aux risques et contrôles internes.</t>
  </si>
  <si>
    <t>Les informations relatives aux risques et contrôles internes des systèmes d'information sont-elles mises à jour à une fréquence appropriée ?</t>
  </si>
  <si>
    <t>Politique de mise à jour des informations sur les risques et contrôles, calendriers de mise à jour</t>
  </si>
  <si>
    <t>Informations sur les risques et contrôles obsolètes, mauvaise évaluation de la situation actuelle</t>
  </si>
  <si>
    <t>Pertinence des informations partagées auprès des parties prenantes.</t>
  </si>
  <si>
    <t>Les informations relatives aux risques et contrôles des systèmes d'information partagées auprès des parties prenantes sont-elles pertinentes pour leurs rôles et responsabilités ?</t>
  </si>
  <si>
    <t>Plan de communication, matrice des parties prenantes et des besoins d'information</t>
  </si>
  <si>
    <t>Informations non adaptées aux besoins des parties prenantes, mauvaise compréhension des risques et contrôles</t>
  </si>
  <si>
    <t>Nombre de retours positifs des parties prenantes sur la qualité des informations mises à jour</t>
  </si>
  <si>
    <t>Le nombre de retours positifs des parties prenantes sur la qualité des informations mises à jour concernant les systèmes d'information est-il suivi ?</t>
  </si>
  <si>
    <t>Enquêtes de satisfaction, registre des feedbacks</t>
  </si>
  <si>
    <t>Manque de mesure de la satisfaction des parties prenantes, potentielle mauvaise qualité des informations</t>
  </si>
  <si>
    <t>Taux de conformité des informations mises à jour avec les exigences réglementaires.</t>
  </si>
  <si>
    <t>Les informations mises à jour concernant les systèmes d'information sont-elles conformes aux exigences réglementaires applicables ?</t>
  </si>
  <si>
    <t>Non-conformité réglementaire des informations</t>
  </si>
  <si>
    <t>Impact des mises à jour sur l’amélioration de la gestion des risques et des contrôles internes.</t>
  </si>
  <si>
    <t>L'impact des mises à jour d'informations sur l'amélioration de la gestion des risques et des contrôles internes des systèmes d'information est-il évalué ?</t>
  </si>
  <si>
    <t>Rapports d'évaluation de l'impact, indicateurs clés de performance de la gestion des risques et contrôles</t>
  </si>
  <si>
    <t>Incapacité à mesurer l'efficacité des mises à jour d'informations</t>
  </si>
  <si>
    <t xml:space="preserve">S’assurer que des formations régulières sont proposées aux 
collaborateurs pour garantir leur compréhension et leur capacité à 
mettre en œuvre correctement les règles et procédures de contrôle. </t>
  </si>
  <si>
    <t>Fréquence de communication des informations essentielles à toutes les parties concernées.</t>
  </si>
  <si>
    <t>La fréquence de communication des informations essentielles relatives aux systèmes d'information est-elle adaptée à toutes les parties concernées ?</t>
  </si>
  <si>
    <t>Plan de communication, matrice des parties prenantes et des fréquences de communication</t>
  </si>
  <si>
    <t>Communication inefficace par une fréquence inadaptée</t>
  </si>
  <si>
    <t>Clarté et pertinence des informations communiquées selon le public cible.</t>
  </si>
  <si>
    <t>La clarté et la pertinence des informations communiquées sur les systèmes d'information sont-elles adaptées au public cible ?</t>
  </si>
  <si>
    <t>Guides de communication, exemples de communications</t>
  </si>
  <si>
    <t>Informations incomprises ou non pertinentes pour le public cible</t>
  </si>
  <si>
    <t>Satisfaction des parties prenantes sur la transparence des communications</t>
  </si>
  <si>
    <t>La satisfaction des parties prenantes sur la transparence des communications relatives aux systèmes d'information est-elle mesurée ?</t>
  </si>
  <si>
    <t>Manque de mesure de la satisfaction sur la transparence des communications</t>
  </si>
  <si>
    <t>Existence de mécanismes pour recueillir les retours d’information sur les communications.</t>
  </si>
  <si>
    <t>Des mécanismes sont-ils en place pour recueillir les retours d’information sur les communications relatives aux systèmes d'information ?</t>
  </si>
  <si>
    <t>Processus de feedback, outils de collecte de retours</t>
  </si>
  <si>
    <t>Manque d'opportunités d'amélioration des communications</t>
  </si>
  <si>
    <t>Niveau de cohérence des informations communiquées entre les différents niveaux de l’organisation.</t>
  </si>
  <si>
    <t>Le niveau de cohérence des informations communiquées sur les systèmes d'information est-il assuré entre les différents niveaux de l’organisation ?</t>
  </si>
  <si>
    <t>Politiques de communication, processus de validation des informations</t>
  </si>
  <si>
    <t>Informations contradictoires entre les niveaux de l'organisation, confusion et mauvaise prise de décision</t>
  </si>
  <si>
    <t>S’assurer que des mécanismes sont en place pour collecter des 
informations fiables et pertinentes sur les activités de l’organisation, 
en particulier celles liées au contrôle interne.</t>
  </si>
  <si>
    <t>Taux de personnalisation des informations partagées selon les rôles et responsabilités.</t>
  </si>
  <si>
    <t>Le taux de personnalisation des informations partagées est-il adapté aux rôles et responsabilités des destinataires ?</t>
  </si>
  <si>
    <t>Plan de communication, segmentation des audiences</t>
  </si>
  <si>
    <t>Informations non pertinentes pour certains destinataires</t>
  </si>
  <si>
    <t>Fréquence des vérifications pour s’assurer de la pertinence des informations fournies.</t>
  </si>
  <si>
    <t>Des vérifications sont-elles effectuées à une fréquence appropriée pour s'assurer de la pertinence des informations fournies ?</t>
  </si>
  <si>
    <t>Processus de revue de la pertinence des informations, calendriers de vérification</t>
  </si>
  <si>
    <t>Informations non pertinentes ou obsolètes fournies</t>
  </si>
  <si>
    <t>Respect des délais pour partager les informations aux parties concernées</t>
  </si>
  <si>
    <t>Les délais pour partager les informations avec les parties concernées sont-ils respectés ?</t>
  </si>
  <si>
    <t>Indicateurs de performance des communications, rapports de suivi des délais</t>
  </si>
  <si>
    <t>Communication tardive, impact sur la prise de décision et les actions</t>
  </si>
  <si>
    <t>Mesure de la compréhension et de l’utilité des informations reçues par chaque groupe cible</t>
  </si>
  <si>
    <t>La compréhension et l'utilité des informations reçues sont-elles mesurées pour chaque groupe cible ?</t>
  </si>
  <si>
    <t>Enquêtes de satisfaction, sondages, analyses de l'utilisation des informations</t>
  </si>
  <si>
    <t>Informations non comprises ou inutiles, gaspillage de ressources</t>
  </si>
  <si>
    <t>Adaptation des processus de partage pour intégrer les évolutions des rôles et responsabilités</t>
  </si>
  <si>
    <t>Les processus de partage des informations sont-ils adaptés pour intégrer les évolutions des rôles et responsabilités ?</t>
  </si>
  <si>
    <t>Politique de gestion des changements, revue des processus de communication</t>
  </si>
  <si>
    <t>Processus de partage inadaptés aux nouvelles structures et responsabilités</t>
  </si>
  <si>
    <t xml:space="preserve">Vérifier que les informations générées sont complètes, précises et à 
jour, de manière à refléter fidèlement la situation de l’organisation et 
ses performances en matière de contrôle interne. </t>
  </si>
  <si>
    <t>Complétude des indicateurs clés de performance dans les rapports de contrôle interne.</t>
  </si>
  <si>
    <t>Les rapports de contrôle interne contiennent-ils tous les indicateurs clés de performance pertinents et complets ?</t>
  </si>
  <si>
    <t>Modèles de rapports de contrôle interne, cartographie des indicateurs clés de performance</t>
  </si>
  <si>
    <t>Manque d'informations essentielles pour le suivi et la prise de décision</t>
  </si>
  <si>
    <t>Existence et application de procédures de validation de l'exactitude et de l'exhaustivité des données sources.</t>
  </si>
  <si>
    <t>Des procédures de validation de l'exactitude et de l'exhaustivité des données sources existent-elles et sont-elles appliquées ?</t>
  </si>
  <si>
    <t>Politiques de validation des données, documentation des procédures de validation</t>
  </si>
  <si>
    <t>Données sources inexactes ou incomplètes, fiabilité des rapports compromise</t>
  </si>
  <si>
    <t>Adéquation de la fréquence de génération des rapports aux besoins de suivi et de décision.</t>
  </si>
  <si>
    <t>La fréquence de génération des rapports de contrôle interne est-elle adéquate pour répondre aux besoins de suivi et de décision ?</t>
  </si>
  <si>
    <t>Plan de génération des rapports, analyse des besoins des utilisateurs</t>
  </si>
  <si>
    <t>Rapports non disponibles en temps utile pour le suivi et la prise de décision</t>
  </si>
  <si>
    <t>Actualisation des rapports en temps réel ou à intervalles réguliers pour refléter la situation actuelle.</t>
  </si>
  <si>
    <t>Les rapports de contrôle interne sont-ils actualisés en temps réel ou à intervalles réguliers pour refléter la situation actuelle ?</t>
  </si>
  <si>
    <t>Processus de génération des rapports, systèmes d'information</t>
  </si>
  <si>
    <t>Rapports obsolètes, ne reflétant pas la situation actuelle</t>
  </si>
  <si>
    <t>Clarté et concision de la présentation des informations, facilitant l'interprétation de la performance du contrôle interne.</t>
  </si>
  <si>
    <t>La présentation des informations dans les rapports de contrôle interne est-elle claire et concise, facilitant l'interprétation de la performance ?</t>
  </si>
  <si>
    <t>Modèles de rapports, guides de présentation des données</t>
  </si>
  <si>
    <t>Rapports difficiles à comprendre et à interpréter, mauvaise prise de décision</t>
  </si>
  <si>
    <t>Communication interne</t>
  </si>
  <si>
    <t xml:space="preserve">Vérifier que des processus formels de validation des informations 
sont mis en place pour garantir leur exactitude, leur fiabilité et leur 
cohérence avant leur utilisation dans les autres composantes du 
contrôle interne. </t>
  </si>
  <si>
    <t>Fréquence des mécanismes de feedback activés par les parties prenantes internes</t>
  </si>
  <si>
    <t>Les mécanismes de feedback sont-ils activés à une fréquence appropriée par les parties prenantes internes concernant le contrôle interne ?</t>
  </si>
  <si>
    <t>Processus de feedback, calendriers de sollicitation de feedback</t>
  </si>
  <si>
    <t>Manque d'opportunités d'amélioration du contrôle interne</t>
  </si>
  <si>
    <t>Taux de satisfaction des utilisateurs vis-à-vis des réponses apportées lors des feedbacks</t>
  </si>
  <si>
    <t>Le taux de satisfaction des utilisateurs vis-à-vis des réponses apportées lors des feedbacks relatifs au contrôle interne est-il mesuré ?</t>
  </si>
  <si>
    <t>Insatisfaction des utilisateurs face aux réponses, potentielle inefficacité du processus de feedback</t>
  </si>
  <si>
    <t>Rapidité de clarification des informations suite aux demandes des parties prenantes</t>
  </si>
  <si>
    <t>La clarification des informations suite aux demandes des parties prenantes internes concernant le contrôle interne est-elle rapide ?</t>
  </si>
  <si>
    <t>Procédures de gestion des demandes d'information, indicateurs de temps de réponse</t>
  </si>
  <si>
    <t>Réponses tardives, frustration des utilisateurs</t>
  </si>
  <si>
    <t>Exhaustivité des réponses fournies pour résoudre les points de confusion</t>
  </si>
  <si>
    <t>Les réponses fournies pour résoudre les points de confusion relatifs au contrôle interne sont-elles exhaustives ?</t>
  </si>
  <si>
    <t>Procédures de gestion des demandes d'information, guides de réponse</t>
  </si>
  <si>
    <t>Réponses incomplètes, persistance des incompréhensions</t>
  </si>
  <si>
    <t>Amélioration mesurable de la communication interne après les sessions de feedback</t>
  </si>
  <si>
    <t>Une amélioration mesurable de la communication interne relative au contrôle interne est-elle constatée après les sessions de feedback ?</t>
  </si>
  <si>
    <t>Indicateurs de performance de la communication interne, analyses post-feedback</t>
  </si>
  <si>
    <t>Efficacité non prouvée des sessions de feedback</t>
  </si>
  <si>
    <t xml:space="preserve">S’assurer que les informations relatives aux risques et aux contrôles 
internes sont régulièrement mises à jour et partagées avec les 
parties prenantes pertinentes, y compris la direction et le Conseil. </t>
  </si>
  <si>
    <t>Taux d’utilisation des outils de communication par les parties prenantes.</t>
  </si>
  <si>
    <t>Le taux d’utilisation des outils de communication internes par les parties prenantes concernées par le contrôle interne est-il satisfaisant ?</t>
  </si>
  <si>
    <t>Statistiques d'utilisation des outils, enquêtes</t>
  </si>
  <si>
    <t>Sous-utilisation des outils, communication potentiellement inefficace</t>
  </si>
  <si>
    <t>Efficacité des outils pour transmettre les informations pertinentes en temps utile</t>
  </si>
  <si>
    <t>Les outils de communication internes sont-ils efficaces pour transmettre les informations pertinentes relatives au contrôle interne en temps utile ?</t>
  </si>
  <si>
    <t>Évaluations de l'efficacité des outils, enquêtes auprès des utilisateurs</t>
  </si>
  <si>
    <t>Outils inefficaces, communication retardée ou perdue</t>
  </si>
  <si>
    <t>Nombre de problèmes résolus grâce aux échanges via ces outils</t>
  </si>
  <si>
    <t>Un nombre significatif de problèmes liés au contrôle interne est-il résolu grâce aux échanges via les outils de communication internes ?</t>
  </si>
  <si>
    <t>Registre des problèmes, analyse des solutions apportées via les outils</t>
  </si>
  <si>
    <t>Efficacité limitée des outils pour résoudre les problèmes de contrôle interne</t>
  </si>
  <si>
    <t>Accessibilité des outils de communication pour tous les collaborateurs concernés</t>
  </si>
  <si>
    <t>Les outils de communication internes sont-ils accessibles à tous les collaborateurs concernés par le contrôle interne ?</t>
  </si>
  <si>
    <t>Analyse des accès, enquêtes</t>
  </si>
  <si>
    <t>Accès limité aux outils pour certains collaborateurs</t>
  </si>
  <si>
    <t>Mise à jour régulière des outils pour intégrer les nouvelles technologies ou besoins</t>
  </si>
  <si>
    <t>Les outils de communication internes sont-ils mis à jour régulièrement pour intégrer les nouvelles technologies ou les besoins des utilisateurs en matière de contrôle interne ?</t>
  </si>
  <si>
    <t>Politique de mise à jour des outils, processus de recueil des besoins utilisateurs</t>
  </si>
  <si>
    <t>Outils obsolètes ou ne répondant pas aux besoins des utilisateurs</t>
  </si>
  <si>
    <t>Vérifier que des outils de gestion de l'information et des technologies 
appropriées sont utilisés pour faciliter la collecte, l'analyse et la 
distribution des informations pertinentes relatives au contrôle 
interne.</t>
  </si>
  <si>
    <t>Fréquence et qualité des audits réalisés sur les processus de communication interne</t>
  </si>
  <si>
    <t>Des audits sont-ils réalisés à une fréquence appropriée et avec une qualité suffisante sur les processus de communication interne relatifs au contrôle interne ?</t>
  </si>
  <si>
    <t>Plan d'audit, rapports d'audit de la communication interne</t>
  </si>
  <si>
    <t>Manque d'assurance sur l'efficacité des processus de communication interne</t>
  </si>
  <si>
    <t>Taux de recommandations issues des audits mises en œuvre</t>
  </si>
  <si>
    <t>Le taux de recommandations issues des audits de communication interne relatives au contrôle interne qui sont mises en œuvre est-il satisfaisant ?</t>
  </si>
  <si>
    <t>Non-amélioration des processus de communication interne malgré les audits</t>
  </si>
  <si>
    <t>Niveau de satisfaction des collaborateurs concernant la communication interne</t>
  </si>
  <si>
    <t>Le niveau de satisfaction des collaborateurs concernant la communication interne relative au contrôle interne est-il mesuré ?</t>
  </si>
  <si>
    <t>Enquêtes de satisfaction, sondages</t>
  </si>
  <si>
    <t>Manque de mesure de la satisfaction des collaborateurs</t>
  </si>
  <si>
    <t>Cohérence des informations analysées dans les rapports d’audit</t>
  </si>
  <si>
    <t>Les informations analysées dans les rapports d’audit de communication interne sont-elles cohérentes avec les autres données relatives au contrôle interne ?</t>
  </si>
  <si>
    <t>Comparaison des rapports d'audit avec d'autres données de contrôle interne</t>
  </si>
  <si>
    <t>Incohérences dans les informations, vision biaisée du contrôle interne</t>
  </si>
  <si>
    <t>Réduction des problèmes de communication identifiés après suivi</t>
  </si>
  <si>
    <t>Une réduction des problèmes de communication identifiés lors des audits est-elle constatée après la mise en œuvre des actions de suivi relatives au contrôle interne ?</t>
  </si>
  <si>
    <t>Suivi des problèmes identifiés lors des audits, analyses post-implémentation des actions</t>
  </si>
  <si>
    <t>Efficacité non prouvée des actions de suivi</t>
  </si>
  <si>
    <t>S’assurer que l’organisation a mis en place des processus formels 
pour communiquer de manière régulière et transparente les 
informations nécessaires au fonctionnement du contrôle interne à 
tous les niveaux de l’organisation.</t>
  </si>
  <si>
    <t>Existence de processus formels documentés pour communiquer avec les tiers</t>
  </si>
  <si>
    <t>Des processus formels documentés pour communiquer avec les tiers concernant le contrôle interne existent-ils ?</t>
  </si>
  <si>
    <t>Politiques de communication externe, procédures de communication avec les tiers</t>
  </si>
  <si>
    <t>Communication informelle et potentiellement non contrôlée avec les tiers</t>
  </si>
  <si>
    <t>Pertinence des informations communiquées aux tiers pour répondre à leurs besoins</t>
  </si>
  <si>
    <t>Les informations communiquées aux tiers concernant le contrôle interne sont-elles pertinentes pour répondre à leurs besoins ?</t>
  </si>
  <si>
    <t>Plan de communication externe, matrice des tiers et des besoins d'information</t>
  </si>
  <si>
    <t>Informations non adaptées aux besoins des tiers, communication inefficace</t>
  </si>
  <si>
    <t>Fréquence et régularité des communications avec les tiers</t>
  </si>
  <si>
    <t>La fréquence et la régularité des communications avec les tiers concernant le contrôle interne sont-elles définies et respectées ?</t>
  </si>
  <si>
    <t>Plan de communication externe, calendriers de communication</t>
  </si>
  <si>
    <t>Communication irrégulière ou trop fréquente, impact sur la relation avec les tiers</t>
  </si>
  <si>
    <t>Respect des réglementations et des normes dans les processus de communication externe</t>
  </si>
  <si>
    <t>Les processus de communication externe concernant le contrôle interne respectent-ils les réglementations et les normes applicables ?</t>
  </si>
  <si>
    <t>Analyse de conformité réglementaire, politiques de communication externe</t>
  </si>
  <si>
    <t>Non-conformité réglementaire des communications externes</t>
  </si>
  <si>
    <t>Feedback des tiers sur la qualité et la clarté des communications reçues</t>
  </si>
  <si>
    <t>Un feedback est-il sollicité auprès des tiers sur la qualité et la clarté des communications reçues concernant le contrôle interne ?</t>
  </si>
  <si>
    <t>Processus de feedback externe, enquêtes auprès des tiers</t>
  </si>
  <si>
    <t>Manque d'opportunités d'amélioration de la communication externe</t>
  </si>
  <si>
    <t xml:space="preserve">Vérifier que les informations sont partagées de manière appropriée, 
en fonction des rôles et des responsabilités des différentes parties 
prenantes, et qu'elles sont adaptées à leur niveau de responsabilité. </t>
  </si>
  <si>
    <t>Rapidité avec laquelle les parties externes sont informées des évolutions critiques</t>
  </si>
  <si>
    <t>La rapidité avec laquelle les parties externes sont informées des évolutions critiques concernant le contrôle interne est-elle adéquate ?</t>
  </si>
  <si>
    <t>Plan de communication externe, indicateurs de performance des communications</t>
  </si>
  <si>
    <t>Information tardive des parties externes sur des aspects critiques</t>
  </si>
  <si>
    <t>Exactitude et pertinence des informations communiquées aux parties externes</t>
  </si>
  <si>
    <t>Les informations communiquées aux parties externes concernant le contrôle interne sont-elles exactes et pertinentes ?</t>
  </si>
  <si>
    <t>Processus de validation des informations, guides de communication externe</t>
  </si>
  <si>
    <t>Communication d'informations inexactes ou non pertinentes aux parties externes</t>
  </si>
  <si>
    <t>Fréquence des mises à jour concernant les évolutions importantes</t>
  </si>
  <si>
    <t>La fréquence des mises à jour des informations communiquées aux parties externes concernant les évolutions importantes du contrôle interne est-elle appropriée ?</t>
  </si>
  <si>
    <t>Plan de communication externe, calendrier des communications</t>
  </si>
  <si>
    <t>Fréquence de communication inadaptée aux besoins d'information des parties externes</t>
  </si>
  <si>
    <t>Niveau de compréhension des informations communiquées par les parties externes</t>
  </si>
  <si>
    <t>Le niveau de compréhension des informations communiquées par les parties externes concernant le contrôle interne est-il évalué ?</t>
  </si>
  <si>
    <t>Enquêtes de satisfaction des parties externes, mécanismes de feedback</t>
  </si>
  <si>
    <t>Mauvaise compréhension des informations communiquées par les parties externes</t>
  </si>
  <si>
    <t>Respect des délais pour informer des changements, conformément aux engagements pris.</t>
  </si>
  <si>
    <t>Les délais pour informer les parties externes des changements relatifs au contrôle interne sont-ils respectés, conformément aux engagements pris ?</t>
  </si>
  <si>
    <t>Accords contractuels, indicateurs de performance des communications</t>
  </si>
  <si>
    <t>Non-respect des engagements contractuels en matière de communication</t>
  </si>
  <si>
    <t xml:space="preserve"> Communication externe </t>
  </si>
  <si>
    <t xml:space="preserve">Vérifier que des mécanismes de feedback sont mis en place pour 
permettre aux parties prenantes internes de poser des questions et 
d’obtenir des éclaircissements sur les informations reçues. </t>
  </si>
  <si>
    <t>Taux de conformité des tiers aux engagements définis dans les contrats</t>
  </si>
  <si>
    <t>Le taux de conformité des tiers aux engagements définis dans les contrats relatifs au contrôle interne est-il suivi et évalué ?</t>
  </si>
  <si>
    <t>Accords contractuels, rapports de suivi de la conformité des tiers</t>
  </si>
  <si>
    <t>Non-respect des engagements des tiers, impact sur l'efficacité du contrôle interne</t>
  </si>
  <si>
    <t>Fréquence et qualité des audits effectués pour vérifier le respect des engagements</t>
  </si>
  <si>
    <t>Des audits sont-ils effectués à une fréquence appropriée et avec une qualité suffisante pour vérifier le respect des engagements des tiers relatifs au contrôle interne ?</t>
  </si>
  <si>
    <t>Plan d'audit, rapports d'audit des engagements des tiers</t>
  </si>
  <si>
    <t>Manque d'assurance sur le respect des engagements des tiers</t>
  </si>
  <si>
    <t>Rapidité de détection et de correction des écarts constatés</t>
  </si>
  <si>
    <t>La rapidité de détection et de correction des écarts constatés concernant les engagements des tiers relatifs au contrôle interne est-elle adéquate ?</t>
  </si>
  <si>
    <t>Processus de gestion des incidents, indicateurs de performance de la résolution des incidents</t>
  </si>
  <si>
    <t>Détection et correction tardives des écarts, impact prolongé sur le contrôle interne</t>
  </si>
  <si>
    <t>Niveau de collaboration entre les tiers et l’organisation pour améliorer les contrôles</t>
  </si>
  <si>
    <t>Le niveau de collaboration entre les tiers et l’organisation pour améliorer les contrôles relatifs au contrôle interne est-il satisfaisant ?</t>
  </si>
  <si>
    <t>Enquêtes de satisfaction, évaluations des relations avec les tiers</t>
  </si>
  <si>
    <t>Collaboration insuffisante, opportunités d'amélioration non exploitées</t>
  </si>
  <si>
    <t>Documentation des résultats des suivis et communication aux parties prenantes internes</t>
  </si>
  <si>
    <t>Les résultats des suivis des communications avec les tiers sont-ils documentés et communiqués aux parties prenantes internes concernées par le contrôle interne ?</t>
  </si>
  <si>
    <t>Registres de communication externe, rapports de synthèse</t>
  </si>
  <si>
    <t>Manque de visibilité interne sur les communications avec les tiers</t>
  </si>
  <si>
    <t>S’assurer que des outils de communication adéquats (réunions, 
rapports, systèmes d’information) sont utilisés pour faciliter 
l’échange d’informations entre les différentes parties prenantes 
impliquées dans le contrôle interne.</t>
  </si>
  <si>
    <t>Existence d’une politique de communication définissant les outils et canaux utilisés.</t>
  </si>
  <si>
    <t>Une politique de communication définissant les outils et canaux utilisés pour les échanges relatifs au contrôle interne existe-t-elle ?</t>
  </si>
  <si>
    <t>Politique de communication interne</t>
  </si>
  <si>
    <t>Utilisation d'outils et de canaux de communication non définis et potentiellement inefficaces</t>
  </si>
  <si>
    <t>Disponibilité et accessibilité des outils de communication aux parties prenantes concernées.</t>
  </si>
  <si>
    <t>Les outils de communication relatifs au contrôle interne sont-ils disponibles et accessibles à toutes les parties prenantes concernées ?</t>
  </si>
  <si>
    <t>Inventaire des outils de communication, analyse des accès</t>
  </si>
  <si>
    <t>Accès limité aux outils de communication pour certaines parties prenantes</t>
  </si>
  <si>
    <t>Fréquence et pertinence des échanges d’informations via ces outils.</t>
  </si>
  <si>
    <t>La fréquence et la pertinence des échanges d’informations via les outils de communication relatifs au contrôle interne sont-elles appropriées ?</t>
  </si>
  <si>
    <t>Analyse de l'utilisation des outils, enquêtes auprès des utilisateurs</t>
  </si>
  <si>
    <t>Échanges d'informations trop fréquents ou non pertinents, surcharge d'information ou manque d'information</t>
  </si>
  <si>
    <t>Suivi et évaluation réguliers de l’efficacité des outils de communication.</t>
  </si>
  <si>
    <t>L'efficacité des outils de communication utilisés pour les échanges relatifs au contrôle interne est-elle suivie et évaluée régulièrement ?</t>
  </si>
  <si>
    <t>Évaluations de l'efficacité des outils, indicateurs de performance de la communication</t>
  </si>
  <si>
    <t>Utilisation d'outils de communication inefficaces, impact sur la qualité et la rapidité des échanges</t>
  </si>
  <si>
    <t>Intégration des retours des parties prenantes pour améliorer la communication.</t>
  </si>
  <si>
    <t>Les retours des parties prenantes sont-ils intégrés pour améliorer la communication relative au contrôle interne ?</t>
  </si>
  <si>
    <t>Processus de gestion des feedbacks, documentation des améliorations</t>
  </si>
  <si>
    <t>Opportunités d'amélioration de la communication non exploitées</t>
  </si>
  <si>
    <t>Vérifier que la communication interne des informations nécessaires 
au contrôle interne est régulièrement suivie, avec des rapports ou 
des audits pour évaluer l'efficacité des mécanismes de 
communication en place.</t>
  </si>
  <si>
    <t>Mise en place de rapports et d’audits périodiques sur la communication interne.</t>
  </si>
  <si>
    <t>Des rapports et des audits périodiques sur la communication interne relative au contrôle interne sont-ils mis en place ?</t>
  </si>
  <si>
    <t>Manque d'assurance sur l'efficacité de la communication interne</t>
  </si>
  <si>
    <t>Existence de processus documentés garantissant le suivi des échanges internes.</t>
  </si>
  <si>
    <t>Des processus documentés garantissant le suivi des échanges internes relatifs au contrôle interne existent-ils ?</t>
  </si>
  <si>
    <t>Procédures de gestion des communications internes, registres de suivi</t>
  </si>
  <si>
    <t>Manque de traçabilité des échanges internes, difficulté à suivre les décisions et les actions</t>
  </si>
  <si>
    <t>Niveau d’engagement et de participation des parties prenantes internes.</t>
  </si>
  <si>
    <t>Le niveau d’engagement et de participation des parties prenantes internes dans les communications relatives au contrôle interne est-il satisfaisant ?</t>
  </si>
  <si>
    <t>Enquêtes de satisfaction, observations</t>
  </si>
  <si>
    <t>Faible engagement des parties prenantes, communication potentiellement à sens unique et moins efficace</t>
  </si>
  <si>
    <t>Présence d’un système d’alerte ou d’escalade en cas de défaut de communication.</t>
  </si>
  <si>
    <t>Un système d’alerte ou d’escalade est-il en place en cas de défaut de communication relative au contrôle interne ?</t>
  </si>
  <si>
    <t>Procédures d'alerte et d'escalade</t>
  </si>
  <si>
    <t>Gestion inefficace des problèmes de communication, retards dans la résolution des problèmes de contrôle interne</t>
  </si>
  <si>
    <t>Mesure de l’impact des actions de communication sur l’efficacité du contrôle interne.</t>
  </si>
  <si>
    <t>L'impact des actions de communication sur l'efficacité du contrôle interne est-il mesuré ?</t>
  </si>
  <si>
    <t>Indicateurs clés de performance du contrôle interne, analyses de corrélation</t>
  </si>
  <si>
    <t>Incapacité à évaluer l'impact de la communication sur l'efficacité du contrôle interne</t>
  </si>
  <si>
    <t>S’assurer que l’organisation dispose de processus formels pour 
communiquer avec les tiers sur les points pertinents concernant le 
contrôle interne, notamment les risques et les mesures prises pour y 
faire face.</t>
  </si>
  <si>
    <t>Existence de procédures documentées pour la communication avec les tiers.</t>
  </si>
  <si>
    <t>Des procédures documentées pour la communication avec les tiers concernant le contrôle interne existent-elles ?</t>
  </si>
  <si>
    <t>Clarté et exhaustivité des informations partagées avec les partenaires externes.</t>
  </si>
  <si>
    <t>Les informations partagées avec les partenaires externes concernant le contrôle interne sont-elles claires et exhaustives ?</t>
  </si>
  <si>
    <t>Guides de communication externe, processus de validation des informations</t>
  </si>
  <si>
    <t>Informations ambiguës ou incomplètes partagées avec les partenaires externes</t>
  </si>
  <si>
    <t>Mécanismes de validation et d’approbation des messages à destination des tiers.</t>
  </si>
  <si>
    <t>Des mécanismes de validation et d’approbation des messages à destination des tiers concernant le contrôle interne existent-ils ?</t>
  </si>
  <si>
    <t>Processus d'approbation des communications externes, workflow</t>
  </si>
  <si>
    <t>Risque de communication d'informations erronées ou non approuvées aux tiers</t>
  </si>
  <si>
    <t>Suivi et archivage des échanges avec les parties externes.</t>
  </si>
  <si>
    <t>Les échanges avec les parties externes concernant le contrôle interne sont-ils suivis et archivés ?</t>
  </si>
  <si>
    <t>Registres de communication externe, systèmes d'archivage</t>
  </si>
  <si>
    <t>Manque de traçabilité des échanges avec les parties externes, difficulté en cas de litige ou de besoin de référence</t>
  </si>
  <si>
    <t>Évaluation de l’impact des échanges externes sur la gestion des risques.</t>
  </si>
  <si>
    <t>L'impact des échanges externes sur la gestion des risques liés au contrôle interne est-il évalué ?</t>
  </si>
  <si>
    <t>Indicateurs clés de performance de la gestion des risques, analyses de corrélation</t>
  </si>
  <si>
    <t>Incapacité à évaluer l'impact des échanges externes sur la gestion des risques</t>
  </si>
  <si>
    <t xml:space="preserve">Vérifier que les parties prenantes externes sont informées en temps 
utile des évolutions qui peuvent avoir un impact sur le 
fonctionnement du contrôle interne, en particulier lorsqu'il y a des 
changements significatifs dans l’organisation ou dans la 
réglementation applicable. </t>
  </si>
  <si>
    <t>Définition des parties prenantes externes concernées par la communication.</t>
  </si>
  <si>
    <t>Les parties prenantes externes concernées par la communication relative au contrôle interne sont-elles clairement définies ?</t>
  </si>
  <si>
    <t>Matrice des parties prenantes externes, plan de communication externe</t>
  </si>
  <si>
    <t>Communication potentiellement adressée aux mauvaises personnes ou oubli de parties prenantes importantes</t>
  </si>
  <si>
    <t>Existence d’un calendrier ou d’une procédure définissant les moments clés de communication.</t>
  </si>
  <si>
    <t>Un calendrier ou une procédure définissant les moments clés de communication concernant le contrôle interne existe-t-il pour les parties externes ?</t>
  </si>
  <si>
    <t>Communication avec les parties externes non coordonnée et potentiellement inefficace</t>
  </si>
  <si>
    <t>Suivi des modifications réglementaires et organisationnelles impactant le contrôle interne.</t>
  </si>
  <si>
    <t>Les modifications réglementaires et organisationnelles impactant le contrôle interne sont-elles suivies pour adapter la communication avec les parties externes ?</t>
  </si>
  <si>
    <t>Processus de veille réglementaire et organisationnelle, plan de communication externe</t>
  </si>
  <si>
    <t>Communication obsolète ou non conforme aux évolutions</t>
  </si>
  <si>
    <t>Rapidité et efficacité des mécanismes de diffusion de l’information.</t>
  </si>
  <si>
    <t>Les mécanismes de diffusion de l’information relative au contrôle interne aux parties externes sont-ils rapides et efficaces ?</t>
  </si>
  <si>
    <t>Évaluation des canaux de communication, indicateurs de performance des communications</t>
  </si>
  <si>
    <t>Diffusion lente ou inefficace des informations critiques aux parties externes</t>
  </si>
  <si>
    <t>Suivi de la compréhension et de la prise en compte des informations par les parties externes.</t>
  </si>
  <si>
    <t>La compréhension et la prise en compte des informations relatives au contrôle interne par les parties externes sont-elles suivies ?</t>
  </si>
  <si>
    <t>Mécanismes de feedback externe, suivi des actions des parties externes</t>
  </si>
  <si>
    <t>Incertitude quant à la compréhension et à la prise en compte des informations par les parties externes</t>
  </si>
  <si>
    <t xml:space="preserve">S’assurer que les informations partagées avec les tiers sont 
pertinentes, complètes et compréhensibles, et qu’elles sont 
adaptées au rôle et aux besoins de chaque partie prenante externe. </t>
  </si>
  <si>
    <t>Définition des critères de pertinence et d’exhaustivité des informations communiquées.</t>
  </si>
  <si>
    <t>Les critères de pertinence et d’exhaustivité des informations communiquées aux parties externes concernant le contrôle interne sont-ils définis ?</t>
  </si>
  <si>
    <t>Politiques de communication externe, guides de contenu</t>
  </si>
  <si>
    <t>Risque de communiquer des informations non pertinentes ou incomplètes</t>
  </si>
  <si>
    <t>Adaptation du format et du contenu des communications en fonction des destinataires.</t>
  </si>
  <si>
    <t>Le format et le contenu des communications relatives au contrôle interne sont-ils adaptés aux destinataires externes ?</t>
  </si>
  <si>
    <t>Guides de communication externe, segmentation des audiences</t>
  </si>
  <si>
    <t>Communication non adaptée aux besoins et à la compréhension des destinataires externes</t>
  </si>
  <si>
    <t>Vérification systématique de la qualité et de la clarté des informations envoyées.</t>
  </si>
  <si>
    <t>La qualité et la clarté des informations envoyées aux parties externes concernant le contrôle interne sont-elles vérifiées systématiquement ?</t>
  </si>
  <si>
    <t>Processus de validation des communications externes, contrôles qualité</t>
  </si>
  <si>
    <t>Risque de communication d'informations de mauvaise qualité ou peu claires</t>
  </si>
  <si>
    <t>Existence de retours ou de feedbacks des parties prenantes externes.</t>
  </si>
  <si>
    <t>Des retours ou des feedbacks sont-ils sollicités auprès des parties prenantes externes concernant la communication relative au contrôle interne ?</t>
  </si>
  <si>
    <t>Processus de feedback externe, enquêtes auprès des parties externes</t>
  </si>
  <si>
    <t>Manque d'opportunités d'amélioration de la communication externe en fonction des besoins des parties externes</t>
  </si>
  <si>
    <t>Suivi des ajustements effectués sur les communications en fonction des retours reçus.</t>
  </si>
  <si>
    <t>Les ajustements effectués sur les communications relatives au contrôle interne sont-ils suivis en fonction des retours reçus des parties externes ?</t>
  </si>
  <si>
    <t>Non-prise en compte des retours des parties externes pour améliorer la communication</t>
  </si>
  <si>
    <t>Activités de Surveillance</t>
  </si>
  <si>
    <t>Évaluations continues et indépendantes</t>
  </si>
  <si>
    <t xml:space="preserve">Vérifier que des mécanismes de suivi et de contrôle sont en place 
pour s’assurer que les tiers respectent les engagements relatifs au 
contrôle interne, et que les résultats de cette coopération sont 
régulièrement évalués. </t>
  </si>
  <si>
    <t>Existence d’un processus formel de suivi et de contrôle des engagements des tiers.</t>
  </si>
  <si>
    <t>Un processus formel de suivi et de contrôle des engagements des tiers relatifs au contrôle interne existe-t-il ?</t>
  </si>
  <si>
    <t>Politiques de gestion des tiers, procédures de suivi des engagements</t>
  </si>
  <si>
    <t>Manque de surveillance des engagements des tiers, exposition accrue aux risques</t>
  </si>
  <si>
    <t>Mise en place d’indicateurs de performance pour évaluer la coopération avec les tiers.</t>
  </si>
  <si>
    <t>Des indicateurs de performance sont-ils mis en place pour évaluer la coopération des tiers en matière de contrôle interne ?</t>
  </si>
  <si>
    <t>Indicateurs clés de performance des relations avec les tiers, rapports de suivi</t>
  </si>
  <si>
    <t>Incapacité à mesurer la coopération des tiers, difficulté à identifier les problèmes potentiels</t>
  </si>
  <si>
    <t>Fréquence et rigueur des évaluations des tiers sur le respect des engagements.</t>
  </si>
  <si>
    <t>Les tiers sont-ils évalués à une fréquence appropriée et avec rigueur concernant le respect de leurs engagements en matière de contrôle interne ?</t>
  </si>
  <si>
    <t>Politique d'évaluation des tiers, calendriers d'évaluation, méthodologie d'évaluation</t>
  </si>
  <si>
    <t>Évaluation insuffisante ou non rigoureuse, risque de non-détection des manquements</t>
  </si>
  <si>
    <t>Documentation et traçabilité des résultats des évaluations.</t>
  </si>
  <si>
    <t>Les résultats des évaluations des tiers concernant le respect de leurs engagements en matière de contrôle interne sont-ils documentés et traçables ?</t>
  </si>
  <si>
    <t>Rapports d'évaluation des tiers, registres de suivi</t>
  </si>
  <si>
    <t>Manque de traçabilité des évaluations, difficulté à justifier les décisions et les actions</t>
  </si>
  <si>
    <t>Existence de mesures correctives en cas de non-respect des engagements.</t>
  </si>
  <si>
    <t>Des mesures correctives sont-elles en place en cas de non-respect des engagements des tiers relatifs au contrôle interne ?</t>
  </si>
  <si>
    <t>Politiques de gestion des incidents, procédures de mise en œuvre des mesures correctives</t>
  </si>
  <si>
    <t>Non-correction des manquements des tiers, impact prolongé sur le contrôle interne</t>
  </si>
  <si>
    <t xml:space="preserve">S’assurer que des mesures sont mises en place pour gérer les 
risques associés à la communication avec les tiers, notamment en 
termes de confidentialité, de conformité aux réglementations et de 
protection des données sensibles. </t>
  </si>
  <si>
    <t>Identification et classification des risques liés à la communication avec les tiers.</t>
  </si>
  <si>
    <t>Les risques liés à la communication avec les tiers concernant le contrôle interne sont-ils identifiés et classifiés ?</t>
  </si>
  <si>
    <t>Analyse des risques de communication, cartographie des risques</t>
  </si>
  <si>
    <t>Mauvaise identification et classification des risques de communication, gestion des risques inefficace</t>
  </si>
  <si>
    <t>Existence de protocoles de confidentialité et de protection des données.</t>
  </si>
  <si>
    <t>Des protocoles de confidentialité et de protection des données sont-ils en place pour les échanges avec les tiers concernant le contrôle interne ?</t>
  </si>
  <si>
    <t>Politiques de confidentialité et de protection des données, accords de confidentialité</t>
  </si>
  <si>
    <t>Violation de la confidentialité et de la protection des données, risques juridiques et réputationnels</t>
  </si>
  <si>
    <t>Mise en place de clauses contractuelles garantissant la conformité aux réglementations.</t>
  </si>
  <si>
    <t>Des clauses contractuelles garantissant la conformité aux réglementations relatives au contrôle interne sont-elles mises en place avec les tiers ?</t>
  </si>
  <si>
    <t>Modèles de contrats, clauses spécifiques relatives au contrôle interne</t>
  </si>
  <si>
    <t>Non-respect des réglementations par les tiers, risques juridiques et financiers</t>
  </si>
  <si>
    <t>Surveillance continue et mise à jour des politiques de gestion des risques.</t>
  </si>
  <si>
    <t>Une surveillance continue et une mise à jour régulière des politiques de gestion des risques liés à la communication avec les tiers concernant le contrôle interne sont-elles effectuées ?</t>
  </si>
  <si>
    <t>Politique de gestion des risques de communication, calendriers de mise à jour</t>
  </si>
  <si>
    <t>Politiques obsolètes, gestion des risques de communication inadaptée aux évolutions</t>
  </si>
  <si>
    <t>Sensibilisation et formation des parties prenantes sur les risques liés à la communication avec les tiers.</t>
  </si>
  <si>
    <t>Les parties prenantes internes et externes sont-elles sensibilisées et formées aux risques liés à la communication avec les tiers concernant le contrôle interne ?</t>
  </si>
  <si>
    <t>Sensibilisation et formation insuffisantes, risque accru d'incidents de communication</t>
  </si>
  <si>
    <t>Vérifier que les résultats des échanges avec les tiers sont 
documentés et intégrés dans le système de gestion des risques, afin 
d’assurer que le contrôle interne reste efficace face aux risques 
externes.</t>
  </si>
  <si>
    <t>Exhaustivité et fiabilité des informations documentées issues des échanges</t>
  </si>
  <si>
    <t>Les informations documentées issues des échanges relatifs au contrôle interne avec les tiers sont-elles exhaustives et fiables ?</t>
  </si>
  <si>
    <t>Politiques de gestion de l'information, procédures de documentation</t>
  </si>
  <si>
    <t>Informations incomplètes ou non fiables, mauvaises décisions basées sur des données erronées</t>
  </si>
  <si>
    <t>Fréquence de mise à jour du système de gestion des risques avec ces informations</t>
  </si>
  <si>
    <t>Le système de gestion des risques est-il mis à jour à une fréquence appropriée avec les informations issues des échanges avec les tiers concernant le contrôle interne ?</t>
  </si>
  <si>
    <t>Politique de gestion des risques, procédures de mise à jour du système</t>
  </si>
  <si>
    <t>Système de gestion des risques non à jour, incapacité à prendre en compte les informations externes</t>
  </si>
  <si>
    <t>Utilisation des données intégrées pour adapter les stratégies de gestion des risques</t>
  </si>
  <si>
    <t>Les données issues des échanges avec les tiers concernant le contrôle interne sont-elles utilisées pour adapter les stratégies de gestion des risques ?</t>
  </si>
  <si>
    <t>Processus d'analyse des données, procédures de mise à jour des stratégies</t>
  </si>
  <si>
    <t>Non-utilisation des données externes pour améliorer la gestion des risques</t>
  </si>
  <si>
    <t>Accessibilité des résultats documentés pour les décideurs et parties concernées</t>
  </si>
  <si>
    <t>Les résultats documentés des échanges avec les tiers relatifs au contrôle interne sont-ils accessibles aux décideurs et aux parties concernées ?</t>
  </si>
  <si>
    <t>Politiques d'accès à l'information, systèmes de partage de documents</t>
  </si>
  <si>
    <t>Manque de visibilité sur les informations, décisions potentiellement non éclairées</t>
  </si>
  <si>
    <t>Amélioration observable dans la gestion des risques suite à l’intégration des résultats</t>
  </si>
  <si>
    <t>Une amélioration observable dans la gestion des risques est-elle constatée suite à l’intégration des résultats des échanges avec les tiers concernant le contrôle interne ?</t>
  </si>
  <si>
    <t>Indicateurs clés de performance de la gestion des risques, analyses post-implémentation</t>
  </si>
  <si>
    <t>Efficacité non prouvée de l'intégration des informations externes dans la gestion des risques</t>
  </si>
  <si>
    <t xml:space="preserve">Vérifier que des évaluations ponctuelles sont réalisées lors de 
changements importants (réorganisation, introduction de nouvelles 
technologies, etc.) pour s’assurer que les composantes du contrôle 
interne restent adaptées et efficaces dans ces nouveaux contextes. </t>
  </si>
  <si>
    <t>Satisfaction des parties prenantes concernant le processus d’évaluation</t>
  </si>
  <si>
    <t>La satisfaction des parties prenantes concernant le processus d’évaluation du contrôle interne est-elle mesurée ?</t>
  </si>
  <si>
    <t>Manque de mesure de la satisfaction des parties prenantes, potentielle insatisfaction et manque d'adhésion</t>
  </si>
  <si>
    <t>Rapidité de réalisation des évaluations suite à des changements significatifs.</t>
  </si>
  <si>
    <t>Les évaluations du contrôle interne sont-elles réalisées rapidement suite à des changements significatifs ?</t>
  </si>
  <si>
    <t>Procédures d'évaluation du contrôle interne, déclencheurs d'évaluation</t>
  </si>
  <si>
    <t>Évaluations tardives, risque de non-adaptation du contrôle interne aux changements</t>
  </si>
  <si>
    <t>Exhaustivité des points analysés lors des évaluations ponctuelles</t>
  </si>
  <si>
    <t>Les points analysés lors des évaluations ponctuelles du contrôle interne sont-ils exhaustifs ?</t>
  </si>
  <si>
    <t>Mandats d'évaluation, méthodologie d'évaluation</t>
  </si>
  <si>
    <t>Analyse incomplète des aspects importants, risque de négliger des faiblesses</t>
  </si>
  <si>
    <t>Qualité des ajustements effectués pour refléter les changements dans le contrôle interne</t>
  </si>
  <si>
    <t>La qualité des ajustements effectués pour refléter les changements dans le contrôle interne suite aux évaluations ponctuelles est-elle satisfaisante ?</t>
  </si>
  <si>
    <t>Processus de gestion des changements, procédures de mise à jour du contrôle interne</t>
  </si>
  <si>
    <t>Ajustements inefficaces ou de mauvaise qualité, contrôle interne toujours inadapté</t>
  </si>
  <si>
    <t>Documentation des résultats des évaluations ponctuelles et partage avec la direction</t>
  </si>
  <si>
    <t>Les résultats des évaluations ponctuelles du contrôle interne sont-ils documentés et partagés avec la direction ?</t>
  </si>
  <si>
    <t>Rapports d'évaluation, circuits de communication</t>
  </si>
  <si>
    <t>Manque d'information pour la direction, décisions potentiellement non éclairées</t>
  </si>
  <si>
    <t>S’assurer que les responsables des composantes du contrôle 
interne sont impliqués dans les évaluations et qu'ils sont informés 
des résultats afin de pouvoir apporter des améliorations lorsque cela 
est nécessaire.</t>
  </si>
  <si>
    <t>Définition claire des rôles et responsabilités des responsables du contrôle interne.</t>
  </si>
  <si>
    <t>Les rôles et responsabilités des responsables du contrôle interne sont-ils clairement définis ?</t>
  </si>
  <si>
    <t>Confusion et manque de clarté dans les responsabilités, potentielle inefficacité du contrôle interne</t>
  </si>
  <si>
    <t>Inclusion systématique des responsables dans le processus d’évaluation.</t>
  </si>
  <si>
    <t>Les responsables du contrôle interne sont-ils systématiquement inclus dans le processus d’évaluation ?</t>
  </si>
  <si>
    <t>Procédures d'évaluation, listes de participants</t>
  </si>
  <si>
    <t>Manque d'expertise des responsables du contrôle interne dans les évaluations, risque d'évaluation incomplète ou biaisée</t>
  </si>
  <si>
    <t>Accès aux résultats des évaluations pour les responsables concernés.</t>
  </si>
  <si>
    <t>Les responsables du contrôle interne ont-ils accès aux résultats des évaluations ?</t>
  </si>
  <si>
    <t>Manque d'information pour les responsables du contrôle interne, difficulté à identifier les axes d'amélioration</t>
  </si>
  <si>
    <t>Mise en place de réunions ou de briefings pour discuter des résultats.</t>
  </si>
  <si>
    <t>Des réunions ou des briefings sont-ils organisés pour discuter des résultats des évaluations du contrôle interne avec les responsables ?</t>
  </si>
  <si>
    <t>Calendrier des réunions, ordres du jour</t>
  </si>
  <si>
    <t>Manque de communication et de discussion sur les résultats, opportunités d'amélioration non exploitées</t>
  </si>
  <si>
    <t>Intégration des retours des responsables dans les améliorations du contrôle interne.</t>
  </si>
  <si>
    <t>Les retours des responsables du contrôle interne sont-ils intégrés dans les améliorations du contrôle interne ?</t>
  </si>
  <si>
    <t>Processus de gestion des améliorations, registres des retours</t>
  </si>
  <si>
    <t>Non-prise en compte de l'expertise des responsables, améliorations potentiellement moins efficaces</t>
  </si>
  <si>
    <t>Évaluation des déficiences</t>
  </si>
  <si>
    <t>Vérifier que des critères d’évaluation clairs et mesurables sont 
utilisés pour évaluer l’efficacité des composantes du contrôle 
interne, y compris des indicateurs de performance et des seuils de 
tolérance définis.</t>
  </si>
  <si>
    <t>Efficacité des ajustements dans la prévention ou la réduction des nouveaux risques identifiés</t>
  </si>
  <si>
    <t>Les ajustements apportés au contrôle interne après les retours des responsables sont-ils efficaces dans la prévention ou la réduction des nouveaux risques identifiés ?</t>
  </si>
  <si>
    <t>Indicateurs clés de performance du contrôle interne, analyses post-implémentation</t>
  </si>
  <si>
    <t>Efficacité non prouvée des ajustements, risque que les nouveaux risques ne soient pas correctement adressés</t>
  </si>
  <si>
    <t>Pertinence des critères utilisés par rapport aux objectifs stratégiques de l'organisation</t>
  </si>
  <si>
    <t>Les critères utilisés pour l'évaluation du contrôle interne sont-ils pertinents par rapport aux objectifs stratégiques de l'organisation ?</t>
  </si>
  <si>
    <t>Cartographie des objectifs stratégiques, alignement des critères d'évaluation</t>
  </si>
  <si>
    <t>Évaluation non alignée sur les priorités de l'organisation, risque de se concentrer sur des aspects moins importants</t>
  </si>
  <si>
    <t>Mesurabilité des indicateurs sélectionnés pour suivre les performances des contrôles internes.</t>
  </si>
  <si>
    <t>Les indicateurs sélectionnés pour suivre les performances des contrôles internes sont-ils mesurables ?</t>
  </si>
  <si>
    <t>Définition des indicateurs, méthodologie de mesure</t>
  </si>
  <si>
    <t>Indicateurs non mesurables, difficulté à évaluer objectivement la performance des contrôles</t>
  </si>
  <si>
    <t>Fréquence des révisions des critères pour s’adapter aux évolutions internes et externes.</t>
  </si>
  <si>
    <t>La fréquence des révisions des critères d'évaluation du contrôle interne est-elle adaptée pour tenir compte des évolutions internes et externes ?</t>
  </si>
  <si>
    <t>Politique de révision des critères, calendriers de révision</t>
  </si>
  <si>
    <t>Critères obsolètes, évaluation potentiellement non pertinente</t>
  </si>
  <si>
    <t>Taux d’adhésion des parties prenantes aux critères établis.</t>
  </si>
  <si>
    <t>Le taux d’adhésion des parties prenantes aux critères établis pour l'évaluation du contrôle interne est-il satisfaisant ?</t>
  </si>
  <si>
    <t>Enquêtes d'adhésion, observations</t>
  </si>
  <si>
    <t>Faible adhésion, risque de résistance et de non-application des critères</t>
  </si>
  <si>
    <t>S’assurer que les résultats des évaluations sont documentés et 
partagés avec la direction et le Conseil, afin qu’ils puissent prendre 
des décisions éclairées sur les actions correctives et l’adaptation du 
contrôle interne.</t>
  </si>
  <si>
    <t>Existence d’un format standardisé pour la documentation des évaluations.</t>
  </si>
  <si>
    <t>Un format standardisé est-il utilisé pour la documentation des évaluations du contrôle interne ?</t>
  </si>
  <si>
    <t>Modèles de rapports d'évaluation, guides de documentation</t>
  </si>
  <si>
    <t>Documentation incohérente, difficulté à comparer les évaluations et à tirer des conclusions globales</t>
  </si>
  <si>
    <t>Définition des circuits de communication des résultats vers la direction et le Conseil.</t>
  </si>
  <si>
    <t>Les circuits de communication des résultats des évaluations du contrôle interne vers la direction et le Conseil d'administration sont-ils définis ?</t>
  </si>
  <si>
    <t>Organigramme, plan de communication</t>
  </si>
  <si>
    <t>Communication inefficace ou retardée des résultats aux instances de gouvernance</t>
  </si>
  <si>
    <t>Mise en place de rapports périodiques sur l’état du contrôle interne.</t>
  </si>
  <si>
    <t>Des rapports périodiques sur l’état du contrôle interne sont-ils mis en place ?</t>
  </si>
  <si>
    <t>Calendrier de reporting, modèles de rapports</t>
  </si>
  <si>
    <t>Manque de visibilité régulière sur l'état du contrôle interne, prise de décision potentiellement non éclairée</t>
  </si>
  <si>
    <t>Accès sécurisé aux documents pour garantir leur confidentialité.</t>
  </si>
  <si>
    <t>Un accès sécurisé aux documents relatifs aux évaluations du contrôle interne est-il garanti pour assurer leur confidentialité ?</t>
  </si>
  <si>
    <t>Politiques de sécurité de l'information, gestion des accès</t>
  </si>
  <si>
    <t>Risque de violation de la confidentialité, accès non autorisé aux informations sensibles</t>
  </si>
  <si>
    <t>Prise en compte des résultats des évaluations dans la prise de décision stratégique.</t>
  </si>
  <si>
    <t>Les résultats des évaluations du contrôle interne sont-ils pris en compte dans la prise de décision stratégique ?</t>
  </si>
  <si>
    <t>Processus de prise de décision, documentation des décisions</t>
  </si>
  <si>
    <t>Décisions stratégiques non informées par l'état du contrôle interne, risque de ne pas tenir compte des faiblesses</t>
  </si>
  <si>
    <t xml:space="preserve">Vérifier que les évaluations sont suivies de plans d’action correctifs 
lorsque des failles ou des défaillances sont identifiées, et que ces 
plans sont mis en œuvre efficacement dans les délais impartis. </t>
  </si>
  <si>
    <t>Formalisation et validation des plans d’action correctifs.</t>
  </si>
  <si>
    <t>Les plans d’action correctifs suite aux évaluations du contrôle interne sont-ils formalisés et validés ?</t>
  </si>
  <si>
    <t>Modèles de plans d'action, processus de validation</t>
  </si>
  <si>
    <t>Actions correctives non formalisées ou non approuvées, risque de non-mise en œuvre ou de mise en œuvre inefficace</t>
  </si>
  <si>
    <t>Définition des délais et des responsabilités pour la mise en œuvre des actions correctives.</t>
  </si>
  <si>
    <t>Les délais et les responsabilités pour la mise en œuvre des actions correctives suite aux évaluations du contrôle interne sont-ils définis ?</t>
  </si>
  <si>
    <t>Plans d'action, attribution des responsabilités, échéanciers</t>
  </si>
  <si>
    <t>Mise en œuvre tardive ou non réalisée des actions correctives, impact prolongé des faiblesses identifiées</t>
  </si>
  <si>
    <t>Suivi régulier de l’exécution des actions correctives.</t>
  </si>
  <si>
    <t>L’exécution des actions correctives suite aux évaluations du contrôle interne est-elle suivie régulièrement ?</t>
  </si>
  <si>
    <t>Rapports de suivi des actions correctives, indicateurs de performance</t>
  </si>
  <si>
    <t>Suivi insuffisant, risque de non-réalisation effective des actions correctives</t>
  </si>
  <si>
    <t>Évaluation de l’efficacité des mesures correctives mises en place.</t>
  </si>
  <si>
    <t>L’efficacité des mesures correctives mises en place suite aux évaluations du contrôle interne est-elle évaluée ?</t>
  </si>
  <si>
    <t>Efficacité non prouvée des mesures correctives, risque de persistance des faiblesses</t>
  </si>
  <si>
    <t>Documentation des actions correctives et des résultats obtenus.</t>
  </si>
  <si>
    <t>Les actions correctives mises en place suite aux évaluations du contrôle interne et les résultats obtenus sont-ils documentés ?</t>
  </si>
  <si>
    <t>Registre des actions correctives, rapports de suivi</t>
  </si>
  <si>
    <t>Manque de traçabilité des actions correctives et de leurs résultats, difficulté à tirer des leçons pour l'avenir</t>
  </si>
  <si>
    <t>Z</t>
  </si>
  <si>
    <t>Une veille technologique est réalisée pour assurer l’alignement avec les objectifs de l’entité</t>
  </si>
  <si>
    <t>Les choix technologiques sont validés par la direction informatique.</t>
  </si>
  <si>
    <t>Une roadmap technologique existe et est régulièrement mise à jour.</t>
  </si>
  <si>
    <t>Les utilisateurs sont consultés pour évaluer l’adéquation des technologies avec leurs besoins.</t>
  </si>
  <si>
    <t>Les technologies choisies sont soutenues par une communauté active ou un éditeur fiable.</t>
  </si>
  <si>
    <t>Les versions utilisées bénéficient d’un support officiel et de mises à jour régulières.</t>
  </si>
  <si>
    <t>Une analyse des risques liés aux technologies émergentes est effectuée avant adoption.</t>
  </si>
  <si>
    <t>L’organisation dispose de l’expertise nécessaire pour exploiter ces technologies.</t>
  </si>
  <si>
    <t>Les performances de l’application restent optimales en cas de montée en charge.</t>
  </si>
  <si>
    <t>Des tests de scalabilité ont été réalisés pour anticiper les besoins futurs.</t>
  </si>
  <si>
    <t>Les technologies permettent une extension sans nécessiter un remplacement complet.</t>
  </si>
  <si>
    <t>Une stratégie de mise à l’échelle est définie et documentée.</t>
  </si>
  <si>
    <t>Les modules de l’application peuvent être activés ou désactivés selon les besoins.</t>
  </si>
  <si>
    <t>Une documentation détaillant les possibilités d’extension est disponible.</t>
  </si>
  <si>
    <t>Les interfaces permettent une intégration avec d’autres systèmes facilement.</t>
  </si>
  <si>
    <t>Les mises à jour ou évolutions sont réalisées sans interruption majeure du service.</t>
  </si>
  <si>
    <t>Une formation régulière est assurée pour maintenir les connaissances à jour.</t>
  </si>
  <si>
    <t>Un suivi des prestations de maintenance est assuré par l’entité.</t>
  </si>
  <si>
    <t>L’éditeur propose des mises à jour régulières et une assistance technique.</t>
  </si>
  <si>
    <t>Les engagements de support et les niveaux de service sont clairement définis.</t>
  </si>
  <si>
    <t>Un suivi des impacts des développements spécifiques sur l’application globale est assuré.</t>
  </si>
  <si>
    <t>L’équipe de maintenance est capable d’intervenir sans dépendre systématiquement du fournisseur.</t>
  </si>
  <si>
    <t>Des outils et procédures clairs sont mis en place pour assurer une maintenance efficace.</t>
  </si>
  <si>
    <t>Une documentation technique complète est disponible pour faciliter la maintenance.</t>
  </si>
  <si>
    <t>Des ressources internes sont capables de gérer les évolutions courantes.</t>
  </si>
  <si>
    <t>Les contrats avec l’éditeur définissent clairement les engagements et niveaux de service.</t>
  </si>
  <si>
    <t>Des alternatives (autres prestataires, solutions de remplacement) sont identifiées en cas de besoin.</t>
  </si>
  <si>
    <t>Une évaluation périodique de la dépendance technologique est réalisée.</t>
  </si>
  <si>
    <t>La version installée est compatible avec les exigences de l’organisation.</t>
  </si>
  <si>
    <t>Une procédure de mise à jour est définie et appliquée.</t>
  </si>
  <si>
    <t>Les tests de validation des nouvelles versions sont effectués avant déploiement.</t>
  </si>
  <si>
    <t>L’éditeur garantit la continuité du support pour la version utilisée.</t>
  </si>
  <si>
    <t>Chaque évolution est validée avant intégration dans l’application.</t>
  </si>
  <si>
    <t>Une documentation détaillée des développements spécifiques est disponible.</t>
  </si>
  <si>
    <t>Les modifications sont testées et validées avant mise en production.</t>
  </si>
  <si>
    <t>Points de contrôle</t>
  </si>
  <si>
    <t>Objectifs de contrôle</t>
  </si>
  <si>
    <t>Criteres d'evaluation</t>
  </si>
  <si>
    <t>Questions d'evaluation</t>
  </si>
  <si>
    <t>Reponses</t>
  </si>
  <si>
    <t>Consequences</t>
  </si>
  <si>
    <t>Facteurs clés de succès ;</t>
  </si>
  <si>
    <t>Vérifier qu’une politique de sécurité est définie et correspond à l'activité de l'Organisation ;</t>
  </si>
  <si>
    <t>Existence d’une politique de sécurité formalisée</t>
  </si>
  <si>
    <t>La politique de sécurité est-elle documentée ?</t>
  </si>
  <si>
    <t>Oui</t>
  </si>
  <si>
    <t>Document de politique de sécurité</t>
  </si>
  <si>
    <t>Absence de directives claires</t>
  </si>
  <si>
    <t>Comportements incohérents en matière de sécurité</t>
  </si>
  <si>
    <t>Rédiger une politique claire et concise</t>
  </si>
  <si>
    <t>Validation de la politique par la direction</t>
  </si>
  <si>
    <t>La direction a-t-elle validé la politique ?</t>
  </si>
  <si>
    <t>Compte-rendu de validation</t>
  </si>
  <si>
    <t>Manque de légitimité de la politique</t>
  </si>
  <si>
    <t>Non-respect des règles par manque de reconnaissance</t>
  </si>
  <si>
    <t>Soumettre la politique à approbation formelle</t>
  </si>
  <si>
    <t>Communication de la politique à tous les employés</t>
  </si>
  <si>
    <t>Les employés sont-ils informés de cette politique ?</t>
  </si>
  <si>
    <t>Plan de communication ou attestation</t>
  </si>
  <si>
    <t>Non-adhésion des employés</t>
  </si>
  <si>
    <t>Failles de sécurité dues à l’ignorance</t>
  </si>
  <si>
    <t>Diffuser la politique avec preuve de réception</t>
  </si>
  <si>
    <t>Mise à jour régulière de la politique</t>
  </si>
  <si>
    <t>la politique est t-elle regulierement mise a jour ?</t>
  </si>
  <si>
    <t>non</t>
  </si>
  <si>
    <t>Planning de révision</t>
  </si>
  <si>
    <t>Politique obsolète</t>
  </si>
  <si>
    <t>Non-conformité avec les normes ou audits</t>
  </si>
  <si>
    <t>Mettre en place un calendrier de révision</t>
  </si>
  <si>
    <t>Accessibilité de la politique de sécurité</t>
  </si>
  <si>
    <t>la politique est-elle accessible ?</t>
  </si>
  <si>
    <t>pas</t>
  </si>
  <si>
    <t>Preuve de publication (lien intranet)</t>
  </si>
  <si>
    <t>Politique ignorée ou inaccessible</t>
  </si>
  <si>
    <t>Manque de responsabilisation</t>
  </si>
  <si>
    <t>Assurer l’accès facile et permanent au document</t>
  </si>
  <si>
    <t>Vérifier qu’une démarche de mise en œuvre de la gestion de la sécurité est adoptée et compatible avec la culture de l'Organisation ;</t>
  </si>
  <si>
    <t>Existence d’un plan de mise en œuvre de la sécurité</t>
  </si>
  <si>
    <t>Un plan structuré est-il disponible ?</t>
  </si>
  <si>
    <t>Plan de sécurité</t>
  </si>
  <si>
    <t>Démarche non coordonnée</t>
  </si>
  <si>
    <t>Retards ou échec dans la sécurisation</t>
  </si>
  <si>
    <t>Élaborer un plan formel avec échéancier</t>
  </si>
  <si>
    <t>Affectation des responsabilités</t>
  </si>
  <si>
    <t>Les responsabilités sont-elles bien définies ?</t>
  </si>
  <si>
    <t>Organigramme ou matrice RACI</t>
  </si>
  <si>
    <t>Ambiguïté dans les actions</t>
  </si>
  <si>
    <t>Incohérences dans l’exécution des tâches</t>
  </si>
  <si>
    <t>Clarifier les rôles et responsabilités</t>
  </si>
  <si>
    <t>Pilotage et suivi de la mise en œuvre</t>
  </si>
  <si>
    <t>Existe-t-il un dispositif de suivi ?</t>
  </si>
  <si>
    <t>PV de réunions de suivi</t>
  </si>
  <si>
    <t>Manque de contrôle</t>
  </si>
  <si>
    <t>Dérives non détectées</t>
  </si>
  <si>
    <t>Instaurer un comité de pilotage</t>
  </si>
  <si>
    <t>Mesure de l’avancement</t>
  </si>
  <si>
    <t>L’avancement est-il mesuré avec des indicateurs ?</t>
  </si>
  <si>
    <t>Tableau de bord de suivi</t>
  </si>
  <si>
    <t>Aucune visibilité</t>
  </si>
  <si>
    <t>Objectifs non atteints ou dépassés</t>
  </si>
  <si>
    <t>Mettre en place des KPIs clairs</t>
  </si>
  <si>
    <t>Adaptation en fonction des écarts</t>
  </si>
  <si>
    <t>Le plan est-il ajusté selon les écarts constatés ?</t>
  </si>
  <si>
    <t>Stagnation ou répétition des erreurs</t>
  </si>
  <si>
    <t>Inefficacité durable des mesures</t>
  </si>
  <si>
    <t>Réaliser des ajustements à chaque cycle de suivi</t>
  </si>
  <si>
    <t>Vérifier que la direction assure un soutien total et un engagement visible pour la sécurité;</t>
  </si>
  <si>
    <t>Engagement officiel de la direction</t>
  </si>
  <si>
    <t>Une déclaration d’engagement est-elle disponible ?</t>
  </si>
  <si>
    <t>Déclaration ou charte de sécurité</t>
  </si>
  <si>
    <t>Manque d’implication visible</t>
  </si>
  <si>
    <t>Doute sur la légitimité des actions</t>
  </si>
  <si>
    <t>Rédiger une charte signée par la direction</t>
  </si>
  <si>
    <t>Ressources allouées à la sécurité</t>
  </si>
  <si>
    <t>Des moyens humains/financiers sont-ils dédiés ?</t>
  </si>
  <si>
    <t>Budget, fiches de poste</t>
  </si>
  <si>
    <t>Manque de moyens</t>
  </si>
  <si>
    <t>Projets sécurité non réalisés</t>
  </si>
  <si>
    <t>Allouer explicitement des ressources</t>
  </si>
  <si>
    <t>Intégration dans la stratégie globale</t>
  </si>
  <si>
    <t>La sécurité est-elle intégrée à la stratégie ?</t>
  </si>
  <si>
    <t>Plans stratégiques</t>
  </si>
  <si>
    <t>Sécurité perçue comme secondaire</t>
  </si>
  <si>
    <t>Décalage entre enjeux réels et décisions prises</t>
  </si>
  <si>
    <t>Aligner stratégie sécurité et stratégie d’entreprise</t>
  </si>
  <si>
    <t>Implication dans les comités</t>
  </si>
  <si>
    <t>La direction participe-t-elle aux comités ?</t>
  </si>
  <si>
    <t>Comptes-rendus</t>
  </si>
  <si>
    <t>Déconnexion hiérarchique</t>
  </si>
  <si>
    <t>Difficultés à faire remonter les besoins sécurité</t>
  </si>
  <si>
    <t>Impliquer activement la direction</t>
  </si>
  <si>
    <t>Communication de la vision sécurité</t>
  </si>
  <si>
    <t>La direction communique-t-elle sur ce sujet ?</t>
  </si>
  <si>
    <t>Extraits de communications</t>
  </si>
  <si>
    <t>Flou sur les priorités</t>
  </si>
  <si>
    <t>Résistance au changement chez les équipes</t>
  </si>
  <si>
    <t>Renforcer la communication interne</t>
  </si>
  <si>
    <t>Vérifier que les exigences de sécurité et les risques sont compris et évalués ;</t>
  </si>
  <si>
    <t>Formalisation des exigences de sécurité</t>
  </si>
  <si>
    <t>Les exigences de sécurité sont-elles documentées ?</t>
  </si>
  <si>
    <t>Cahier des charges / politique de sécurité</t>
  </si>
  <si>
    <t>Ambiguïté des attentes</t>
  </si>
  <si>
    <t>Implémentation incomplète ou inadéquate</t>
  </si>
  <si>
    <t>Rédiger un document formel des exigences</t>
  </si>
  <si>
    <t>Attribution des responsabilités</t>
  </si>
  <si>
    <t>Chaque exigence a-t-elle un responsable identifié ?</t>
  </si>
  <si>
    <t>Matrice des responsabilités</t>
  </si>
  <si>
    <t>Tâches non assumées</t>
  </si>
  <si>
    <t>Risques non traités correctement</t>
  </si>
  <si>
    <t>Affecter clairement chaque responsabilité</t>
  </si>
  <si>
    <t>Adéquation des responsabilités aux compétences</t>
  </si>
  <si>
    <t>Les personnes sont-elles formées ou compétentes ?</t>
  </si>
  <si>
    <t>CV / fiches de poste / formations</t>
  </si>
  <si>
    <t>Erreurs de gestion de la sécurité</t>
  </si>
  <si>
    <t>Décisions inadaptées ou non conformes</t>
  </si>
  <si>
    <t>Assurer une formation adaptée aux responsabilités</t>
  </si>
  <si>
    <t>Mise à jour des responsabilités</t>
  </si>
  <si>
    <t>Les responsabilités sont-elles révisées en cas de changement ?</t>
  </si>
  <si>
    <t>Historique des responsabilités</t>
  </si>
  <si>
    <t>Confusion lors des changements</t>
  </si>
  <si>
    <t>Zones de flou dans la couverture des risques</t>
  </si>
  <si>
    <t>Réviser les affectations à chaque changement organisationnel</t>
  </si>
  <si>
    <t>Communication des responsabilités</t>
  </si>
  <si>
    <t>Les responsabilités sont-elles connues par les intéressés ?</t>
  </si>
  <si>
    <t>Preuve de diffusion</t>
  </si>
  <si>
    <t>Responsabilités ignorées</t>
  </si>
  <si>
    <t>Non-respect des exigences de sécurité</t>
  </si>
  <si>
    <t>Communiquer et formaliser les rôles à tous les concernés</t>
  </si>
  <si>
    <t>Vérifier que l’ensemble des responsables et des employés sont sensibilisés et informés ;</t>
  </si>
  <si>
    <t>Sensibilisation des utilisateurs</t>
  </si>
  <si>
    <t>Une campagne de sensibilisation est-elle réalisée ?</t>
  </si>
  <si>
    <t>Planning de formation</t>
  </si>
  <si>
    <t>Méconnaissance des règles</t>
  </si>
  <si>
    <t>Failles de sécurité par négligence</t>
  </si>
  <si>
    <t>Mettre en place une sensibilisation régulière</t>
  </si>
  <si>
    <t>Participation des responsables métiers</t>
  </si>
  <si>
    <t>Les responsables métiers sont-ils intégrés aux projets ?</t>
  </si>
  <si>
    <t>PV de réunion, planning projet</t>
  </si>
  <si>
    <t>Solutions non adaptées au métier</t>
  </si>
  <si>
    <t>Rejet des mesures de sécurité</t>
  </si>
  <si>
    <t>Associer les métiers dès le début</t>
  </si>
  <si>
    <t>Existence d’une culture sécurité partagée</t>
  </si>
  <si>
    <t>La sécurité est-elle perçue comme une responsabilité partagée ?</t>
  </si>
  <si>
    <t>Enquête interne, charte</t>
  </si>
  <si>
    <t>Déresponsabilisation</t>
  </si>
  <si>
    <t>Climat de sécurité faible</t>
  </si>
  <si>
    <t>Renforcer la culture sécurité par la communication</t>
  </si>
  <si>
    <t>Réception des consignes de sécurité</t>
  </si>
  <si>
    <t>Les consignes sont-elles bien reçues et comprises ?</t>
  </si>
  <si>
    <t>Supports de formation, attestations</t>
  </si>
  <si>
    <t>Règles ignorées</t>
  </si>
  <si>
    <t>Comportements inappropriés</t>
  </si>
  <si>
    <t>Distribuer des supports simples et faire signer une attestation</t>
  </si>
  <si>
    <t>Implication dans les retours d’expérience</t>
  </si>
  <si>
    <t>Les utilisateurs participent-ils aux retours d’incidents ?</t>
  </si>
  <si>
    <t>Rapports d’incident</t>
  </si>
  <si>
    <t>Répétition des mêmes erreurs</t>
  </si>
  <si>
    <t>Mauvaise amélioration continue</t>
  </si>
  <si>
    <t>Organiser des feedbacks après incidents</t>
  </si>
  <si>
    <t>Vérifier que les lignes directrices de la politique de sécurité et des normes de sécurité de l'information sont distribuées à tous les employés et à tous les fournisseurs ;</t>
  </si>
  <si>
    <t>Existence d’un document de lignes directrices</t>
  </si>
  <si>
    <t>Les lignes directrices sont-elles formalisées ?</t>
  </si>
  <si>
    <t>Document politique de sécurité</t>
  </si>
  <si>
    <t>Absence de norme partagée</t>
  </si>
  <si>
    <t>Comportements incohérents</t>
  </si>
  <si>
    <t>Rédiger un document de référence clair et structuré</t>
  </si>
  <si>
    <t>Distribution aux employés</t>
  </si>
  <si>
    <t>Tous les employés ont-ils reçu ce document ?</t>
  </si>
  <si>
    <t>Journal de diffusion ou accusé</t>
  </si>
  <si>
    <t>Manque d'information</t>
  </si>
  <si>
    <t>Violations involontaires de sécurité</t>
  </si>
  <si>
    <t>Assurer une diffusion systématique</t>
  </si>
  <si>
    <t>Communication aux fournisseurs</t>
  </si>
  <si>
    <t>Les fournisseurs ont-ils également reçu les lignes ?</t>
  </si>
  <si>
    <t>Clauses des contrats fournisseurs</t>
  </si>
  <si>
    <t>Fournisseurs non conformes</t>
  </si>
  <si>
    <t>Failles externes</t>
  </si>
  <si>
    <t>Inclure la sécurité dans les obligations contractuelles</t>
  </si>
  <si>
    <t>Compréhension des destinataires</t>
  </si>
  <si>
    <t>Le contenu est-il compréhensible par tous ?</t>
  </si>
  <si>
    <t>Versions adaptées</t>
  </si>
  <si>
    <t>Incompréhension</t>
  </si>
  <si>
    <t>Mauvaise application des directives</t>
  </si>
  <si>
    <t>Adapter le contenu selon les profils des lecteurs</t>
  </si>
  <si>
    <t>Mise à jour des directives</t>
  </si>
  <si>
    <t>Le document est-il révisé régulièrement ?</t>
  </si>
  <si>
    <t>Historique des révisions</t>
  </si>
  <si>
    <t>Information obsolète</t>
  </si>
  <si>
    <t>Utilisation de règles dépassées</t>
  </si>
  <si>
    <t>Planifier une revue annuelle avec validation directionnelle</t>
  </si>
  <si>
    <t>Vérifier que les acteurs de la sécurité sont formés de manière appropriée ;</t>
  </si>
  <si>
    <t>Identification des acteurs</t>
  </si>
  <si>
    <t>Les acteurs sont-ils clairement identifiés ?</t>
  </si>
  <si>
    <t>Liste des profils / missions</t>
  </si>
  <si>
    <t>Oublis dans le périmètre</t>
  </si>
  <si>
    <t>Acteurs non formés</t>
  </si>
  <si>
    <t>Maintenir une cartographie des fonctions sensibles</t>
  </si>
  <si>
    <t>Plan de formation défini</t>
  </si>
  <si>
    <t>Existe-t-il un plan de formation spécifique ?</t>
  </si>
  <si>
    <t>Absence de montée en compétence</t>
  </si>
  <si>
    <t>Acteurs inopérants en cas de crise</t>
  </si>
  <si>
    <t>Définir un programme ciblé selon les rôles</t>
  </si>
  <si>
    <t>Fréquence des formations</t>
  </si>
  <si>
    <t xml:space="preserve"> les formations sont elles frequemment organiser ?</t>
  </si>
  <si>
    <t>Calendrier de formation</t>
  </si>
  <si>
    <t>Pertes de connaissances</t>
  </si>
  <si>
    <t>Répétition des erreurs</t>
  </si>
  <si>
    <t>Mettre en place des sessions régulières</t>
  </si>
  <si>
    <t>Validation des acquis</t>
  </si>
  <si>
    <t>Y a-t-il une évaluation des connaissances ?</t>
  </si>
  <si>
    <t>Fiches d’évaluation</t>
  </si>
  <si>
    <t>Formations non assimilées</t>
  </si>
  <si>
    <t>Fausses certitudes sur le niveau</t>
  </si>
  <si>
    <t>Évaluer les acquis et adapter les contenus</t>
  </si>
  <si>
    <t>Formation des nouveaux arrivants</t>
  </si>
  <si>
    <t>Les nouveaux sont-ils formés dès l’arrivée ?</t>
  </si>
  <si>
    <t>Procédure d’intégration</t>
  </si>
  <si>
    <t>Période vulnérable non couverte</t>
  </si>
  <si>
    <t>Risque immédiat d’incident</t>
  </si>
  <si>
    <t>Intégrer la sécurité dès l’accueil</t>
  </si>
  <si>
    <t>Vérifier qu’un système de mesure complet est mis en place afin d'évaluer l'efficacité de la gestion de la sécurité de l'information et pour collecter les suggestions d'amélioration.</t>
  </si>
  <si>
    <t>Indicateurs de performance définis</t>
  </si>
  <si>
    <t>Des KPI liés à la sécurité sont-ils en place ?</t>
  </si>
  <si>
    <t>Liste de KPIs</t>
  </si>
  <si>
    <t>Aucune mesure réelle</t>
  </si>
  <si>
    <t>Difficulté à évaluer les progrès</t>
  </si>
  <si>
    <t>Définir des KPI pertinents et mesurables</t>
  </si>
  <si>
    <t>Méthodes d’évaluation claires</t>
  </si>
  <si>
    <t>La méthode de mesure est-elle documentée ?</t>
  </si>
  <si>
    <t>Procédure de mesure</t>
  </si>
  <si>
    <t>Résultats non comparables</t>
  </si>
  <si>
    <t>Mauvaises décisions stratégiques</t>
  </si>
  <si>
    <t>Structurer la méthode de suivi</t>
  </si>
  <si>
    <t>Outils de mesure disponibles</t>
  </si>
  <si>
    <t>Des outils permettent-ils d’agréger les données ?</t>
  </si>
  <si>
    <t>Accès aux outils</t>
  </si>
  <si>
    <t>Mesures manuelles, erreurs</t>
  </si>
  <si>
    <t>Décalage entre les données et la réalité</t>
  </si>
  <si>
    <t>Mettre en place des outils de reporting automatisés</t>
  </si>
  <si>
    <t>Fréquence des mesures</t>
  </si>
  <si>
    <t xml:space="preserve"> les mesures sont-elles prises frequemment ?</t>
  </si>
  <si>
    <t>Suivi irrégulier</t>
  </si>
  <si>
    <t>Manque de réactivité</t>
  </si>
  <si>
    <t>Définir une fréquence régulière d’analyse</t>
  </si>
  <si>
    <t>Collecte de suggestions</t>
  </si>
  <si>
    <t>Les utilisateurs peuvent-ils proposer des améliorations ?</t>
  </si>
  <si>
    <t>Plateforme de feedback</t>
  </si>
  <si>
    <t>Rétroaction absente</t>
  </si>
  <si>
    <t>Manque d’évolution continue</t>
  </si>
  <si>
    <t>Créer un processus de remontée d’idées</t>
  </si>
  <si>
    <t>Politique de sécurité ;</t>
  </si>
  <si>
    <t>S’assurer qu’il existe une politique de sécurité formalisée avec une implication de la direction générale et une définition claire des responsabilités ;</t>
  </si>
  <si>
    <t>Politique de sécurité documentée</t>
  </si>
  <si>
    <t>Existe-t-il un document officiel ?</t>
  </si>
  <si>
    <t>Politique de sécurité</t>
  </si>
  <si>
    <t>Absence de cadre</t>
  </si>
  <si>
    <t>Incohérences dans les pratiques de sécurité</t>
  </si>
  <si>
    <t>Rédiger et formaliser une politique validée par la direction</t>
  </si>
  <si>
    <t>Approbation par la direction</t>
  </si>
  <si>
    <t>Le document est-il validé en haut niveau ?</t>
  </si>
  <si>
    <t>PV ou courriel d’approbation</t>
  </si>
  <si>
    <t>Politique non appliquée</t>
  </si>
  <si>
    <t>Perte de légitimité</t>
  </si>
  <si>
    <t>Impliquer la direction dans le processus</t>
  </si>
  <si>
    <t>Implication dans la gouvernance</t>
  </si>
  <si>
    <t>La direction participe-t-elle aux décisions sécurité ?</t>
  </si>
  <si>
    <t>Présence aux réunions</t>
  </si>
  <si>
    <t>Décalage stratégique</t>
  </si>
  <si>
    <t>Mauvais alignement sécurité / business</t>
  </si>
  <si>
    <t>Organiser des comités incluant les décideurs</t>
  </si>
  <si>
    <t>Responsabilités bien définies</t>
  </si>
  <si>
    <t>Les rôles sont-ils précisés dans la politique ?</t>
  </si>
  <si>
    <t>Organigramme, annexe</t>
  </si>
  <si>
    <t>Confusion dans la mise en œuvre</t>
  </si>
  <si>
    <t>Tâches critiques négligées</t>
  </si>
  <si>
    <t>Spécifier les responsabilités dans chaque domaine</t>
  </si>
  <si>
    <t>Accessibilité de la politique</t>
  </si>
  <si>
    <t>Le document est-il consultable par tous ?</t>
  </si>
  <si>
    <t>Lien de diffusion</t>
  </si>
  <si>
    <t>Manque d’information</t>
  </si>
  <si>
    <t>Non-application ou désengagement</t>
  </si>
  <si>
    <t>Assurer un accès simple et direct à la politique</t>
  </si>
  <si>
    <t>S’assurer que la communication se fait à tous les utilisateurs sous une forme pertinente, accessible et compréhensible au lecteur ;</t>
  </si>
  <si>
    <t>Formats de communication adaptés</t>
  </si>
  <si>
    <t>La forme est-elle compréhensible selon les publics ?</t>
  </si>
  <si>
    <t>Contenus adaptés</t>
  </si>
  <si>
    <t>Mauvaise application des consignes</t>
  </si>
  <si>
    <t>Adapter les formats selon le public cible</t>
  </si>
  <si>
    <t>Accessibilité à tout moment</t>
  </si>
  <si>
    <t>Les documents sont-ils consultables facilement ?</t>
  </si>
  <si>
    <t>Intranet, QR code</t>
  </si>
  <si>
    <t>Accès limité</t>
  </si>
  <si>
    <t>Informations ignorées</t>
  </si>
  <si>
    <t>Multiplier les canaux d’accès</t>
  </si>
  <si>
    <t>Diffusion multicanale</t>
  </si>
  <si>
    <t>Plusieurs canaux sont-ils utilisés ?</t>
  </si>
  <si>
    <t>Historique de diffusion</t>
  </si>
  <si>
    <t>Information manquée</t>
  </si>
  <si>
    <t>Oublis de communication</t>
  </si>
  <si>
    <t>Utiliser plusieurs moyens de diffusion</t>
  </si>
  <si>
    <t>Traces de communication</t>
  </si>
  <si>
    <t>Des preuves de communication sont-elles conservées ?</t>
  </si>
  <si>
    <t>Logs d’envoi, confirmations</t>
  </si>
  <si>
    <t>Aucune preuve en cas de litige</t>
  </si>
  <si>
    <t>Exiger une confirmation de réception</t>
  </si>
  <si>
    <t>Feedback des utilisateurs</t>
  </si>
  <si>
    <t>Peut-on vérifier que le message est compris ?</t>
  </si>
  <si>
    <t>Résultats de test, sondages</t>
  </si>
  <si>
    <t>Perception erronée</t>
  </si>
  <si>
    <t>Application erronée des consignes</t>
  </si>
  <si>
    <t>Intégrer une vérification post-diffusion</t>
  </si>
  <si>
    <t>S’assurer qu’une revue régulière de la politique est réalisée afin de vérifier son adéquation avec ;</t>
  </si>
  <si>
    <t>Périodicité définie</t>
  </si>
  <si>
    <t>La fréquence de revue est-elle formalisée ?</t>
  </si>
  <si>
    <t>Planning / procédure</t>
  </si>
  <si>
    <t>Oubli de révision</t>
  </si>
  <si>
    <t>Formaliser un calendrier de révision</t>
  </si>
  <si>
    <t>Responsabilités désignées</t>
  </si>
  <si>
    <t>un responsables a t-ils été designees ?</t>
  </si>
  <si>
    <t>PV de réunions</t>
  </si>
  <si>
    <t>Pas de pilote</t>
  </si>
  <si>
    <t>Revue non effectuée</t>
  </si>
  <si>
    <t>Désigner une équipe responsable</t>
  </si>
  <si>
    <t>Suivi des évolutions réglementaires et techniques</t>
  </si>
  <si>
    <t>Les évolutions sont-elles prises en compte ?</t>
  </si>
  <si>
    <t>Liste des changements</t>
  </si>
  <si>
    <t>Inadéquation</t>
  </si>
  <si>
    <t>Non-conformité, risque accru</t>
  </si>
  <si>
    <t>Mettre en place une veille régulière</t>
  </si>
  <si>
    <t>Traçabilité des révisions</t>
  </si>
  <si>
    <t>Les revues sont-elles archivées ?</t>
  </si>
  <si>
    <t>Historique des versions</t>
  </si>
  <si>
    <t>Absence de preuve</t>
  </si>
  <si>
    <t>Conflit lors d’un audit</t>
  </si>
  <si>
    <t>Conserver un registre daté et horodaté</t>
  </si>
  <si>
    <t>Intégration du retour terrain</t>
  </si>
  <si>
    <t>Les retours des utilisateurs sont-ils intégrés ?</t>
  </si>
  <si>
    <t>Comptes-rendus, enquêtes</t>
  </si>
  <si>
    <t>Politique déconnectée</t>
  </si>
  <si>
    <t>Rejet de la politique</t>
  </si>
  <si>
    <t>Impliquer les métiers dans les ajustements</t>
  </si>
  <si>
    <t>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t>
  </si>
  <si>
    <t>Étendue du périmètre de sécurité</t>
  </si>
  <si>
    <t>Le périmètre couvre-t-il tous les équipements ?</t>
  </si>
  <si>
    <t>Cartographie des équipements</t>
  </si>
  <si>
    <t>Périmètre incomplet</t>
  </si>
  <si>
    <t>Failles sur des équipements non pris en compte</t>
  </si>
  <si>
    <t>Définir un périmètre exhaustif</t>
  </si>
  <si>
    <t>Intégration des systèmes techniques</t>
  </si>
  <si>
    <t>Les équipements techniques (ex. GTB, badgeuse) sont-ils inclus ?</t>
  </si>
  <si>
    <t>Liste des équipements non IT classiques</t>
  </si>
  <si>
    <t>Oubli de systèmes critiques</t>
  </si>
  <si>
    <t>Risques physiques ou organisationnels</t>
  </si>
  <si>
    <t>Étendre la sécurité aux systèmes techniques</t>
  </si>
  <si>
    <t>Prise en compte de l’IoT</t>
  </si>
  <si>
    <t>L’IoT est-il intégré dans les politiques de sécurité ?</t>
  </si>
  <si>
    <t>Analyse de risques spécifiques</t>
  </si>
  <si>
    <t>Intrusions via objets connectés</t>
  </si>
  <si>
    <t>Failles invisibles</t>
  </si>
  <si>
    <t>Adapter les règles aux objets connectés</t>
  </si>
  <si>
    <t>Niveau de contrôle homogène</t>
  </si>
  <si>
    <t>Le niveau de contrôle est-il le même pour tous les actifs ?</t>
  </si>
  <si>
    <t>Politique de traitement par niveau</t>
  </si>
  <si>
    <t>Contrôles incohérents</t>
  </si>
  <si>
    <t>Zones vulnérables</t>
  </si>
  <si>
    <t>Harmoniser les mesures de sécurité par type d’actif</t>
  </si>
  <si>
    <t>Revue des nouveaux types de technologies</t>
  </si>
  <si>
    <t>Des revues sont-elles faites lors de l’ajout d’un nouveau type ?</t>
  </si>
  <si>
    <t>Absence de couverture</t>
  </si>
  <si>
    <t>Risque non anticipé</t>
  </si>
  <si>
    <t>Mettre à jour le périmètre à chaque nouveauté technologique</t>
  </si>
  <si>
    <t>Organisation de la sécurité ;</t>
  </si>
  <si>
    <t>S’assurer qu’il existe une structure dédiée à la gestion de la sécurité de l'information : un comité sécurité, un responsable de la sécurité du système d'information (RSSI) et des correspondants sécurité dans les unités ;</t>
  </si>
  <si>
    <t>Existence d’un RSSI nommé</t>
  </si>
  <si>
    <t>Un RSSI a-t-il été désigné ?</t>
  </si>
  <si>
    <t>Organigramme, fiche de poste</t>
  </si>
  <si>
    <t>Absence de pilotage</t>
  </si>
  <si>
    <t>Coordination inefficace</t>
  </si>
  <si>
    <t>Nommer formellement un RSSI</t>
  </si>
  <si>
    <t>Fonctionnement d’un comité sécurité</t>
  </si>
  <si>
    <t>Le comité se réunit-il régulièrement ?</t>
  </si>
  <si>
    <t>Manque de concertation</t>
  </si>
  <si>
    <t>Mauvaise remontée des incidents</t>
  </si>
  <si>
    <t>Structurer un comité interdisciplinaire</t>
  </si>
  <si>
    <t>Désignation de correspondants sécurité</t>
  </si>
  <si>
    <t>Des relais locaux sont-ils identifiés ?</t>
  </si>
  <si>
    <t>Liste des correspondants</t>
  </si>
  <si>
    <t>Centralisation excessive</t>
  </si>
  <si>
    <t>Réponses locales lentes</t>
  </si>
  <si>
    <t>Former des correspondants dans chaque unité</t>
  </si>
  <si>
    <t>Autonomie et ressources de la structure</t>
  </si>
  <si>
    <t>La structure a-t-elle les moyens de fonctionner ?</t>
  </si>
  <si>
    <t>Budget, outils, moyens humains</t>
  </si>
  <si>
    <t>Structure symbolique</t>
  </si>
  <si>
    <t>Politique inefficace</t>
  </si>
  <si>
    <t>Doter la structure de ressources propres</t>
  </si>
  <si>
    <t>Intégration dans la gouvernance globale</t>
  </si>
  <si>
    <t>La sécurité est-elle intégrée dans les projets stratégiques ?</t>
  </si>
  <si>
    <t>Documentation projet</t>
  </si>
  <si>
    <t>Sécurité à postériori</t>
  </si>
  <si>
    <t>Réactions au lieu d’anticipation</t>
  </si>
  <si>
    <t>Faire intervenir la structure dès la phase de conception</t>
  </si>
  <si>
    <t>Vérifier qu’il y a une attribution claire des responsabilités ;</t>
  </si>
  <si>
    <t>Les rôles sont-ils formellement définis ?</t>
  </si>
  <si>
    <t>Confusion sur les responsabilités</t>
  </si>
  <si>
    <t>Erreurs ou oublis dans la sécurité</t>
  </si>
  <si>
    <t>Clarifier les rôles dans les documents internes</t>
  </si>
  <si>
    <t>Les responsabilités sont-elles mises à jour ?</t>
  </si>
  <si>
    <t>Historique des changements</t>
  </si>
  <si>
    <t>Rôles obsolètes</t>
  </si>
  <si>
    <t>Tâches critiques non assurées</t>
  </si>
  <si>
    <t>Mettre à jour systématiquement après chaque réorganisation</t>
  </si>
  <si>
    <t>Diffusion des responsabilités</t>
  </si>
  <si>
    <t>Les personnels connaissent-ils leurs responsabilités ?</t>
  </si>
  <si>
    <t>Traces de sensibilisation</t>
  </si>
  <si>
    <t>Manque d’appropriation</t>
  </si>
  <si>
    <t>Intégrer cette info dans les sessions de formation</t>
  </si>
  <si>
    <t>Responsabilités interservices coordonnées</t>
  </si>
  <si>
    <t>Les interactions sont-elles définies entre services ?</t>
  </si>
  <si>
    <t>Matrice RACI, procédures collaboratives</t>
  </si>
  <si>
    <t>Zones grises</t>
  </si>
  <si>
    <t>Problèmes de coordination</t>
  </si>
  <si>
    <t>Clarifier les interfaces entre les unités</t>
  </si>
  <si>
    <t>Responsabilité en cas d’incident</t>
  </si>
  <si>
    <t>Les responsables sont-ils identifiés en cas d’incident ?</t>
  </si>
  <si>
    <t>Plan de réponse aux incidents</t>
  </si>
  <si>
    <t>Aucune réaction coordonnée</t>
  </si>
  <si>
    <t>Allongement du temps de réponse</t>
  </si>
  <si>
    <t>Attribuer un rôle précis pour chaque type d’incident</t>
  </si>
  <si>
    <t>S’assurer qu’un propriétaire est désigné, il est responsable de la mise en œuvre et du suivi des évolutions à apporter ;</t>
  </si>
  <si>
    <t>Propriétaires désignés pour chaque actif</t>
  </si>
  <si>
    <t>Chaque actif a-t-il un propriétaire identifié ?</t>
  </si>
  <si>
    <t>Liste des actifs et responsables</t>
  </si>
  <si>
    <t>Aucune responsabilité</t>
  </si>
  <si>
    <t>Actifs non protégés ou négligés</t>
  </si>
  <si>
    <t>Nommer un propriétaire pour chaque actif</t>
  </si>
  <si>
    <t>Responsabilité de suivi des évolutions</t>
  </si>
  <si>
    <t>Le propriétaire suit-il les évolutions ?</t>
  </si>
  <si>
    <t>Documents de suivi</t>
  </si>
  <si>
    <t>Suivi non réalisé</t>
  </si>
  <si>
    <t>Perte de traçabilité</t>
  </si>
  <si>
    <t>Responsabiliser via des indicateurs de suivi</t>
  </si>
  <si>
    <t>Délégation de responsabilités</t>
  </si>
  <si>
    <t>En cas d’absence, une relève est-elle prévue ?</t>
  </si>
  <si>
    <t>Nomination de suppléants</t>
  </si>
  <si>
    <t>Rupture de suivi</t>
  </si>
  <si>
    <t>Tâches critiques en suspens</t>
  </si>
  <si>
    <t>Mettre en place un mécanisme de délégation</t>
  </si>
  <si>
    <t>Référencement dans les documents de gouvernance</t>
  </si>
  <si>
    <t>Le propriétaire est-il mentionné dans la documentation ?</t>
  </si>
  <si>
    <t>Documents à jour</t>
  </si>
  <si>
    <t>Responsabilité non formalisée</t>
  </si>
  <si>
    <t>Conflits ou litiges</t>
  </si>
  <si>
    <t>Inscrire les noms dans tous les documents clés</t>
  </si>
  <si>
    <t>Coordination avec les équipes sécurité</t>
  </si>
  <si>
    <t>Le propriétaire collabore-t-il avec le RSSI ?</t>
  </si>
  <si>
    <t>Travail en silo</t>
  </si>
  <si>
    <t>Encourager la collaboration continue</t>
  </si>
  <si>
    <t>S’assurer qu’il existe des procédures d'autorisation de nouveaux matériels ou logiciels ;</t>
  </si>
  <si>
    <t>Procédure documentée</t>
  </si>
  <si>
    <t>Une procédure est-elle en place pour valider les ajouts ?</t>
  </si>
  <si>
    <t>Procédure complète</t>
  </si>
  <si>
    <t>Installation sauvage</t>
  </si>
  <si>
    <t>Introduction de failles</t>
  </si>
  <si>
    <t>Mettre à jour et diffuser la procédure</t>
  </si>
  <si>
    <t>Approbation de la DSI/RSSI obligatoire</t>
  </si>
  <si>
    <t>L’autorisation passe-t-elle par les bons canaux ?</t>
  </si>
  <si>
    <t>Documents de validation</t>
  </si>
  <si>
    <t>Contournement</t>
  </si>
  <si>
    <t>Incohérences avec la stratégie</t>
  </si>
  <si>
    <t>Exiger la validation centralisée</t>
  </si>
  <si>
    <t>Tests de compatibilité/sécurité</t>
  </si>
  <si>
    <t>Les nouveaux outils sont-ils testés avant installation ?</t>
  </si>
  <si>
    <t>Compte-rendu de test</t>
  </si>
  <si>
    <t>Incompatibilités</t>
  </si>
  <si>
    <t>Dysfonctionnements ou conflits logiciels</t>
  </si>
  <si>
    <t>Étendre les tests à chaque ajout</t>
  </si>
  <si>
    <t>Documentation de l’évaluation des risques</t>
  </si>
  <si>
    <t>Une analyse de risque est-elle faite ?</t>
  </si>
  <si>
    <t>Fiche d’évaluation des risques</t>
  </si>
  <si>
    <t>Risques non identifiés</t>
  </si>
  <si>
    <t>Sécurité affaiblie</t>
  </si>
  <si>
    <t>Intégrer cette étape dans tout projet</t>
  </si>
  <si>
    <t>Communication aux utilisateurs</t>
  </si>
  <si>
    <t>Les utilisateurs sont-ils informés des changements ?</t>
  </si>
  <si>
    <t>Traçabilité de la communication</t>
  </si>
  <si>
    <t>Confusion</t>
  </si>
  <si>
    <t>Mauvaise prise en main</t>
  </si>
  <si>
    <t>Informer systématiquement les utilisateurs</t>
  </si>
  <si>
    <t>S’assurer qu’il existe des procédures applicables à l'accès aux informations de l'organisation par des tiers ;</t>
  </si>
  <si>
    <t>Procédure de gestion des accès tiers</t>
  </si>
  <si>
    <t>Existe-t-il un processus pour les accès tiers ?</t>
  </si>
  <si>
    <t>Procédure détaillée</t>
  </si>
  <si>
    <t>Accès non contrôlé</t>
  </si>
  <si>
    <t>Divulgation d'informations sensibles</t>
  </si>
  <si>
    <t>Mettre à jour la procédure pour les tiers</t>
  </si>
  <si>
    <t>Autorisation formelle</t>
  </si>
  <si>
    <t>L’accès est-il validé formellement par un responsable ?</t>
  </si>
  <si>
    <t>Demandes et validations archivées</t>
  </si>
  <si>
    <t>Usurpation d’identité</t>
  </si>
  <si>
    <t>Fuite ou vol de données</t>
  </si>
  <si>
    <t>Exiger une double validation</t>
  </si>
  <si>
    <t>Restriction des droits</t>
  </si>
  <si>
    <t>Les droits sont-ils limités au strict nécessaire ?</t>
  </si>
  <si>
    <t>Liste des droits attribués</t>
  </si>
  <si>
    <t>Trop de privilèges</t>
  </si>
  <si>
    <t>Détournement de données</t>
  </si>
  <si>
    <t>Appliquer le principe du moindre privilège</t>
  </si>
  <si>
    <t>Traçabilité des connexions</t>
  </si>
  <si>
    <t>Les connexions sont-elles tracées ?</t>
  </si>
  <si>
    <t>Journaux d’audit</t>
  </si>
  <si>
    <t>Aucune preuve en cas d’incident</t>
  </si>
  <si>
    <t>Absence de responsabilité</t>
  </si>
  <si>
    <t>Mettre en place des systèmes de journalisation</t>
  </si>
  <si>
    <t>Clôture des accès</t>
  </si>
  <si>
    <t>Y a-t-il une procédure de retrait en fin de mission ?</t>
  </si>
  <si>
    <t>Liste des désactivations</t>
  </si>
  <si>
    <t>Accès post-contrat</t>
  </si>
  <si>
    <t>Accès illégitime après départ</t>
  </si>
  <si>
    <t>Automatiser la désactivation en fin de prestation</t>
  </si>
  <si>
    <t>S’assurer que des modalités de protection de l'information confiée à des sous-traitants existent ;</t>
  </si>
  <si>
    <t>Clauses contractuelles de sécurité</t>
  </si>
  <si>
    <t>Les contrats incluent-ils des exigences de sécurité ?</t>
  </si>
  <si>
    <t>Modèle de contrat, SLA</t>
  </si>
  <si>
    <t>Failles via prestataires</t>
  </si>
  <si>
    <t>Perte de données, non-conformité RGPD</t>
  </si>
  <si>
    <t>Intégrer systématiquement les clauses SSI</t>
  </si>
  <si>
    <t>Évaluation des sous-traitants</t>
  </si>
  <si>
    <t>Sont-ils évalués avant collaboration ?</t>
  </si>
  <si>
    <t>Fiche d’évaluation</t>
  </si>
  <si>
    <t>Sous-traitant non fiable</t>
  </si>
  <si>
    <t>Risques non maîtrisés</t>
  </si>
  <si>
    <t>Évaluer systématiquement les sous-traitants</t>
  </si>
  <si>
    <t>Confidentialité et engagements formalisés</t>
  </si>
  <si>
    <t>Signent-ils une NDA ?</t>
  </si>
  <si>
    <t>NDA signée</t>
  </si>
  <si>
    <t>Fuite d'information</t>
  </si>
  <si>
    <t>Risques juridiques</t>
  </si>
  <si>
    <t>Exiger des engagements écrits</t>
  </si>
  <si>
    <t>Accès limité aux seules données nécessaires</t>
  </si>
  <si>
    <t>L'accès est-il restreint ?</t>
  </si>
  <si>
    <t>Profil d’accès</t>
  </si>
  <si>
    <t>Trop large accès</t>
  </si>
  <si>
    <t>Utilisation abusive</t>
  </si>
  <si>
    <t>Appliquer le principe du besoin d’en connaître</t>
  </si>
  <si>
    <t>Suivi post-collaboration</t>
  </si>
  <si>
    <t>Que se passe-t-il à la fin du contrat ?</t>
  </si>
  <si>
    <t>PV de restitution</t>
  </si>
  <si>
    <t>Données conservées</t>
  </si>
  <si>
    <t>Perte de maîtrise sur l’info</t>
  </si>
  <si>
    <t>Imposer la traçabilité de fin de collaboration</t>
  </si>
  <si>
    <t>Vérifier qu'il existe des modalités de réaction aux incidents de sécurité et aux défauts de fonctionnement ;</t>
  </si>
  <si>
    <t>Procédure formalisée de gestion d’incidents</t>
  </si>
  <si>
    <t>Existe-t-il une procédure ?</t>
  </si>
  <si>
    <t>Document de gestion des incidents</t>
  </si>
  <si>
    <t>Réaction aléatoire</t>
  </si>
  <si>
    <t>Allongement ou aggravation de la crise</t>
  </si>
  <si>
    <t>Créer et diffuser une procédure claire</t>
  </si>
  <si>
    <t>Canaux de remontée connus</t>
  </si>
  <si>
    <t>Les utilisateurs savent-ils comment signaler ?</t>
  </si>
  <si>
    <t>Support et FAQ</t>
  </si>
  <si>
    <t>Non-remontée</t>
  </si>
  <si>
    <t>Incident non traité à temps</t>
  </si>
  <si>
    <t>Sensibiliser sur les canaux de signalement</t>
  </si>
  <si>
    <t>Traçabilité et journalisation</t>
  </si>
  <si>
    <t>Les incidents sont-ils tracés ?</t>
  </si>
  <si>
    <t>Registre et logs</t>
  </si>
  <si>
    <t>Absence d’historique</t>
  </si>
  <si>
    <t>Reproduction des erreurs</t>
  </si>
  <si>
    <t>Conserver un historique complet</t>
  </si>
  <si>
    <t>Répartition des responsabilités</t>
  </si>
  <si>
    <t>Qui traite les incidents ?</t>
  </si>
  <si>
    <t>Liste des rôles</t>
  </si>
  <si>
    <t>Manque de coordination</t>
  </si>
  <si>
    <t>Mauvaise gestion du temps</t>
  </si>
  <si>
    <t>Définir un plan d’action par type d’incident</t>
  </si>
  <si>
    <t>Bilan et retour d’expérience (REX)</t>
  </si>
  <si>
    <t>Y a-t-il une analyse post-incident ?</t>
  </si>
  <si>
    <t>Rapports de REX</t>
  </si>
  <si>
    <t>Reproduction des incidents</t>
  </si>
  <si>
    <t>Apprentissage non capitalisé</t>
  </si>
  <si>
    <t>Rendre obligatoire un retour post-incident</t>
  </si>
  <si>
    <t>S’assure qu’il existe une revue régulière de la sécurité par des audits aussi bien internes qu'externes.</t>
  </si>
  <si>
    <t>Plan d’audit défini</t>
  </si>
  <si>
    <t>Y a-t-il une planification annuelle des audits ?</t>
  </si>
  <si>
    <t>Planning d’audit</t>
  </si>
  <si>
    <t>Audits oubliés</t>
  </si>
  <si>
    <t>Dérives non identifiées</t>
  </si>
  <si>
    <t>Élaborer un programme d’audit annuel</t>
  </si>
  <si>
    <t>Audits internes réalisés régulièrement</t>
  </si>
  <si>
    <t>Sont-ils effectivement réalisés ?</t>
  </si>
  <si>
    <t>Vérification symbolique</t>
  </si>
  <si>
    <t>Fausses impressions de conformité</t>
  </si>
  <si>
    <t>Respecter la fréquence prévue</t>
  </si>
  <si>
    <t>Auditeurs qualifiés</t>
  </si>
  <si>
    <t>Les audits sont-ils réalisés par des personnes compétentes ?</t>
  </si>
  <si>
    <t>CV, habilitations</t>
  </si>
  <si>
    <t>Manque de pertinence</t>
  </si>
  <si>
    <t>Résultats contestables</t>
  </si>
  <si>
    <t>Recourir à des experts certifiés</t>
  </si>
  <si>
    <t>Les constats donnent-ils lieu à actions ?</t>
  </si>
  <si>
    <t>Tableaux de suivi</t>
  </si>
  <si>
    <t>Audit inutile</t>
  </si>
  <si>
    <t>Amélioration impossible</t>
  </si>
  <si>
    <t>Mettre en œuvre et suivre les plans d’action</t>
  </si>
  <si>
    <t>Audit externe périodique</t>
  </si>
  <si>
    <t>Une vérification indépendante est-elle faite ?</t>
  </si>
  <si>
    <t>Contrats et rapports d’experts</t>
  </si>
  <si>
    <t>Vision biaisée</t>
  </si>
  <si>
    <t>Conformité perçue, non réelle</t>
  </si>
  <si>
    <t>Maintenir une fréquence régulière des audits externes</t>
  </si>
  <si>
    <t>Classification et contrôle des actifs ;</t>
  </si>
  <si>
    <t>Vérifier que les actifs sont inventoriés et hiérarchisés par valeur pour l'organisation ;</t>
  </si>
  <si>
    <t>Inventaire exhaustif des actifs</t>
  </si>
  <si>
    <t>Tous les actifs sont-ils identifiés ?</t>
  </si>
  <si>
    <t>Base de données</t>
  </si>
  <si>
    <t>Actifs oubliés</t>
  </si>
  <si>
    <t>Actifs non protégés</t>
  </si>
  <si>
    <t>Mettre à jour régulièrement l’inventaire</t>
  </si>
  <si>
    <t>Classement par criticité</t>
  </si>
  <si>
    <t>Les actifs sont-ils classés par importance ?</t>
  </si>
  <si>
    <t>Matrice de criticité</t>
  </si>
  <si>
    <t>Priorisation erronée</t>
  </si>
  <si>
    <t>Mauvaise allocation de ressources</t>
  </si>
  <si>
    <t>Définir une échelle de valeur claire</t>
  </si>
  <si>
    <t>Attribution de propriétaires</t>
  </si>
  <si>
    <t>Chaque actif a-t-il un responsable ?</t>
  </si>
  <si>
    <t>Registre des responsabilités</t>
  </si>
  <si>
    <t>Actifs sans suivi</t>
  </si>
  <si>
    <t>Décisions inefficaces</t>
  </si>
  <si>
    <t>Nommer un responsable par actif</t>
  </si>
  <si>
    <t>L’inventaire est-il révisé ?</t>
  </si>
  <si>
    <t>Informations obsolètes</t>
  </si>
  <si>
    <t>Gestion basée sur des données fausses</t>
  </si>
  <si>
    <t>Intégrer la révision dans la gouvernance IT</t>
  </si>
  <si>
    <t>Accessibilité contrôlée</t>
  </si>
  <si>
    <t>Les acces sont elles controlees</t>
  </si>
  <si>
    <t>Non</t>
  </si>
  <si>
    <t>Droits d’accès</t>
  </si>
  <si>
    <t>Altérations</t>
  </si>
  <si>
    <t>Manipulation de données</t>
  </si>
  <si>
    <t>Sécuriser les accès à l’inventaire</t>
  </si>
  <si>
    <t>Vérifier que pour tout actif important, un propriétaire est désigné et informé de ses responsabilités ;</t>
  </si>
  <si>
    <t>Existence d’un registre des actifs désignant les propriétaires</t>
  </si>
  <si>
    <t>Un registre des actifs avec les noms des propriétaires est-il maintenu ?</t>
  </si>
  <si>
    <t>Registre à jour, responsabilités clairement définies</t>
  </si>
  <si>
    <t>Actifs non gérés ou oubliés</t>
  </si>
  <si>
    <t>Perte de contrôle, non-conformité</t>
  </si>
  <si>
    <t>Mettre à jour et valider régulièrement le registre des actifs</t>
  </si>
  <si>
    <t>Communication des responsabilités au propriétaire</t>
  </si>
  <si>
    <t>Les propriétaires sont-ils informés de leurs responsabilités ?</t>
  </si>
  <si>
    <t>Preuves de communication (emails, réunions)</t>
  </si>
  <si>
    <t>Responsabilités floues</t>
  </si>
  <si>
    <t>Confusion en cas d'incident</t>
  </si>
  <si>
    <t>Établir un processus formel de notification</t>
  </si>
  <si>
    <t>Suivi de la désignation des propriétaires</t>
  </si>
  <si>
    <t>Existe-t-il un processus de suivi des désignations ?</t>
  </si>
  <si>
    <t>Procédure de suivi, logs de changements</t>
  </si>
  <si>
    <t>Changements non reflétés</t>
  </si>
  <si>
    <t>Défaut de responsabilité</t>
  </si>
  <si>
    <t>Mettre en place des contrôles réguliers</t>
  </si>
  <si>
    <t>Revue régulière des propriétaires d’actifs</t>
  </si>
  <si>
    <t>Les propriétaires sont-ils réévalués régulièrement ?</t>
  </si>
  <si>
    <t>Calendrier de revue, rapports</t>
  </si>
  <si>
    <t>Propriétaires obsolètes</t>
  </si>
  <si>
    <t>Actifs non surveillés</t>
  </si>
  <si>
    <t>Automatiser la notification pour la revue périodique</t>
  </si>
  <si>
    <t>Formation des propriétaires d’actifs</t>
  </si>
  <si>
    <t>Les propriétaires reçoivent-ils une formation ?</t>
  </si>
  <si>
    <t>Attestations de formation, modules disponibles</t>
  </si>
  <si>
    <t>Mauvaise gestion</t>
  </si>
  <si>
    <t>Erreurs, mauvaise protection</t>
  </si>
  <si>
    <t>Inclure la gestion des actifs dans les parcours de formation</t>
  </si>
  <si>
    <t>Vérifier qu'il existe un système de classification qui définit un ensemble approprié de niveaux de protection ;</t>
  </si>
  <si>
    <t>Existence de niveaux de classification</t>
  </si>
  <si>
    <t>Un système est-il défini ?</t>
  </si>
  <si>
    <t>Politique de classification</t>
  </si>
  <si>
    <t>Absence de tri</t>
  </si>
  <si>
    <t>Informations critiques mal protégées</t>
  </si>
  <si>
    <t>Définir et formaliser une grille de classification</t>
  </si>
  <si>
    <t>Appartenance des données à un niveau</t>
  </si>
  <si>
    <t>Chaque document est-il classé ?</t>
  </si>
  <si>
    <t>Marquage sur les fichiers</t>
  </si>
  <si>
    <t>Confusion des utilisateurs</t>
  </si>
  <si>
    <t>Traitement inadapté</t>
  </si>
  <si>
    <t>Forcer le marquage automatique à la création</t>
  </si>
  <si>
    <t>Formation des utilisateurs</t>
  </si>
  <si>
    <t>Sont-ils formés au système ?</t>
  </si>
  <si>
    <t>Registre de formation</t>
  </si>
  <si>
    <t>Mauvaise utilisation</t>
  </si>
  <si>
    <t>Données mal gérées</t>
  </si>
  <si>
    <t>Intégrer la classification dans la formation SSI</t>
  </si>
  <si>
    <t>Mise à jour de la classification</t>
  </si>
  <si>
    <t>Est-elle révisée au fil du temps ?</t>
  </si>
  <si>
    <t>Historique de reclassement</t>
  </si>
  <si>
    <t>Données mal classées</t>
  </si>
  <si>
    <t>Risque d’accès non conforme</t>
  </si>
  <si>
    <t>Prévoir des campagnes de revalidation régulières</t>
  </si>
  <si>
    <t>Intégration dans les systèmes informatiques</t>
  </si>
  <si>
    <t>Est-elle prise en compte dans les outils ?</t>
  </si>
  <si>
    <t>Paramètres DLP</t>
  </si>
  <si>
    <t>Bypass facile</t>
  </si>
  <si>
    <t>Fuite ou perte de données</t>
  </si>
  <si>
    <t>Interfacer la classification avec les outils bureautiques</t>
  </si>
  <si>
    <t>Vérifier que chaque actif a fait l'objet d'une étude visant à déterminer son niveau de classification.</t>
  </si>
  <si>
    <t>Étude de sensibilité des actifs</t>
  </si>
  <si>
    <t>Une analyse de la criticité des actifs est-elle réalisée ?</t>
  </si>
  <si>
    <t>Rapports d’analyse</t>
  </si>
  <si>
    <t>Risques accrus de compromission</t>
  </si>
  <si>
    <t>Mener une analyse pour chaque actif</t>
  </si>
  <si>
    <t>Documentation de l’analyse</t>
  </si>
  <si>
    <t>L’étude est-elle formellement documentée ?</t>
  </si>
  <si>
    <t>Dossier d’analyse</t>
  </si>
  <si>
    <t>Difficultés en audit ou incident</t>
  </si>
  <si>
    <t>Formaliser toutes les évaluations</t>
  </si>
  <si>
    <t>Méthodologie utilisée</t>
  </si>
  <si>
    <t>Une méthode standard est-elle utilisée ?</t>
  </si>
  <si>
    <t>Méthodologie de classification</t>
  </si>
  <si>
    <t>Incohérence des niveaux</t>
  </si>
  <si>
    <t>Confusion, erreurs</t>
  </si>
  <si>
    <t>Utiliser des normes ou méthodes éprouvées</t>
  </si>
  <si>
    <t>Implication des responsables d’actifs</t>
  </si>
  <si>
    <t>Les propriétaires d’actifs participent-ils à l’évaluation ?</t>
  </si>
  <si>
    <t>Comptes rendus de réunion</t>
  </si>
  <si>
    <t>Données mal estimées</t>
  </si>
  <si>
    <t>Classification inadaptée</t>
  </si>
  <si>
    <t>Impliquer systématiquement les responsables</t>
  </si>
  <si>
    <t>Révision périodique</t>
  </si>
  <si>
    <t>La classification est-elle revue régulièrement ?</t>
  </si>
  <si>
    <t>Calendrier de révision</t>
  </si>
  <si>
    <t>Données obsolètes</t>
  </si>
  <si>
    <t>Mauvaise protection</t>
  </si>
  <si>
    <t>Réaliser une revue annuelle ou selon les changements</t>
  </si>
  <si>
    <t>Sécurité du personnel ;</t>
  </si>
  <si>
    <t>Vérifier que les postes et les ressources sont définis ;</t>
  </si>
  <si>
    <t>Les responsabilités de chaque poste sont-elles définies ?</t>
  </si>
  <si>
    <t>Ambiguïtés de rôle</t>
  </si>
  <si>
    <t>Tâches mal réalisées</t>
  </si>
  <si>
    <t>Créer et maintenir des fiches de poste</t>
  </si>
  <si>
    <t>Description des ressources nécessaires</t>
  </si>
  <si>
    <t>Les ressources nécessaires sont-elles identifiées pour chaque poste ?</t>
  </si>
  <si>
    <t>Pas</t>
  </si>
  <si>
    <t>Tableaux de ressources</t>
  </si>
  <si>
    <t>Inefficacité, erreurs</t>
  </si>
  <si>
    <t>Évaluer les besoins poste par poste</t>
  </si>
  <si>
    <t>Mise à disposition des ressources</t>
  </si>
  <si>
    <t>Les ressources sont-elles effectivement mises à disposition ?</t>
  </si>
  <si>
    <t>Registre de dotation</t>
  </si>
  <si>
    <t>Outils manquants</t>
  </si>
  <si>
    <t>Travail inefficace ou non sécurisé</t>
  </si>
  <si>
    <t>Assurer la fourniture rapide et adaptée</t>
  </si>
  <si>
    <t>Cohérence entre rôle et ressource</t>
  </si>
  <si>
    <t>Y a-t-il une adéquation entre responsabilités et outils fournis ?</t>
  </si>
  <si>
    <t>Audit interne RH/SI</t>
  </si>
  <si>
    <t>Outils mal utilisés</t>
  </si>
  <si>
    <t>Mauvaise exécution des tâches</t>
  </si>
  <si>
    <t>Réaligner les ressources avec les fonctions</t>
  </si>
  <si>
    <t>Révision périodique des postes</t>
  </si>
  <si>
    <t>Une revue des définitions de poste est-elle faite régulièrement ?</t>
  </si>
  <si>
    <t>Rapport de révision</t>
  </si>
  <si>
    <t>Postes inadaptés aux évolutions</t>
  </si>
  <si>
    <t>Inadéquation stratégique</t>
  </si>
  <si>
    <t>Réviser annuellement les fonctions et besoins</t>
  </si>
  <si>
    <t>Vérifier qu’il existe un programme de formation pour tous les personnels ;</t>
  </si>
  <si>
    <t>Formation SSI obligatoire</t>
  </si>
  <si>
    <t>Tous les employés reçoivent-ils une formation SSI ?</t>
  </si>
  <si>
    <t>Planning formation</t>
  </si>
  <si>
    <t>Comportements dangereux</t>
  </si>
  <si>
    <t>Rendre la formation obligatoire</t>
  </si>
  <si>
    <t>Mise à jour des contenus</t>
  </si>
  <si>
    <t>Le contenu est-il actualisé ?</t>
  </si>
  <si>
    <t>Infos obsolètes</t>
  </si>
  <si>
    <t>Inadéquation aux menaces actuelles</t>
  </si>
  <si>
    <t>Réviser les modules régulièrement</t>
  </si>
  <si>
    <t>Suivi des participations</t>
  </si>
  <si>
    <t>La participation est-elle tracée ?</t>
  </si>
  <si>
    <t>Fiches de suivi</t>
  </si>
  <si>
    <t>Aucune preuve de formation</t>
  </si>
  <si>
    <t>Non-conformité en audit</t>
  </si>
  <si>
    <t>Centraliser les feuilles d’émargement</t>
  </si>
  <si>
    <t>Formation adaptée aux profils</t>
  </si>
  <si>
    <t>Le contenu est-il adapté aux rôles (ex : admin, RH...) ?</t>
  </si>
  <si>
    <t>Catalogue de modules</t>
  </si>
  <si>
    <t>Niveau mal calibré</t>
  </si>
  <si>
    <t>Perte d’attention ou inefficacité</t>
  </si>
  <si>
    <t>Adapter les formations aux cibles</t>
  </si>
  <si>
    <t>Evaluation des acquis</t>
  </si>
  <si>
    <t>Y a-t-il un test de validation ?</t>
  </si>
  <si>
    <t>Résultats des tests</t>
  </si>
  <si>
    <t>Apprentissage superficiel</t>
  </si>
  <si>
    <t>Pas d’impact réel sur les comportements</t>
  </si>
  <si>
    <t>Ajouter une évaluation post-formation obligatoire</t>
  </si>
  <si>
    <t>Vérifier que le programme de formation prenne en compte la spécificité des postes de travail et des profils ;</t>
  </si>
  <si>
    <t>Vérifier que tous les personnels participent aux formations ;</t>
  </si>
  <si>
    <t>Vérifier que des évaluations « anté » et « post » formation sont réalisées pour évaluer l’impact de ces dernières ;</t>
  </si>
  <si>
    <t>Gestion des communications et des opérations ;</t>
  </si>
  <si>
    <t>Vérifier que la documentation des procédures et les responsabilités opérationnelles existe;</t>
  </si>
  <si>
    <t>Documentation formelle des procédures</t>
  </si>
  <si>
    <t>Les procédures opérationnelles sont-elles documentées ?</t>
  </si>
  <si>
    <t>Actions incohérentes</t>
  </si>
  <si>
    <t>Dysfonctionnements, erreurs</t>
  </si>
  <si>
    <t>Documenter et centraliser toutes les procédures</t>
  </si>
  <si>
    <t>Définition des responsabilités</t>
  </si>
  <si>
    <t>Les responsabilités associées à chaque procédure sont-elles définies ?</t>
  </si>
  <si>
    <t>Organigramme, fiches de responsabilités</t>
  </si>
  <si>
    <t>Confusion des rôles</t>
  </si>
  <si>
    <t>Exécution incorrecte</t>
  </si>
  <si>
    <t>Définir des responsabilités claires</t>
  </si>
  <si>
    <t>Accessibilité de la documentation</t>
  </si>
  <si>
    <t>La documentation est-elle facilement accessible aux utilisateurs ?</t>
  </si>
  <si>
    <t>Intranet, portail documentaire</t>
  </si>
  <si>
    <t>Procédures non suivies</t>
  </si>
  <si>
    <t>Inefficacité, pertes de temps</t>
  </si>
  <si>
    <t>Centraliser l’accès à la documentation</t>
  </si>
  <si>
    <t>Les procédures sont-elles révisées périodiquement ?</t>
  </si>
  <si>
    <t>Procédures obsolètes</t>
  </si>
  <si>
    <t>Non-conformité</t>
  </si>
  <si>
    <t>Mettre en place un cycle de révision</t>
  </si>
  <si>
    <t>Sensibilisation du personnel</t>
  </si>
  <si>
    <t>Les utilisateurs sont-ils formés aux procédures ?</t>
  </si>
  <si>
    <t>Preuves de sensibilisation</t>
  </si>
  <si>
    <t>Utilisation incorrecte</t>
  </si>
  <si>
    <t>Incidents, non-respect des règles</t>
  </si>
  <si>
    <t>Organiser des formations ciblées</t>
  </si>
  <si>
    <t>Vérifier que le contrôle des modifications opérationnelles est réalisé ;</t>
  </si>
  <si>
    <t>Existence d’un processus de gestion des changements</t>
  </si>
  <si>
    <t>Une procédure de contrôle des changements est-elle en place ?</t>
  </si>
  <si>
    <t>Procédure de gestion des changements</t>
  </si>
  <si>
    <t>Changements non validés</t>
  </si>
  <si>
    <t>Pannes, pertes de données</t>
  </si>
  <si>
    <t>Formaliser le processus de gestion</t>
  </si>
  <si>
    <t>Suivi des modifications</t>
  </si>
  <si>
    <t>Les changements sont-ils tracés et enregistrés ?</t>
  </si>
  <si>
    <t>Journal des changements</t>
  </si>
  <si>
    <t>Changements non maîtrisés</t>
  </si>
  <si>
    <t>Imprévus, instabilités</t>
  </si>
  <si>
    <t>Mettre en place une traçabilité complète</t>
  </si>
  <si>
    <t>Validation des changements</t>
  </si>
  <si>
    <t>Chaque changement est-il soumis à validation ?</t>
  </si>
  <si>
    <t>Fiches de validation</t>
  </si>
  <si>
    <t>Introduction de vulnérabilités</t>
  </si>
  <si>
    <t>Défaillance des services</t>
  </si>
  <si>
    <t>Intégrer des étapes de validation/revue</t>
  </si>
  <si>
    <t>Rétroaction et test</t>
  </si>
  <si>
    <t>Les changements sont-ils testés avant mise en production ?</t>
  </si>
  <si>
    <t>Rapport de tests</t>
  </si>
  <si>
    <t>Dysfonctionnements</t>
  </si>
  <si>
    <t>Effectuer des tests systématiques</t>
  </si>
  <si>
    <t>Revue post-changement</t>
  </si>
  <si>
    <t>Y a-t-il une évaluation des impacts après changement ?</t>
  </si>
  <si>
    <t>PV de réunion, post-mortem</t>
  </si>
  <si>
    <t>Changements inefficaces</t>
  </si>
  <si>
    <t>Résultats négatifs non détectés</t>
  </si>
  <si>
    <t>Organiser des revues post-implémentation</t>
  </si>
  <si>
    <t>Vérifier que des procédures de gestion des incidents existent;</t>
  </si>
  <si>
    <t>Existence d’une procédure</t>
  </si>
  <si>
    <t>Une procédure formelle de gestion des incidents existe-t-elle ?</t>
  </si>
  <si>
    <t>Guide de gestion des incidents</t>
  </si>
  <si>
    <t>Réponse improvisée</t>
  </si>
  <si>
    <t>Aggravation de l'incident</t>
  </si>
  <si>
    <t>Documenter une procédure claire</t>
  </si>
  <si>
    <t>Identification rapide</t>
  </si>
  <si>
    <t>L'organisation est-elle capable d’identifier un incident rapidement ?</t>
  </si>
  <si>
    <t>Alertes, journaux</t>
  </si>
  <si>
    <t>Retard de réaction</t>
  </si>
  <si>
    <t>Dommages étendus</t>
  </si>
  <si>
    <t>Mettre en place des systèmes de détection</t>
  </si>
  <si>
    <t>Les rôles sont-ils clairement établis en cas d’incident ?</t>
  </si>
  <si>
    <t>Plan d’urgence</t>
  </si>
  <si>
    <t>Incohérence de réponse</t>
  </si>
  <si>
    <t>Perte de temps, erreurs</t>
  </si>
  <si>
    <t>Attribuer des responsabilités précises</t>
  </si>
  <si>
    <t>Communication pendant l'incident</t>
  </si>
  <si>
    <t>Y a-t-il un protocole de communication en place ?</t>
  </si>
  <si>
    <t>Confusion, panique</t>
  </si>
  <si>
    <t>Mauvaise gestion interne/externe</t>
  </si>
  <si>
    <t>Créer un plan de communication de crise</t>
  </si>
  <si>
    <t>Revue post-incident</t>
  </si>
  <si>
    <t>Des analyses post-incident sont-elles réalisées ?</t>
  </si>
  <si>
    <t>Rapport d’incident</t>
  </si>
  <si>
    <t>Failles récurrentes</t>
  </si>
  <si>
    <t>Formaliser un processus d'amélioration continue</t>
  </si>
  <si>
    <t>Vérifier que les mesures de protection contre les infections logiques existent ;</t>
  </si>
  <si>
    <t>Logiciel antivirus installé</t>
  </si>
  <si>
    <t>Un antivirus est-il déployé sur tous les postes ?</t>
  </si>
  <si>
    <t>Rapport d’installation</t>
  </si>
  <si>
    <t>Infection par malware</t>
  </si>
  <si>
    <t>Perte de données, indisponibilité</t>
  </si>
  <si>
    <t>Installer un antivirus à jour sur tous les terminaux</t>
  </si>
  <si>
    <t>Mises à jour régulières de sécurité</t>
  </si>
  <si>
    <t>Les systèmes sont-ils patchés ?</t>
  </si>
  <si>
    <t>Historique des mises à jour</t>
  </si>
  <si>
    <t>Vulnérabilités non corrigées</t>
  </si>
  <si>
    <t>Exploitation d'une faille connue</t>
  </si>
  <si>
    <t>Mettre en place un système de gestion de correctifs</t>
  </si>
  <si>
    <t>Analyse régulière des postes</t>
  </si>
  <si>
    <t>Des scans sont-ils effectués régulièrement ?</t>
  </si>
  <si>
    <t>Rapport d’analyse</t>
  </si>
  <si>
    <t>Menace persistante</t>
  </si>
  <si>
    <t>Propagation silencieuse de virus</t>
  </si>
  <si>
    <t>Automatiser les analyses régulières</t>
  </si>
  <si>
    <t>Sécurisation des accès à Internet</t>
  </si>
  <si>
    <t>Un proxy ou filtre web est-il utilisé ?</t>
  </si>
  <si>
    <t>Logs de filtrage</t>
  </si>
  <si>
    <t>Sites malveillants accessibles</t>
  </si>
  <si>
    <t>Infection via navigation web</t>
  </si>
  <si>
    <t>Mettre en place un filtrage de contenu</t>
  </si>
  <si>
    <t>Sont-ils informés des bonnes pratiques ?</t>
  </si>
  <si>
    <t>Support de formation</t>
  </si>
  <si>
    <t>Phishing, erreurs humaines</t>
  </si>
  <si>
    <t>Infections évitables non anticipées</t>
  </si>
  <si>
    <t>Former régulièrement aux menaces logiques</t>
  </si>
  <si>
    <t>Vérifier que les sauvegardes des données sont réalisées ;</t>
  </si>
  <si>
    <t>Plan de sauvegarde formalisé</t>
  </si>
  <si>
    <t>Un plan de sauvegarde existe-t-il ?</t>
  </si>
  <si>
    <t>Données non sauvegardées</t>
  </si>
  <si>
    <t>Perte définitive de données</t>
  </si>
  <si>
    <t>Formaliser et valider un plan de sauvegarde</t>
  </si>
  <si>
    <t>Fréquence des sauvegardes</t>
  </si>
  <si>
    <t>Les sauvegardes sont-elles régulières ?</t>
  </si>
  <si>
    <t>Journal de sauvegarde</t>
  </si>
  <si>
    <t>Restauration incomplète</t>
  </si>
  <si>
    <t>Automatiser les sauvegardes</t>
  </si>
  <si>
    <t>Test de restauration</t>
  </si>
  <si>
    <t>Les restaurations sont-elles testées ?</t>
  </si>
  <si>
    <t>Rapport de test</t>
  </si>
  <si>
    <t>Sauvegarde inutilisable</t>
  </si>
  <si>
    <t>Fausses garanties de sécurité</t>
  </si>
  <si>
    <t>Tester régulièrement les restaurations</t>
  </si>
  <si>
    <t>Sauvegarde hors site</t>
  </si>
  <si>
    <t>Les sauvegardes sont-elles externalisées ?</t>
  </si>
  <si>
    <t>Localisation des backups</t>
  </si>
  <si>
    <t>Catastrophe sur site</t>
  </si>
  <si>
    <t>Perte de données</t>
  </si>
  <si>
    <t>Utiliser un stockage distant</t>
  </si>
  <si>
    <t>Sécurisation des sauvegardes</t>
  </si>
  <si>
    <t>Sont-elles chiffrées et protégées ?</t>
  </si>
  <si>
    <t>Clé de chiffrement, accès</t>
  </si>
  <si>
    <t>Compromission de backup</t>
  </si>
  <si>
    <t>Fuite de données sensibles</t>
  </si>
  <si>
    <t>Protéger l'accès physique et logique aux sauvegardes</t>
  </si>
  <si>
    <t>Vérifier que les modalités de gestion des supports de données sont clairement définies;</t>
  </si>
  <si>
    <t>Politique de gestion des supports</t>
  </si>
  <si>
    <t>Existe-t-il une politique formalisée ?</t>
  </si>
  <si>
    <t>Gestion anarchique</t>
  </si>
  <si>
    <t>Perte ou vol de données</t>
  </si>
  <si>
    <t>Établir une politique claire</t>
  </si>
  <si>
    <t>Inventaire des supports</t>
  </si>
  <si>
    <t>Les supports sont-ils identifiés et inventoriés ?</t>
  </si>
  <si>
    <t>Registre</t>
  </si>
  <si>
    <t>Données introuvables ou volées</t>
  </si>
  <si>
    <t>Tenir un inventaire rigoureux</t>
  </si>
  <si>
    <t>Modalités de transfert</t>
  </si>
  <si>
    <t>Des règles sont-elles définies pour les échanges de supports ?</t>
  </si>
  <si>
    <t>Procédure de transfert</t>
  </si>
  <si>
    <t>Fuite de données</t>
  </si>
  <si>
    <t>Non-conformité RGPD</t>
  </si>
  <si>
    <t>Encadrer les transferts (physique et numérique)</t>
  </si>
  <si>
    <t>Stockage sécurisé</t>
  </si>
  <si>
    <t>Le stockage est-il sécurisé ?</t>
  </si>
  <si>
    <t>Contrôle d’accès</t>
  </si>
  <si>
    <t>Accès non autorisé</t>
  </si>
  <si>
    <t>Exploitation de données sensibles</t>
  </si>
  <si>
    <t>Stocker dans des lieux sécurisés</t>
  </si>
  <si>
    <t>Traçabilité des accès</t>
  </si>
  <si>
    <t>Les accès sont-ils tracés et contrôlés ?</t>
  </si>
  <si>
    <t>Journal d’accès</t>
  </si>
  <si>
    <t>Usage non contrôlé</t>
  </si>
  <si>
    <t>Difficulté à détecter les fuites</t>
  </si>
  <si>
    <t>Activer la traçabilité sur tous les supports</t>
  </si>
  <si>
    <t>Vérifier que les modalités de gestion des supports de données sont appliquées.</t>
  </si>
  <si>
    <t>Respect des procédures définies</t>
  </si>
  <si>
    <t>Les règles établies sont-elles respectées ?</t>
  </si>
  <si>
    <t>Audit de conformité</t>
  </si>
  <si>
    <t>Contournement de règles</t>
  </si>
  <si>
    <t>Exposition des données sensibles</t>
  </si>
  <si>
    <t>Réaliser des audits réguliers</t>
  </si>
  <si>
    <t>Suivi d'utilisation des supports</t>
  </si>
  <si>
    <t>Existe-t-il un journal d’utilisation ?</t>
  </si>
  <si>
    <t>Journal</t>
  </si>
  <si>
    <t>Usage non autorisé</t>
  </si>
  <si>
    <t>Incidents non détectés</t>
  </si>
  <si>
    <t>Mettre en place une politique de suivi</t>
  </si>
  <si>
    <t>Les utilisateurs sont-ils formés à la manipulation ?</t>
  </si>
  <si>
    <t>Preuves de formation</t>
  </si>
  <si>
    <t>Manipulation inappropriée</t>
  </si>
  <si>
    <t>Corruption ou perte de données</t>
  </si>
  <si>
    <t>Former tous les utilisateurs</t>
  </si>
  <si>
    <t>Vérification des accès</t>
  </si>
  <si>
    <t>Les accès aux supports sont-ils contrôlés ?</t>
  </si>
  <si>
    <t>Liste de contrôle</t>
  </si>
  <si>
    <t>Accès abusif ou accidentel</t>
  </si>
  <si>
    <t>Fuite ou destruction d'information</t>
  </si>
  <si>
    <t>Restreindre les accès aux personnes autorisées</t>
  </si>
  <si>
    <t>Procédure de destruction</t>
  </si>
  <si>
    <t>Une procédure est-elle prévue pour les supports obsolètes ?</t>
  </si>
  <si>
    <t>Procédure écrite</t>
  </si>
  <si>
    <t>Réutilisation non sécurisée</t>
  </si>
  <si>
    <t>Révélation de données confidentielles</t>
  </si>
  <si>
    <t>Détruire les supports de manière sécurisée</t>
  </si>
  <si>
    <t>Conformité ;</t>
  </si>
  <si>
    <t>Vérifier que les politique et procédures de sécurité internalisent les exigences légales et réglementaires ;</t>
  </si>
  <si>
    <t>Analyse réglementaire réalisée</t>
  </si>
  <si>
    <t>Les exigences légales ont-elles été identifiées ?</t>
  </si>
  <si>
    <t>Étude de conformité</t>
  </si>
  <si>
    <t>Sanctions juridiques</t>
  </si>
  <si>
    <t>Mettre à jour les politiques selon les lois en vigueur</t>
  </si>
  <si>
    <t>Intégration dans la politique</t>
  </si>
  <si>
    <t>Les exigences sont-elles intégrées dans la politique de sécurité ?</t>
  </si>
  <si>
    <t>Documentation des politiques</t>
  </si>
  <si>
    <t>Obligation non couverte</t>
  </si>
  <si>
    <t>Failles réglementaires</t>
  </si>
  <si>
    <t>Réviser la politique selon le cadre légal</t>
  </si>
  <si>
    <t>Suivi réglementaire</t>
  </si>
  <si>
    <t>Une veille réglementaire est-elle effectuée ?</t>
  </si>
  <si>
    <t>Bulletin ou abonnement</t>
  </si>
  <si>
    <t>Obsolescence</t>
  </si>
  <si>
    <t>Non-respect des nouveautés légales</t>
  </si>
  <si>
    <t>Mettre en place un dispositif de veille juridique</t>
  </si>
  <si>
    <t>Mise à jour des procédures</t>
  </si>
  <si>
    <t>Les procédures sont-elles adaptées aux nouvelles obligations ?</t>
  </si>
  <si>
    <t>Procédure dépassée</t>
  </si>
  <si>
    <t>Risques d’invalidation juridique</t>
  </si>
  <si>
    <t>Réviser les procédures régulièrement</t>
  </si>
  <si>
    <t>Communication des obligations</t>
  </si>
  <si>
    <t>Les équipes connaissent-elles les obligations légales ?</t>
  </si>
  <si>
    <t>Ignorance du cadre légal</t>
  </si>
  <si>
    <t>Comportement non conforme</t>
  </si>
  <si>
    <t>Former les équipes à la réglementation</t>
  </si>
  <si>
    <t>Vérifier que la convergence vers le cadre règlementaire national est recherchée ;</t>
  </si>
  <si>
    <t>Audit de conformité national</t>
  </si>
  <si>
    <t>Des audits ont-ils été réalisés ?</t>
  </si>
  <si>
    <t>Écarts non identifiés</t>
  </si>
  <si>
    <t>Retard dans la mise en conformité</t>
  </si>
  <si>
    <t>Réaliser des audits de conformité nationale</t>
  </si>
  <si>
    <t>Plan de convergence</t>
  </si>
  <si>
    <t>Un plan d’alignement a-t-il été défini ?</t>
  </si>
  <si>
    <t>Plan de mise en conformité</t>
  </si>
  <si>
    <t>Non-alignement réglementaire</t>
  </si>
  <si>
    <t>Blocage réglementaire</t>
  </si>
  <si>
    <t>Élaborer un plan de convergence clair</t>
  </si>
  <si>
    <t>Suivi des actions correctives</t>
  </si>
  <si>
    <t>Des actions correctives sont-elles suivies ?</t>
  </si>
  <si>
    <t>Tableau de suivi</t>
  </si>
  <si>
    <t>Actions incomplètes</t>
  </si>
  <si>
    <t>Échecs d’audit, amendes</t>
  </si>
  <si>
    <t>Suivre les actions avec des indicateurs</t>
  </si>
  <si>
    <t>Implication de la direction</t>
  </si>
  <si>
    <t>La direction est-elle impliquée dans la démarche ?</t>
  </si>
  <si>
    <t>Compte-rendu de réunion</t>
  </si>
  <si>
    <t>Manque de soutien</t>
  </si>
  <si>
    <t>Décrochage stratégique</t>
  </si>
  <si>
    <t>Sensibiliser la direction</t>
  </si>
  <si>
    <t>Révision régulière des référentiels</t>
  </si>
  <si>
    <t>Les documents internes sont-ils mis à jour selon la loi ?</t>
  </si>
  <si>
    <t>Historique de modifications</t>
  </si>
  <si>
    <t>Obsolescence réglementaire</t>
  </si>
  <si>
    <t>Non-conformité légale</t>
  </si>
  <si>
    <t>Mettre à jour les documents à chaque évolution</t>
  </si>
  <si>
    <t>S’assurer qu’un document retraçant le gap entre l’état actuel des politiques et procédures de sécurité interne et le cadre réglementaire existe et est tenu à jour ;</t>
  </si>
  <si>
    <t>Existence du document de gap analysis</t>
  </si>
  <si>
    <t>Ce document existe-t-il ?</t>
  </si>
  <si>
    <t>Document de gap analysis</t>
  </si>
  <si>
    <t>Absence de visibilité</t>
  </si>
  <si>
    <t>Inertie, dérives réglementaires</t>
  </si>
  <si>
    <t>Créer un document de cartographie des écarts</t>
  </si>
  <si>
    <t>Fréquence de mise à jour</t>
  </si>
  <si>
    <t>Est-il mis à jour régulièrement ?</t>
  </si>
  <si>
    <t>Historique de versions</t>
  </si>
  <si>
    <t>Décalage avec la réalité</t>
  </si>
  <si>
    <t>Mauvaises décisions</t>
  </si>
  <si>
    <t>Mettre à jour après chaque évolution réglementaire</t>
  </si>
  <si>
    <t>Implication des parties prenantes</t>
  </si>
  <si>
    <t>Les responsables sécurité y contribuent-ils ?</t>
  </si>
  <si>
    <t>Réunions, validation</t>
  </si>
  <si>
    <t>Appropriation insuffisante</t>
  </si>
  <si>
    <t>Manque d’efficacité</t>
  </si>
  <si>
    <t>Impliquer les RSSI, juristes et métiers dans la rédaction</t>
  </si>
  <si>
    <t>Alignement avec les audits</t>
  </si>
  <si>
    <t>Le document est-il aligné avec les constats d’audit ?</t>
  </si>
  <si>
    <t>Incohérences</t>
  </si>
  <si>
    <t>Actions inadaptées ou incomplètes</t>
  </si>
  <si>
    <t>Faire converger audits, analyses et document gap</t>
  </si>
  <si>
    <t>Suivi des écarts</t>
  </si>
  <si>
    <t>Les écarts identifiés sont-ils suivis avec un plan d’action ?</t>
  </si>
  <si>
    <t>Plan d’action, échéancier</t>
  </si>
  <si>
    <t>Correction incomplète</t>
  </si>
  <si>
    <t>Maintien de non-conformités</t>
  </si>
  <si>
    <t>Suivre l’évolution de chaque point d’écart</t>
  </si>
  <si>
    <t>S’assurer que tous les audits réglementaires sont réalisés ;</t>
  </si>
  <si>
    <t>Planification annuelle des audits</t>
  </si>
  <si>
    <t>Un plan d’audit annuel existe-t-il ?</t>
  </si>
  <si>
    <t>Calendrier, planification</t>
  </si>
  <si>
    <t>Manque de conformité</t>
  </si>
  <si>
    <t>Planifier les audits avec validation direction</t>
  </si>
  <si>
    <t>Réalisation effective</t>
  </si>
  <si>
    <t>Les audits prévus ont-ils été réalisés ?</t>
  </si>
  <si>
    <t>Audit non effectué</t>
  </si>
  <si>
    <t>Risque non maîtrisé</t>
  </si>
  <si>
    <t>Suivre l’exécution du plan</t>
  </si>
  <si>
    <t>Couverture réglementaire</t>
  </si>
  <si>
    <t>Les audits couvrent-ils toutes les obligations légales ?</t>
  </si>
  <si>
    <t>Check-list de conformité</t>
  </si>
  <si>
    <t>Lacunes</t>
  </si>
  <si>
    <t>Amendes, sanctions</t>
  </si>
  <si>
    <t>Couvrir l’ensemble du périmètre réglementaire</t>
  </si>
  <si>
    <t>Traçabilité et archivage</t>
  </si>
  <si>
    <t>Les résultats sont-ils archivés et accessibles ?</t>
  </si>
  <si>
    <t>Dossier, référentiel</t>
  </si>
  <si>
    <t>Perte d'information</t>
  </si>
  <si>
    <t>Impossibilité de prouver la conformité</t>
  </si>
  <si>
    <t>Centraliser les rapports et justificatifs</t>
  </si>
  <si>
    <t>Les recommandations sont-elles traitées ?</t>
  </si>
  <si>
    <t>Plan d’action post-audit</t>
  </si>
  <si>
    <t>Risque récurrent</t>
  </si>
  <si>
    <t>Non-conformité persistante</t>
  </si>
  <si>
    <t>Mettre en œuvre les actions correctives</t>
  </si>
  <si>
    <t>S’assurer qu’un responsable conformité est désigné.</t>
  </si>
  <si>
    <t>Désignation formelle</t>
  </si>
  <si>
    <t>Le responsable conformité est-il nommé officiellement ?</t>
  </si>
  <si>
    <t>Note de service</t>
  </si>
  <si>
    <t>Flou organisationnel</t>
  </si>
  <si>
    <t>Rôle non assumé ou conflit de responsabilités</t>
  </si>
  <si>
    <t>Nommer officiellement avec fiche de poste</t>
  </si>
  <si>
    <t>Rôle clairement défini</t>
  </si>
  <si>
    <t>Son rôle est-il bien documenté ?</t>
  </si>
  <si>
    <t>Fiche de fonction</t>
  </si>
  <si>
    <t>Ambiguïtés</t>
  </si>
  <si>
    <t>Activités non réalisées</t>
  </si>
  <si>
    <t>Détailler les missions de conformité</t>
  </si>
  <si>
    <t>Accès à l'information</t>
  </si>
  <si>
    <t>A-t-il accès aux documents de référence ?</t>
  </si>
  <si>
    <t>Accès documentaires</t>
  </si>
  <si>
    <t>Décisions mal informées</t>
  </si>
  <si>
    <t>Non-conformité involontaire</t>
  </si>
  <si>
    <t>Lui garantir l’accès total aux référentiels</t>
  </si>
  <si>
    <t>Suivi régulier de la conformité</t>
  </si>
  <si>
    <t>Suit-il les évolutions règlementaires ?</t>
  </si>
  <si>
    <t>Veille juridique</t>
  </si>
  <si>
    <t>Inclure un dispositif de veille</t>
  </si>
  <si>
    <t>Reporting à la direction</t>
  </si>
  <si>
    <t>Rapporte-t-il régulièrement à la direction ?</t>
  </si>
  <si>
    <t>CR réunions</t>
  </si>
  <si>
    <t>Isolement du poste</t>
  </si>
  <si>
    <t>Incohérence stratégique</t>
  </si>
  <si>
    <t>Instaurer des points réguliers avec la direction</t>
  </si>
  <si>
    <t>Gestion des identifiants et des mots de passe ;</t>
  </si>
  <si>
    <t>Vérifier qu'il y a un seul utilisateur par identifiant ;</t>
  </si>
  <si>
    <t>Unicité des identifiants</t>
  </si>
  <si>
    <t>Chaque utilisateur dispose-t-il de son propre identifiant ?</t>
  </si>
  <si>
    <t>Registre utilisateurs</t>
  </si>
  <si>
    <t>Confusion d'identité</t>
  </si>
  <si>
    <t>Non-traçabilité des actions</t>
  </si>
  <si>
    <t>Imposer l’usage de comptes individuels</t>
  </si>
  <si>
    <t>Interdiction des comptes partagés</t>
  </si>
  <si>
    <t>Les comptes partagés sont-ils proscrits ?</t>
  </si>
  <si>
    <t>Actions non traçables</t>
  </si>
  <si>
    <t>Détournements non identifiables</t>
  </si>
  <si>
    <t>Supprimer les comptes génériques</t>
  </si>
  <si>
    <t>Journalisation des connexions</t>
  </si>
  <si>
    <t>Les connexions sont-elles tracées par utilisateur ?</t>
  </si>
  <si>
    <t>Logs</t>
  </si>
  <si>
    <t>Actions invisibles</t>
  </si>
  <si>
    <t>Failles de sécurité non détectées</t>
  </si>
  <si>
    <t>Activer la journalisation utilisateur</t>
  </si>
  <si>
    <t>Accès nominatif aux systèmes</t>
  </si>
  <si>
    <t>Les droits sont-ils attribués de manière nominative ?</t>
  </si>
  <si>
    <t>Droit d’accès nominatif</t>
  </si>
  <si>
    <t>Attribution floue</t>
  </si>
  <si>
    <t>Mauvais usage des ressources</t>
  </si>
  <si>
    <t>Revoir tous les accès utilisateurs</t>
  </si>
  <si>
    <t>Revue régulière des comptes</t>
  </si>
  <si>
    <t>Les comptes sont-ils audités régulièrement ?</t>
  </si>
  <si>
    <t>Audit utilisateurs</t>
  </si>
  <si>
    <t>Compte fantôme</t>
  </si>
  <si>
    <t>Failles de sécurité persistantes</t>
  </si>
  <si>
    <t>Auditer les comptes tous les 6 mois</t>
  </si>
  <si>
    <t>Vérifier que les identifiants inutilisés pendant un certain délai sont révoqués ;</t>
  </si>
  <si>
    <t>Politique d’inactivité définie</t>
  </si>
  <si>
    <t>Une politique de gestion de l’inactivité est-elle formalisée ?</t>
  </si>
  <si>
    <t>Document de politique</t>
  </si>
  <si>
    <t>Incohérence des règles</t>
  </si>
  <si>
    <t>Définir une politique claire</t>
  </si>
  <si>
    <t>Seuil d’inactivité identifié</t>
  </si>
  <si>
    <t>Le seuil de désactivation est-il défini (ex. 90 jours) ?</t>
  </si>
  <si>
    <t>Paramétrage systèmes</t>
  </si>
  <si>
    <t>Accès périmés actifs</t>
  </si>
  <si>
    <t>Fuite d’informations</t>
  </si>
  <si>
    <t>Paramétrer l’expiration automatique des comptes</t>
  </si>
  <si>
    <t>Désactivation automatique</t>
  </si>
  <si>
    <t>Est-elle mise en œuvre techniquement ?</t>
  </si>
  <si>
    <t>Configuration systèmes</t>
  </si>
  <si>
    <t>Comptes oubliés</t>
  </si>
  <si>
    <t>Accès illégitime</t>
  </si>
  <si>
    <t>Automatiser la désactivation après inactivité</t>
  </si>
  <si>
    <t>Contrôle régulier</t>
  </si>
  <si>
    <t>Des contrôles sont-ils réalisés ?</t>
  </si>
  <si>
    <t>Journal des connexions</t>
  </si>
  <si>
    <t>Dormance invisible</t>
  </si>
  <si>
    <t>Réactivation abusive</t>
  </si>
  <si>
    <t>Intégrer un audit des comptes dormants</t>
  </si>
  <si>
    <t>Information des utilisateurs</t>
  </si>
  <si>
    <t>Sont-ils prévenus avant désactivation ?</t>
  </si>
  <si>
    <t>Procédure de notification</t>
  </si>
  <si>
    <t>Réclamations d’utilisateurs</t>
  </si>
  <si>
    <t>Interruption de service légitime</t>
  </si>
  <si>
    <t>Mettre en place un système d’alerte préalable</t>
  </si>
  <si>
    <t>Vérifier que des règles de gestion de la casse des mots de passe existent ;</t>
  </si>
  <si>
    <t>Politique de mot de passe définie</t>
  </si>
  <si>
    <t>Existe-t-il une politique formalisée sur la complexité ?</t>
  </si>
  <si>
    <t>Politique SSI</t>
  </si>
  <si>
    <t>Faiblesse de sécurité</t>
  </si>
  <si>
    <t>Brèches par mot de passe simple</t>
  </si>
  <si>
    <t>Définir une politique avec exigence de casse</t>
  </si>
  <si>
    <t>Obligation d’utiliser des majuscules/minuscules</t>
  </si>
  <si>
    <t>Est-ce imposé techniquement ?</t>
  </si>
  <si>
    <t>Vulnérabilités aux attaques</t>
  </si>
  <si>
    <t>Appliquer des paramètres de validation à la saisie</t>
  </si>
  <si>
    <t>Tests de robustesse activés</t>
  </si>
  <si>
    <t>Des contrôles sont-ils faits lors de la création du mot de passe ?</t>
  </si>
  <si>
    <t>Scripts ou outils de test</t>
  </si>
  <si>
    <t>Utilisation de mots simples</t>
  </si>
  <si>
    <t>Facilité de devinette</t>
  </si>
  <si>
    <t>Activer la vérification de complexité</t>
  </si>
  <si>
    <t>Communication des règles</t>
  </si>
  <si>
    <t>Les utilisateurs sont-ils informés ?</t>
  </si>
  <si>
    <t>Guide utilisateur, affichage</t>
  </si>
  <si>
    <t>Non-application des règles</t>
  </si>
  <si>
    <t>Mot de passe faible par méconnaissance</t>
  </si>
  <si>
    <t>Diffuser les règles à chaque création ou changement</t>
  </si>
  <si>
    <t>Les règles sont-elles revues ?</t>
  </si>
  <si>
    <t>Historique de sécurité</t>
  </si>
  <si>
    <t>Maintien de pratiques risquées</t>
  </si>
  <si>
    <t>Réviser les règles selon les standards actuels</t>
  </si>
  <si>
    <t>Vérifier que ces règles sont respectées ;</t>
  </si>
  <si>
    <t>Vérification automatique</t>
  </si>
  <si>
    <t>Les systèmes vérifient-ils les règles lors de la saisie ?</t>
  </si>
  <si>
    <t>Configuration de sécurité</t>
  </si>
  <si>
    <t>Déviation manuelle possible</t>
  </si>
  <si>
    <t>Faiblesse de protection</t>
  </si>
  <si>
    <t>Appliquer un mécanisme systématique</t>
  </si>
  <si>
    <t>Journalisation des changements</t>
  </si>
  <si>
    <t>Logs systèmes</t>
  </si>
  <si>
    <t>Actions non auditées</t>
  </si>
  <si>
    <t>Intrusions non détectées</t>
  </si>
  <si>
    <t>Activer la traçabilité des changements</t>
  </si>
  <si>
    <t>Tests réguliers</t>
  </si>
  <si>
    <t>Des audits de mots de passe sont-ils réalisés ?</t>
  </si>
  <si>
    <t>Rapport d’audit</t>
  </si>
  <si>
    <t>Laxisme</t>
  </si>
  <si>
    <t>Failles persistantes</t>
  </si>
  <si>
    <t>Réaliser des audits périodiques sur la conformité</t>
  </si>
  <si>
    <t>Refus des mots non conformes</t>
  </si>
  <si>
    <t>Le système bloque-t-il un mot de passe trop simple ?</t>
  </si>
  <si>
    <t>Paramétrage applicatif</t>
  </si>
  <si>
    <t>Acceptation de mots faibles</t>
  </si>
  <si>
    <t>Compromission potentielle</t>
  </si>
  <si>
    <t>Imposer un rejet systématique</t>
  </si>
  <si>
    <t>Formation utilisateurs</t>
  </si>
  <si>
    <t>Sont-ils formés à choisir un mot de passe fort ?</t>
  </si>
  <si>
    <t>Programme de sensibilisation</t>
  </si>
  <si>
    <t>Choix naïf ou basique</t>
  </si>
  <si>
    <t>Vulnérabilité aux attaques</t>
  </si>
  <si>
    <t>Intégrer la gestion des mots de passe dans les formations</t>
  </si>
  <si>
    <t>Vérifier qu’il existe une procédure de gestion des mots de passe ;</t>
  </si>
  <si>
    <t>Existence d’une procédure formalisée</t>
  </si>
  <si>
    <t>Un document officiel existe-t-il ?</t>
  </si>
  <si>
    <t>Procédure formelle</t>
  </si>
  <si>
    <t>Pratiques incohérentes</t>
  </si>
  <si>
    <t>Erreurs de gestion</t>
  </si>
  <si>
    <t>Rédiger une procédure exhaustive</t>
  </si>
  <si>
    <t>Couverture du cycle de vie</t>
  </si>
  <si>
    <t>Couvre-t-elle création, changement, révocation, oubli ?</t>
  </si>
  <si>
    <t>Fiche de procédure</t>
  </si>
  <si>
    <t>Gestion incomplète</t>
  </si>
  <si>
    <t>Accès non révoqué, fuites</t>
  </si>
  <si>
    <t>S’assurer de la couverture de tout le cycle</t>
  </si>
  <si>
    <t>Accessibilité de la procédure</t>
  </si>
  <si>
    <t>Est-elle disponible aux utilisateurs ?</t>
  </si>
  <si>
    <t>Intranet ou base documentaire</t>
  </si>
  <si>
    <t>Ignorance des règles</t>
  </si>
  <si>
    <t>Non-respect de bonnes pratiques</t>
  </si>
  <si>
    <t>Diffuser largement la procédure</t>
  </si>
  <si>
    <t>Est-elle revue régulièrement ?</t>
  </si>
  <si>
    <t>Obsolescence des pratiques</t>
  </si>
  <si>
    <t>Inadéquation avec les risques actuels</t>
  </si>
  <si>
    <t>Revoir tous les 12 mois ou après incident</t>
  </si>
  <si>
    <t>Validation de la procédure</t>
  </si>
  <si>
    <t>A-t-elle été validée par la direction ?</t>
  </si>
  <si>
    <t>Mail ou PV</t>
  </si>
  <si>
    <t>Application incomplète</t>
  </si>
  <si>
    <t>Refus d’adoption</t>
  </si>
  <si>
    <t>Valider la procédure officiellement</t>
  </si>
  <si>
    <t>Vérifier que la procédure de gestion des mots de passe statue sur leur réutilisation ;</t>
  </si>
  <si>
    <t>Réutilisation interdite</t>
  </si>
  <si>
    <t>La procédure interdit-elle la réutilisation de mots de passe ?</t>
  </si>
  <si>
    <t>Texte de procédure</t>
  </si>
  <si>
    <t>Réutilisation trop fréquente</t>
  </si>
  <si>
    <t>Accès facilitant les attaques</t>
  </si>
  <si>
    <t>Appliquer une restriction technique</t>
  </si>
  <si>
    <t>Le stockage est-il chiffré ?</t>
  </si>
  <si>
    <t>Configuration système</t>
  </si>
  <si>
    <t>Fuite d’identifiants</t>
  </si>
  <si>
    <t>Intrusion</t>
  </si>
  <si>
    <t>Utiliser le chiffrement fort type bcrypt</t>
  </si>
  <si>
    <t>Diffusion contrôlée</t>
  </si>
  <si>
    <t>Est-il interdit de diffuser un mot de passe ?</t>
  </si>
  <si>
    <t>Politique interne</t>
  </si>
  <si>
    <t>Partage d’identifiants</t>
  </si>
  <si>
    <t>Sanctionner le partage de mots de passe</t>
  </si>
  <si>
    <t>Réinitialisation sécurisée</t>
  </si>
  <si>
    <t>La procédure impose-t-elle des vérifications ?</t>
  </si>
  <si>
    <t>Usurpation</t>
  </si>
  <si>
    <t>Accès frauduleux</t>
  </si>
  <si>
    <t>Vérifier l’identité lors de chaque réinitialisation</t>
  </si>
  <si>
    <t>Historique des mots utilisés</t>
  </si>
  <si>
    <t>Les anciens mots sont-ils bloqués à la réutilisation ?</t>
  </si>
  <si>
    <t>Paramétrage AD/SIEM</t>
  </si>
  <si>
    <t>Boucle de sécurité faible</t>
  </si>
  <si>
    <t>Réutilisation des anciens mots</t>
  </si>
  <si>
    <t>Empêcher la réutilisation de X derniers mots</t>
  </si>
  <si>
    <t>Vérifier que la procédure de gestion des mots de passe statue sur leur stockage ;</t>
  </si>
  <si>
    <t>Vérifier que la procédure de gestion des mots de passe statue sur leur diffusion ;</t>
  </si>
  <si>
    <t>Vérifier que la procédure de gestion des mots de passe statue sur leur réinitialisation.</t>
  </si>
  <si>
    <t>Contrôle des accès ;</t>
  </si>
  <si>
    <t>Vérifier que la définition et la documentation de la politique de contrôle d'accès existent ;</t>
  </si>
  <si>
    <t>Existence d’un document de politique</t>
  </si>
  <si>
    <t>Un document formalisé existe-t-il ?</t>
  </si>
  <si>
    <t>Politique contrôle accès</t>
  </si>
  <si>
    <t>Accès non maîtrisé</t>
  </si>
  <si>
    <t>Fuites ou intrusions</t>
  </si>
  <si>
    <t>Rédiger une politique claire</t>
  </si>
  <si>
    <t>Classification des droits</t>
  </si>
  <si>
    <t>Les accès sont-ils basés sur les rôles ?</t>
  </si>
  <si>
    <t>Matrice de droits</t>
  </si>
  <si>
    <t>Attribution arbitraire</t>
  </si>
  <si>
    <t>Privileges excessifs</t>
  </si>
  <si>
    <t>Qui attribue et contrôle les droits ?</t>
  </si>
  <si>
    <t>Fiches de responsabilité</t>
  </si>
  <si>
    <t>Ambiguïté</t>
  </si>
  <si>
    <t>Attribution non validée</t>
  </si>
  <si>
    <t>Définir les rôles responsables de validation</t>
  </si>
  <si>
    <t>Documentation accessible</t>
  </si>
  <si>
    <t>Le document est-il disponible aux administrateurs ?</t>
  </si>
  <si>
    <t>Intranet sécurisé</t>
  </si>
  <si>
    <t>Décisions mal éclairées</t>
  </si>
  <si>
    <t>Attribution non conforme</t>
  </si>
  <si>
    <t>Rendre accessible à tous les profils concernés</t>
  </si>
  <si>
    <t>Est-il mis à jour suite aux changements organisationnels ?</t>
  </si>
  <si>
    <t>Historique de modification</t>
  </si>
  <si>
    <t>Accès non révoqué</t>
  </si>
  <si>
    <t>Mettre à jour à chaque changement majeur</t>
  </si>
  <si>
    <t>S’assurer que la gestion des accès utilisateurs est effective ;</t>
  </si>
  <si>
    <t>Création contrôlée des accès</t>
  </si>
  <si>
    <t>L’attribution des comptes suit-elle une procédure validée ?</t>
  </si>
  <si>
    <t>Procédure d’habilitation</t>
  </si>
  <si>
    <t>Attribution non autorisée</t>
  </si>
  <si>
    <t>Accès à des données sensibles</t>
  </si>
  <si>
    <t>Imposer une validation hiérarchique</t>
  </si>
  <si>
    <t>Suppression des comptes inactifs</t>
  </si>
  <si>
    <t>Les comptes inactifs sont-ils désactivés automatiquement ?</t>
  </si>
  <si>
    <t>Paramétrage des systèmes</t>
  </si>
  <si>
    <t>Compte zombie</t>
  </si>
  <si>
    <t>Intrusion via compte oublié</t>
  </si>
  <si>
    <t>Implémenter des règles de désactivation automatique</t>
  </si>
  <si>
    <t>Revue régulière des habilitations</t>
  </si>
  <si>
    <t>Des revues de droits sont-elles réalisées ?</t>
  </si>
  <si>
    <t>Registre de contrôle</t>
  </si>
  <si>
    <t>Droits dépassés</t>
  </si>
  <si>
    <t>Utilisation abusive ou inappropriée</t>
  </si>
  <si>
    <t>Réaliser une revue semestrielle</t>
  </si>
  <si>
    <t>Ségrégation des droits</t>
  </si>
  <si>
    <t>Les droits sont-ils segmentés par rôle ?</t>
  </si>
  <si>
    <t>Matrice des rôles</t>
  </si>
  <si>
    <t>Conflits d’intérêt</t>
  </si>
  <si>
    <t>Détournement de responsabilités</t>
  </si>
  <si>
    <t>Respecter le principe de séparation des tâches</t>
  </si>
  <si>
    <t>Documentation des accès</t>
  </si>
  <si>
    <t>Les accès sont-ils documentés ?</t>
  </si>
  <si>
    <t>Journal des accès</t>
  </si>
  <si>
    <t>Mauvais suivi</t>
  </si>
  <si>
    <t>Impossibilité d’audit ou de justification</t>
  </si>
  <si>
    <t>Tenir à jour un registre des droits</t>
  </si>
  <si>
    <t>S’assurer que l'utilisation de mots de passe et de systèmes de déconnexion automatique est effective ;</t>
  </si>
  <si>
    <t>Activation de la déconnexion automatique</t>
  </si>
  <si>
    <t>Est-ce configuré sur les postes ?</t>
  </si>
  <si>
    <t>Sessions ouvertes</t>
  </si>
  <si>
    <t>Appliquer le time-out automatique</t>
  </si>
  <si>
    <t>Durée de la session limitée</t>
  </si>
  <si>
    <t>La durée d’inactivité avant déconnexion est-elle raisonnable ?</t>
  </si>
  <si>
    <t>Paramétrage</t>
  </si>
  <si>
    <t>Durée excessive</t>
  </si>
  <si>
    <t>Fenêtre de vulnérabilité</t>
  </si>
  <si>
    <t>Adapter selon criticité des postes</t>
  </si>
  <si>
    <t>Sensibilisation à la déconnexion manuelle</t>
  </si>
  <si>
    <t>Guide utilisateur</t>
  </si>
  <si>
    <t>Sessions non fermées</t>
  </si>
  <si>
    <t>Usage détourné des sessions</t>
  </si>
  <si>
    <t>Intégrer dans les formations SSI</t>
  </si>
  <si>
    <t>Mots de passe requis à la reconnexion</t>
  </si>
  <si>
    <t>Faut-il se réauthentifier après coupure ?</t>
  </si>
  <si>
    <t>Système d’exploitation</t>
  </si>
  <si>
    <t>Reconnexion sans contrôle</t>
  </si>
  <si>
    <t>Prise de contrôle facile</t>
  </si>
  <si>
    <t>Imposer authentification post-inactivité</t>
  </si>
  <si>
    <t>Revue régulière de l’efficacité</t>
  </si>
  <si>
    <t>Des contrôles sont-ils faits sur le respect de ces règles ?</t>
  </si>
  <si>
    <t>Journal des audits</t>
  </si>
  <si>
    <t>Conformité non démontrable</t>
  </si>
  <si>
    <t>Réaliser des vérifications périodiques</t>
  </si>
  <si>
    <t>Vérifier que le contrôle des accès aux réseaux est effectif ;</t>
  </si>
  <si>
    <t>Filtrage des connexions</t>
  </si>
  <si>
    <t>Des règles de pare-feu sont-elles mises en œuvre ?</t>
  </si>
  <si>
    <t>Politique de filtrage</t>
  </si>
  <si>
    <t>Intrusions, fuites de données</t>
  </si>
  <si>
    <t>Mettre à jour régulièrement les règles de filtrage</t>
  </si>
  <si>
    <t>Authentification réseau</t>
  </si>
  <si>
    <t>L’accès réseau requiert-il une authentification ?</t>
  </si>
  <si>
    <t>Système d’authentification</t>
  </si>
  <si>
    <t>Compromission du réseau interne</t>
  </si>
  <si>
    <t>Utiliser des mécanismes forts d’authentification</t>
  </si>
  <si>
    <t>Isolation des réseaux</t>
  </si>
  <si>
    <t>Les réseaux sensibles sont-ils isolés ?</t>
  </si>
  <si>
    <t>Schéma réseau</t>
  </si>
  <si>
    <t>Contamination croisée</t>
  </si>
  <si>
    <t>Propagation des malwares</t>
  </si>
  <si>
    <t>Segmenter les réseaux (ex : VLAN)</t>
  </si>
  <si>
    <t>Fichier journal</t>
  </si>
  <si>
    <t>Difficulté à détecter une attaque</t>
  </si>
  <si>
    <t>Activer la journalisation réseau</t>
  </si>
  <si>
    <t>Supervision des connexions</t>
  </si>
  <si>
    <t>Des alertes sont-elles déclenchées en cas d'accès anormal ?</t>
  </si>
  <si>
    <t>SIEM / IDS</t>
  </si>
  <si>
    <t>Intrusion non détectée</t>
  </si>
  <si>
    <t>Dommages prolongés</t>
  </si>
  <si>
    <t>Intégrer une solution de détection d’intrusion</t>
  </si>
  <si>
    <t>Vérifier que le contrôle d'accès aux systèmes d'exploitation est effectif ;</t>
  </si>
  <si>
    <t>Authentification obligatoire</t>
  </si>
  <si>
    <t>Une authentification est-elle nécessaire pour accéder ?</t>
  </si>
  <si>
    <t>Politique d’accès</t>
  </si>
  <si>
    <t>Accès anonyme</t>
  </si>
  <si>
    <t>Compromission des données</t>
  </si>
  <si>
    <t>Exiger une authentification forte</t>
  </si>
  <si>
    <t>Gestion des privilèges</t>
  </si>
  <si>
    <t>Matrice des privilèges</t>
  </si>
  <si>
    <t>Droit excessif</t>
  </si>
  <si>
    <t>Escalade de privilèges</t>
  </si>
  <si>
    <t>Protection des fichiers systèmes</t>
  </si>
  <si>
    <t>Les fichiers critiques sont-ils protégés en écriture ?</t>
  </si>
  <si>
    <t>Droits système</t>
  </si>
  <si>
    <t>Modification non autorisée</t>
  </si>
  <si>
    <t>Dysfonctionnement ou sabotage</t>
  </si>
  <si>
    <t>Limiter l’accès aux fichiers sensibles</t>
  </si>
  <si>
    <t>Suivi des connexions</t>
  </si>
  <si>
    <t>Journaux d’accès</t>
  </si>
  <si>
    <t>Absence de traçabilité</t>
  </si>
  <si>
    <t>Incompatibilité avec audits</t>
  </si>
  <si>
    <t>Garder l’historique des connexions</t>
  </si>
  <si>
    <t>Révocation des accès</t>
  </si>
  <si>
    <t>Les accès obsolètes sont-ils supprimés rapidement ?</t>
  </si>
  <si>
    <t>Procédure de désactivation</t>
  </si>
  <si>
    <t>Compte inactif</t>
  </si>
  <si>
    <t>Accès par des anciens utilisateurs</t>
  </si>
  <si>
    <t>Procédure rapide de suppression des comptes</t>
  </si>
  <si>
    <t>Vérifier que le contrôle d'accès aux applications est effectif ;</t>
  </si>
  <si>
    <t>Authentification utilisateur</t>
  </si>
  <si>
    <t>L’accès nécessite-t-il une authentification ?</t>
  </si>
  <si>
    <t>Politique d’accès applicative</t>
  </si>
  <si>
    <t>Compte partagé</t>
  </si>
  <si>
    <t>Traçabilité impossible</t>
  </si>
  <si>
    <t>Appliquer l’authentification individuelle</t>
  </si>
  <si>
    <t>Gestion des rôles et permissions</t>
  </si>
  <si>
    <t>Les permissions sont-elles adaptées à chaque profil ?</t>
  </si>
  <si>
    <t>Accès injustifié</t>
  </si>
  <si>
    <t>Fuite ou altération de données</t>
  </si>
  <si>
    <t>Réaliser des revues régulières des droits</t>
  </si>
  <si>
    <t>Contrôle des sessions</t>
  </si>
  <si>
    <t>Y a-t-il une expiration automatique de session ?</t>
  </si>
  <si>
    <t>Configuration applicative</t>
  </si>
  <si>
    <t>Sessions trop longues</t>
  </si>
  <si>
    <t>Usurpation de session</t>
  </si>
  <si>
    <t>Activer les timeouts automatiques</t>
  </si>
  <si>
    <t>L’historique des connexions est-il conservé ?</t>
  </si>
  <si>
    <t>Logs applicatifs</t>
  </si>
  <si>
    <t>Investigation impossible</t>
  </si>
  <si>
    <t>Tenir un journal des accès</t>
  </si>
  <si>
    <t>Restriction par adresse IP ou géolocalisation</t>
  </si>
  <si>
    <t>L’accès est-il restreint géographiquement ?</t>
  </si>
  <si>
    <t>Outils de géofencing</t>
  </si>
  <si>
    <t>Accès mondial</t>
  </si>
  <si>
    <t>Exposition excessive</t>
  </si>
  <si>
    <t>Mettre en place des restrictions par IP/zone</t>
  </si>
  <si>
    <t>Vérifier que la surveillance des accès aux systèmes et leur utilisation sont effectives ;</t>
  </si>
  <si>
    <t>Existence d’un journal des événements</t>
  </si>
  <si>
    <t>Des logs d’activités sont-ils générés ?</t>
  </si>
  <si>
    <t>Fichiers logs</t>
  </si>
  <si>
    <t>Non-traçabilité</t>
  </si>
  <si>
    <t>Impossibilité d’enquête</t>
  </si>
  <si>
    <t>Activer la journalisation complète</t>
  </si>
  <si>
    <t>Intégration dans un système central</t>
  </si>
  <si>
    <t>Les logs sont-ils envoyés vers un outil centralisé ?</t>
  </si>
  <si>
    <t>SIEM</t>
  </si>
  <si>
    <t>Logs éparpillés</t>
  </si>
  <si>
    <t>Temps d’analyse élevé</t>
  </si>
  <si>
    <t>Centraliser les journaux d’événements</t>
  </si>
  <si>
    <t>Détection des anomalies</t>
  </si>
  <si>
    <t>Des alertes automatiques sont-elles déclenchées ?</t>
  </si>
  <si>
    <t>Outil de détection</t>
  </si>
  <si>
    <t>Utiliser un IDS ou un outil d’analyse comportementale</t>
  </si>
  <si>
    <t>Archivage des journaux</t>
  </si>
  <si>
    <t>Les journaux sont-ils conservés suffisamment longtemps ?</t>
  </si>
  <si>
    <t>Politique de conservation</t>
  </si>
  <si>
    <t>Absence de preuves</t>
  </si>
  <si>
    <t>Audit impossible</t>
  </si>
  <si>
    <t>Définir une politique de rétention des logs</t>
  </si>
  <si>
    <t>Surveillance 24/7</t>
  </si>
  <si>
    <t>Un service supervise-t-il en continu les activités ?</t>
  </si>
  <si>
    <t>Équipe de supervision</t>
  </si>
  <si>
    <t>Perte de données, non-conformité</t>
  </si>
  <si>
    <t>Mettre en place une supervision H24</t>
  </si>
  <si>
    <t>Vérifier que la gestion de l'informatique mobile est prise en compte ;</t>
  </si>
  <si>
    <t>Politique spécifique pour les appareils</t>
  </si>
  <si>
    <t>Existe-t-il une politique de gestion des appareils mobiles ?</t>
  </si>
  <si>
    <t>Politique mobilité</t>
  </si>
  <si>
    <t>Usage non encadré</t>
  </si>
  <si>
    <t>Définir des règles précises pour les appareils mobiles</t>
  </si>
  <si>
    <t>Chiffrement des données mobiles</t>
  </si>
  <si>
    <t>Les données sur les appareils sont-elles chiffrées ?</t>
  </si>
  <si>
    <t>Perte ou vol d’appareil</t>
  </si>
  <si>
    <t>Imposer le chiffrement systématique</t>
  </si>
  <si>
    <t>Authentification sur mobile</t>
  </si>
  <si>
    <t>Les accès mobiles nécessitent-ils une authentification forte ?</t>
  </si>
  <si>
    <t>MDM, MFA</t>
  </si>
  <si>
    <t>Accès non protégé</t>
  </si>
  <si>
    <t>Compromission du système</t>
  </si>
  <si>
    <t>Implémenter une double authentification</t>
  </si>
  <si>
    <t>Gestion à distance des terminaux</t>
  </si>
  <si>
    <t>Les terminaux sont-ils gérables à distance (effacement, blocage) ?</t>
  </si>
  <si>
    <t>MDM</t>
  </si>
  <si>
    <t>Impossibilité de réaction</t>
  </si>
  <si>
    <t>Risque de non-maîtrise</t>
  </si>
  <si>
    <t>Déployer une solution MDM (Mobile Device Management)</t>
  </si>
  <si>
    <t>Sensibilisation des utilisateurs mobiles</t>
  </si>
  <si>
    <t>Les utilisateurs mobiles sont-ils formés aux risques spécifiques ?</t>
  </si>
  <si>
    <t>Fuite d’information, infection</t>
  </si>
  <si>
    <t>Intégrer ces risques dans les formations SSI</t>
  </si>
  <si>
    <t>Vérifier que des suites sont systématiquement données aux incidents.</t>
  </si>
  <si>
    <t>Existe-t-il une procédure formelle de gestion des incidents ?</t>
  </si>
  <si>
    <t>Manuel ou politique</t>
  </si>
  <si>
    <t>Réactions désorganisées</t>
  </si>
  <si>
    <t>Gestion inefficace des crises</t>
  </si>
  <si>
    <t>Formaliser et diffuser la procédure</t>
  </si>
  <si>
    <t>Registre des incidents</t>
  </si>
  <si>
    <t>Les incidents sont-ils enregistrés et tracés ?</t>
  </si>
  <si>
    <t>Incidents oubliés</t>
  </si>
  <si>
    <t>Tenir un journal structuré</t>
  </si>
  <si>
    <t>Analyse post-incident</t>
  </si>
  <si>
    <t>Une analyse des causes est-elle systématique ?</t>
  </si>
  <si>
    <t>Répétition de vulnérabilités</t>
  </si>
  <si>
    <t>Non-apprentissage des erreurs</t>
  </si>
  <si>
    <t>Mettre en œuvre des revues post-incident</t>
  </si>
  <si>
    <t>Communication et alerte</t>
  </si>
  <si>
    <t>Les incidents sont-ils communiqués aux parties concernées ?</t>
  </si>
  <si>
    <t>Procédure d’escalade</t>
  </si>
  <si>
    <t>Mauvaise coordination</t>
  </si>
  <si>
    <t>Réponse inadéquate</t>
  </si>
  <si>
    <t>Définir des canaux clairs de communication</t>
  </si>
  <si>
    <t>Plan d’amélioration suite à incident</t>
  </si>
  <si>
    <t>Des actions correctives sont-elles systématiquement définies ?</t>
  </si>
  <si>
    <t>Plan d’actions</t>
  </si>
  <si>
    <t>Risque persistant</t>
  </si>
  <si>
    <t>Réapparition de l’incident</t>
  </si>
  <si>
    <t>Associer chaque incident à un plan d’amélioration suivi</t>
  </si>
  <si>
    <t>Développement et maintenance des systèmes.</t>
  </si>
  <si>
    <t>S’assurer que les exigences de sécurité des systèmes existent ;</t>
  </si>
  <si>
    <t>Spécifications de sécurité</t>
  </si>
  <si>
    <t>Des exigences de sécurité sont-elles définies dès la conception ?</t>
  </si>
  <si>
    <t>Manque de sécurité dès la base</t>
  </si>
  <si>
    <t>Vulnérabilités structurelles</t>
  </si>
  <si>
    <t>Intégrer la sécurité dès les phases de conception</t>
  </si>
  <si>
    <t>Revue des exigences</t>
  </si>
  <si>
    <t>Les exigences sont-elles revues et validées par la SSI ?</t>
  </si>
  <si>
    <t>Procès-verbal de validation</t>
  </si>
  <si>
    <t>Exigences incomplètes</t>
  </si>
  <si>
    <t>Risques mal couverts</t>
  </si>
  <si>
    <t>Impliquer la sécurité dans les comités projets</t>
  </si>
  <si>
    <t>Documentation des exigences</t>
  </si>
  <si>
    <t>Sont-elles formalisées et diffusées ?</t>
  </si>
  <si>
    <t>Documentation technique</t>
  </si>
  <si>
    <t>Connaissance partielle</t>
  </si>
  <si>
    <t>Mauvaise implémentation</t>
  </si>
  <si>
    <t>Créer une base documentaire claire</t>
  </si>
  <si>
    <t>Alignement avec la politique de sécurité</t>
  </si>
  <si>
    <t>Sont-elles cohérentes avec la politique générale ?</t>
  </si>
  <si>
    <t>Référentiels internes</t>
  </si>
  <si>
    <t>Mise en œuvre inadaptée</t>
  </si>
  <si>
    <t>Aligner les exigences aux orientations globales SSI</t>
  </si>
  <si>
    <t>Mise à jour des exigences</t>
  </si>
  <si>
    <t>Sont-elles mises à jour à chaque évolution du système ?</t>
  </si>
  <si>
    <t>Versionning</t>
  </si>
  <si>
    <t>Exigences obsolètes</t>
  </si>
  <si>
    <t>Failles introduites</t>
  </si>
  <si>
    <t>Instaurer un processus de mise à jour systématique</t>
  </si>
  <si>
    <t>S’assurer que la sécurité des systèmes d'application est effective.</t>
  </si>
  <si>
    <t>Tests de sécurité</t>
  </si>
  <si>
    <t>Des tests (intrusion, code review) sont-ils effectués ?</t>
  </si>
  <si>
    <t>Vulnérabilités inconnues</t>
  </si>
  <si>
    <t>Exploitation d’une faille</t>
  </si>
  <si>
    <t>Réaliser des tests réguliers</t>
  </si>
  <si>
    <t>Correctifs et mises à jour</t>
  </si>
  <si>
    <t>Les failles connues sont-elles corrigées rapidement ?</t>
  </si>
  <si>
    <t>Gestion des patchs</t>
  </si>
  <si>
    <t>Exploitation de failles connues</t>
  </si>
  <si>
    <t>Attaques opportunistes</t>
  </si>
  <si>
    <t>Appliquer les correctifs sans délai</t>
  </si>
  <si>
    <t>Journalisation dans l’application</t>
  </si>
  <si>
    <t>Les actions utilisateurs sont-elles tracées ?</t>
  </si>
  <si>
    <t>Aucune traçabilité</t>
  </si>
  <si>
    <t>Intrusion indétectable</t>
  </si>
  <si>
    <t>Implémenter une journalisation complète</t>
  </si>
  <si>
    <t>Contrôle des entrées utilisateur</t>
  </si>
  <si>
    <t>Les entrées sont-elles validées côté serveur ?</t>
  </si>
  <si>
    <t>Code source / framework</t>
  </si>
  <si>
    <t>Injection de code</t>
  </si>
  <si>
    <t>Défaçage ou corruption de données</t>
  </si>
  <si>
    <t>Implémenter une validation stricte</t>
  </si>
  <si>
    <t>Surveillance de l’exploitation</t>
  </si>
  <si>
    <t>L’application est-elle supervisée en production ?</t>
  </si>
  <si>
    <t>Outils de monitoring</t>
  </si>
  <si>
    <t>Dysfonctionnement silencieux</t>
  </si>
  <si>
    <t>Perte de disponibilité ou de données</t>
  </si>
  <si>
    <t>Mettre en place un système de surveillance continue</t>
  </si>
  <si>
    <t>S’assurer qu’un protocole de recette existe ;</t>
  </si>
  <si>
    <t>Existence de procédures de recette</t>
  </si>
  <si>
    <t>Y a-t-il un protocole de validation avant mise en service ?</t>
  </si>
  <si>
    <t>Document de recette</t>
  </si>
  <si>
    <t>Mise en production non testée</t>
  </si>
  <si>
    <t>Bugs en environnement réel</t>
  </si>
  <si>
    <t>Documenter un protocole standard</t>
  </si>
  <si>
    <t>Les utilisateurs finaux participent-ils à la recette ?</t>
  </si>
  <si>
    <t>PV de validation</t>
  </si>
  <si>
    <t>Recette déconnectée du terrain</t>
  </si>
  <si>
    <t>Rejet ou mauvaise adoption</t>
  </si>
  <si>
    <t>Impliquer les métiers dans les tests</t>
  </si>
  <si>
    <t>Environnement dédié</t>
  </si>
  <si>
    <t>Un environnement de recette est-il prévu ?</t>
  </si>
  <si>
    <t>Plateforme de test</t>
  </si>
  <si>
    <t>Tests non réalistes</t>
  </si>
  <si>
    <t>Défauts non détectés</t>
  </si>
  <si>
    <t>Créer un environnement proche de la production</t>
  </si>
  <si>
    <t>Critères d’acceptation définis</t>
  </si>
  <si>
    <t>Des critères objectifs de validation sont-ils établis ?</t>
  </si>
  <si>
    <t>Grille d’acceptation</t>
  </si>
  <si>
    <t>Subjectivité</t>
  </si>
  <si>
    <t>Recette incomplète</t>
  </si>
  <si>
    <t>Définir des KPIs de validation</t>
  </si>
  <si>
    <t>Archivage des résultats</t>
  </si>
  <si>
    <t>Les résultats sont-ils documentés ?</t>
  </si>
  <si>
    <t>Registre des résultats</t>
  </si>
  <si>
    <t>Pertes d’information</t>
  </si>
  <si>
    <t>Difficulté à prouver la qualité</t>
  </si>
  <si>
    <t>Archiver systématiquement les tests</t>
  </si>
  <si>
    <t>S’assurer que le protocole de recette a été testé ;</t>
  </si>
  <si>
    <t>Exécution du protocole sur un projet</t>
  </si>
  <si>
    <t>A-t-il été mis en œuvre sur des projets précédents ?</t>
  </si>
  <si>
    <t>Historique de projets</t>
  </si>
  <si>
    <t>Protocole non éprouvé</t>
  </si>
  <si>
    <t>Mise en œuvre inefficace</t>
  </si>
  <si>
    <t>Appliquer le protocole sur un projet pilote</t>
  </si>
  <si>
    <t>Retours d’expérience disponibles</t>
  </si>
  <si>
    <t>Des améliorations ont-elles été proposées ?</t>
  </si>
  <si>
    <t>Retex</t>
  </si>
  <si>
    <t>Protocole figé</t>
  </si>
  <si>
    <t>Récurrence des erreurs</t>
  </si>
  <si>
    <t>Intégrer les retours utilisateurs</t>
  </si>
  <si>
    <t>Vérification de conformité</t>
  </si>
  <si>
    <t>Le protocole a-t-il été audité ?</t>
  </si>
  <si>
    <t>Déviation des pratiques</t>
  </si>
  <si>
    <t>Non-conformité avec le standard qualité</t>
  </si>
  <si>
    <t>Réaliser des audits internes</t>
  </si>
  <si>
    <t>Mise à jour suite à anomalies</t>
  </si>
  <si>
    <t>Le protocole a-t-il été mis à jour après les tests ?</t>
  </si>
  <si>
    <t>Historique de version</t>
  </si>
  <si>
    <t>Amélioration non intégrée</t>
  </si>
  <si>
    <t>Inefficacité répétée</t>
  </si>
  <si>
    <t>Faire évoluer le protocole en continu</t>
  </si>
  <si>
    <t>Acceptation par la DSI</t>
  </si>
  <si>
    <t>La direction informatique l’a-t-elle validé ?</t>
  </si>
  <si>
    <t>Non-adhésion</t>
  </si>
  <si>
    <t>Non-respect du protocole</t>
  </si>
  <si>
    <t>Impliquer les parties prenantes dans sa validation</t>
  </si>
  <si>
    <t>S’assurer que la sécurité des fichiers est prise en compte.</t>
  </si>
  <si>
    <t>Accès contrôlé</t>
  </si>
  <si>
    <t>Les droits d’accès aux fichiers sont-ils correctement définis ?</t>
  </si>
  <si>
    <t>ACL, permissions</t>
  </si>
  <si>
    <t>Divulgation ou altération des fichiers</t>
  </si>
  <si>
    <t>Gérer les droits par groupe selon les besoins réels</t>
  </si>
  <si>
    <t>Chiffrement des fichiers sensibles</t>
  </si>
  <si>
    <t>Les fichiers sensibles sont-ils chiffrés ?</t>
  </si>
  <si>
    <t>Clé de chiffrement</t>
  </si>
  <si>
    <t>Perte de confidentialité</t>
  </si>
  <si>
    <t>Chiffrer les fichiers critiques</t>
  </si>
  <si>
    <t>Sauvegarde régulière</t>
  </si>
  <si>
    <t>Les fichiers sont-ils sauvegardés régulièrement ?</t>
  </si>
  <si>
    <t>Plan de sauvegarde</t>
  </si>
  <si>
    <t>Perte de fichier</t>
  </si>
  <si>
    <t>Perte de production ou historique</t>
  </si>
  <si>
    <t>Mettre en place un planning de sauvegarde quotidien</t>
  </si>
  <si>
    <t>Système de versioning</t>
  </si>
  <si>
    <t>Modification indétectée</t>
  </si>
  <si>
    <t>Responsabilité impossible à établir</t>
  </si>
  <si>
    <t>Utiliser un outil de contrôle de version</t>
  </si>
  <si>
    <t>Accès tiers encadré</t>
  </si>
  <si>
    <t>L’accès aux fichiers par des tiers est-il sécurisé ?</t>
  </si>
  <si>
    <t>Convention de sécurité</t>
  </si>
  <si>
    <t>Exfiltration par prestataire</t>
  </si>
  <si>
    <t>Encadrer contractualement et techniquement l’accès aux tiers</t>
  </si>
  <si>
    <t>Audit de sécurité informatique</t>
  </si>
  <si>
    <t>Comportements non conformes</t>
  </si>
  <si>
    <t>Élaborer et diffuser un cadre éthique formel</t>
  </si>
  <si>
    <t>Failles de sécurité ou non-respect des règles</t>
  </si>
  <si>
    <t>Définir clairement les directives d’usage des SI</t>
  </si>
  <si>
    <t>Application inefficace de la charte</t>
  </si>
  <si>
    <t>Renforcer l'engagement visible de la direction</t>
  </si>
  <si>
    <t>Violations involontaires</t>
  </si>
  <si>
    <t>Sensibiliser régulièrement les employés</t>
  </si>
  <si>
    <t>Effectuer une veille réglementaire et mettre à jour les procédures</t>
  </si>
  <si>
    <t>Non-application des règles éthiques</t>
  </si>
  <si>
    <t>Mettre en place un mécanisme de contrôle régulier</t>
  </si>
  <si>
    <t>Introduire une obligation de signature de la charte éthique</t>
  </si>
  <si>
    <t>Règles sans impact réel</t>
  </si>
  <si>
    <t>Définir des mesures disciplinaires dissuasives</t>
  </si>
  <si>
    <t>Risques réputationnels et légaux</t>
  </si>
  <si>
    <t>Instaurer un mécanisme de détection des violations</t>
  </si>
  <si>
    <t>Gouvernance floue</t>
  </si>
  <si>
    <t>Définir clairement les rôles et responsabilités en matière d’éthique</t>
  </si>
  <si>
    <t>Erreurs humaines fréquentes</t>
  </si>
  <si>
    <t>Déployer un plan de sensibilisation continue</t>
  </si>
  <si>
    <t>Organiser des sessions de formation régulières et ciblées</t>
  </si>
  <si>
    <t>Mauvaise assimilation des notions clés</t>
  </si>
  <si>
    <t>Évaluer l’efficacité des formations via des tests ou feedbacks</t>
  </si>
  <si>
    <t>Impossibilité de prouver la couverture des formations</t>
  </si>
  <si>
    <t>Instaurer un système de traçabilité (registre des présences, attestations)</t>
  </si>
  <si>
    <t>Non-conformité sur le long terme</t>
  </si>
  <si>
    <t>Mettre à jour régulièrement les contenus de formation</t>
  </si>
  <si>
    <t>Peu ou pas de signalement d’incidents</t>
  </si>
  <si>
    <t>Mettre en place un canal de signalement confidentiel</t>
  </si>
  <si>
    <t>Inefficacité des sanctions</t>
  </si>
  <si>
    <t>Établir une politique de sanctions claire et appliquée uniformément</t>
  </si>
  <si>
    <t>Absence d’actions correctives</t>
  </si>
  <si>
    <t>Assurer la traçabilité et le suivi des signalements</t>
  </si>
  <si>
    <t>Absence de dissuasion</t>
  </si>
  <si>
    <t>Publier anonymement les statistiques de traitement des cas</t>
  </si>
  <si>
    <t>Récidive de comportements déviants</t>
  </si>
  <si>
    <t>Renforcer le processus de gestion des violations</t>
  </si>
  <si>
    <t>Faible taux de signalement</t>
  </si>
  <si>
    <t>Garantir la confidentialité et l’anonymat des alertes</t>
  </si>
  <si>
    <t>Méconnaissance du canal de signalement</t>
  </si>
  <si>
    <t>Communiquer régulièrement sur les moyens de signalement</t>
  </si>
  <si>
    <t>Perte de confiance</t>
  </si>
  <si>
    <t>S’assurer que chaque signalement est pris en compte et traité</t>
  </si>
  <si>
    <t>Réduction de l'efficacité du dispositif</t>
  </si>
  <si>
    <t>Évaluer et améliorer périodiquement le dispositif</t>
  </si>
  <si>
    <t>Conflits de responsabilité</t>
  </si>
  <si>
    <t>Définir un organigramme fonctionnel détaillé</t>
  </si>
  <si>
    <t>Confusion dans la prise de décisions</t>
  </si>
  <si>
    <t>Documenter les processus décisionnels</t>
  </si>
  <si>
    <t>Répartition inefficace des tâches</t>
  </si>
  <si>
    <t>Clarifier les fiches de postes</t>
  </si>
  <si>
    <t>Difficultés d’interaction</t>
  </si>
  <si>
    <t>Mettre en place un schéma de communication transversal</t>
  </si>
  <si>
    <t>Aligner les décisions avec les objectifs stratégiques</t>
  </si>
  <si>
    <t>Suivre l'attribution des rôles avec des outils adaptés</t>
  </si>
  <si>
    <t>Fraudes potentielles</t>
  </si>
  <si>
    <t>Mettre en place des contrôles croisés</t>
  </si>
  <si>
    <t>Risques stratégiques</t>
  </si>
  <si>
    <t>Soumettre les changements organisationnels au Conseil</t>
  </si>
  <si>
    <t>Informations introuvables</t>
  </si>
  <si>
    <t>Mettre en place une GED efficace (Gestion électronique des documents)</t>
  </si>
  <si>
    <t>Mauvaise compréhension de la structure</t>
  </si>
  <si>
    <t>Communiquer clairement l’organigramme à tous les niveaux</t>
  </si>
  <si>
    <t>Informations erronées utilisées</t>
  </si>
  <si>
    <t>Mettre à jour régulièrement les documents officiels</t>
  </si>
  <si>
    <t>Décisions retardées</t>
  </si>
  <si>
    <t>Assurer un accès rapide et sécurisé aux documents clés</t>
  </si>
  <si>
    <t>Difficulté à recruter</t>
  </si>
  <si>
    <t>Définir clairement les profils recherchés et améliorer l’attractivité</t>
  </si>
  <si>
    <t>Recrutement de profils inadéquats</t>
  </si>
  <si>
    <t>Mettre en place des critères objectifs de sélection</t>
  </si>
  <si>
    <t>Intégration difficile</t>
  </si>
  <si>
    <t>Renforcer l’accompagnement à l’intégration</t>
  </si>
  <si>
    <t>Perte de compétences clés</t>
  </si>
  <si>
    <t>Valoriser la formation continue</t>
  </si>
  <si>
    <t>Faible engagement</t>
  </si>
  <si>
    <t>Mesurer l’impact des formations et proposer des parcours personnalisés</t>
  </si>
  <si>
    <t>Démotivation</t>
  </si>
  <si>
    <t>Fixer des objectifs clairs, atteignables et suivis</t>
  </si>
  <si>
    <t>Non-reconnaissance des efforts</t>
  </si>
  <si>
    <t>Instaurer une communication régulière sur la performance</t>
  </si>
  <si>
    <t>Sous-exploitation du potentiel</t>
  </si>
  <si>
    <t>Mettre en place un plan de carrière individualisé</t>
  </si>
  <si>
    <t>Évaluations injustes</t>
  </si>
  <si>
    <t>Normaliser le processus d’évaluation</t>
  </si>
  <si>
    <t>Désengagement</t>
  </si>
  <si>
    <t>Impliquer les employés dans la définition de leurs objectifs</t>
  </si>
  <si>
    <t>Nom</t>
  </si>
  <si>
    <t>Prénom</t>
  </si>
  <si>
    <t>Grade</t>
  </si>
  <si>
    <t>Chef :</t>
  </si>
  <si>
    <t>Membres:</t>
  </si>
  <si>
    <t>Total</t>
  </si>
  <si>
    <t xml:space="preserve">Décision documentée  </t>
  </si>
  <si>
    <t xml:space="preserve"> La décision finale est-elle actée dans un PV signé ? </t>
  </si>
  <si>
    <t xml:space="preserve">Analyse du statu quo  </t>
  </si>
  <si>
    <t xml:space="preserve"> L’option "ne rien changer" a-t-elle été évaluée ? </t>
  </si>
  <si>
    <t xml:space="preserve">Impact de l'inaction  </t>
  </si>
  <si>
    <t xml:space="preserve"> Les risques de ne pas agir sont-ils quantifiés ? </t>
  </si>
  <si>
    <t xml:space="preserve">Coûts d'opportunité  </t>
  </si>
  <si>
    <t xml:space="preserve"> Le manque à gagner lié au statu quo est-il estimé ? </t>
  </si>
  <si>
    <t xml:space="preserve">Risques associés  </t>
  </si>
  <si>
    <t xml:space="preserve"> Les risques spécifiques à l’inaction sont-ils dans le registre ? </t>
  </si>
  <si>
    <t xml:space="preserve">Validation  </t>
  </si>
  <si>
    <t xml:space="preserve"> La direction a-t-elle validé l’analyse du statu quo ? </t>
  </si>
  <si>
    <t xml:space="preserve">Évaluation des besoins matériels  </t>
  </si>
  <si>
    <t xml:space="preserve"> Le dimensionnement des serveurs/stockage est-il justifié ? </t>
  </si>
  <si>
    <t xml:space="preserve">Plan de formation  </t>
  </si>
  <si>
    <t xml:space="preserve"> Le nombre de jours de formation est-il budgétisé ? </t>
  </si>
  <si>
    <t xml:space="preserve">Dimensionnement RH  </t>
  </si>
  <si>
    <t xml:space="preserve"> Les effectifs nécessaires post-déploiement sont-ils estimés ? </t>
  </si>
  <si>
    <t xml:space="preserve">Cadre juridique  </t>
  </si>
  <si>
    <t xml:space="preserve"> Les contraintes légales (ex : RGPD) sont-elles intégrées ? </t>
  </si>
  <si>
    <t xml:space="preserve">Faisabilité opérationnelle  </t>
  </si>
  <si>
    <t xml:space="preserve"> Les processus métiers peuvent-ils absorber le changement ? </t>
  </si>
  <si>
    <t xml:space="preserve">ROI calculé  </t>
  </si>
  <si>
    <t xml:space="preserve"> Le retour sur investissement inclut-il les gains tangibles/intangibles ? </t>
  </si>
  <si>
    <t xml:space="preserve">Coûts totaux de possession  </t>
  </si>
  <si>
    <t xml:space="preserve"> Les coûts sur 5 ans (achat, maintenance, formation) sont-ils inclus ? </t>
  </si>
  <si>
    <t xml:space="preserve">Bénéfices quantifiés  </t>
  </si>
  <si>
    <t xml:space="preserve"> Les gains (productivité, réduction des erreurs) sont-ils mesurables ? </t>
  </si>
  <si>
    <t xml:space="preserve">Période de retour  </t>
  </si>
  <si>
    <t xml:space="preserve"> Le temps de retour sur investissement est-il réaliste (&lt;3 ans) ? </t>
  </si>
  <si>
    <t xml:space="preserve">Scénarios financiers  </t>
  </si>
  <si>
    <t>Les scénarios financiers ont-ils été définis et validés pour chaque option stratégique ?</t>
  </si>
  <si>
    <t xml:space="preserve">Matrice risques par option  </t>
  </si>
  <si>
    <t>Une matrice de risques est-elle établie pour chaque option envisagée ?</t>
  </si>
  <si>
    <t xml:space="preserve">Probabilité/impact  </t>
  </si>
  <si>
    <t>Les niveaux de probabilité et d’impact ont-ils été correctement évalués ?</t>
  </si>
  <si>
    <t xml:space="preserve">Mesures préventives  </t>
  </si>
  <si>
    <t>Des mesures préventives sont-elles en place pour atténuer les risques identifiés ?</t>
  </si>
  <si>
    <t xml:space="preserve">Plans de contingence  </t>
  </si>
  <si>
    <t>Existe-t-il un plan de contingence documenté pour chaque scénario critique ?</t>
  </si>
  <si>
    <t xml:space="preserve">Suivi  </t>
  </si>
  <si>
    <t>Des mécanismes de suivi des risques sont-ils en place et utilisés ?</t>
  </si>
  <si>
    <t xml:space="preserve">Grille de sélection objective  </t>
  </si>
  <si>
    <t>Une grille de sélection objective est-elle utilisée pour évaluer les différentes options ?</t>
  </si>
  <si>
    <t xml:space="preserve">Pondération des critères  </t>
  </si>
  <si>
    <t>Les critères sont-ils pondérés de manière cohérente et justifiée ?</t>
  </si>
  <si>
    <t xml:space="preserve">Transparence du processus  </t>
  </si>
  <si>
    <t>Le processus de décision est-il documenté et accessible aux parties prenantes ?</t>
  </si>
  <si>
    <t xml:space="preserve">Documentation  </t>
  </si>
  <si>
    <t>Toutes les étapes critiques sont-elles correctement documentées ?</t>
  </si>
  <si>
    <t xml:space="preserve">Auditabilité  </t>
  </si>
  <si>
    <t>Le processus est-il traçable et vérifiable par un auditeur indépendant ?</t>
  </si>
  <si>
    <t xml:space="preserve">Exigences de sécurité  </t>
  </si>
  <si>
    <t>Les exigences de sécurité sont-elles identifiées et prises en compte dès le début ?</t>
  </si>
  <si>
    <t xml:space="preserve">Normes de contrôle  </t>
  </si>
  <si>
    <t>Les normes de contrôle en vigueur sont-elles respectées ?</t>
  </si>
  <si>
    <t xml:space="preserve">Analyse des vulnérabilités  </t>
  </si>
  <si>
    <t>Une analyse de vulnérabilités a-t-elle été réalisée ?</t>
  </si>
  <si>
    <t xml:space="preserve">Plan de traitement  </t>
  </si>
  <si>
    <t>Un plan de traitement des vulnérabilités est-il mis en œuvre ?</t>
  </si>
  <si>
    <t>Les validations sont-elles formalisées à chaque étape clé ?</t>
  </si>
  <si>
    <t xml:space="preserve">Identification des contrôles  </t>
  </si>
  <si>
    <t>Les contrôles nécessaires ont-ils été identifiés pour chaque processus ?</t>
  </si>
  <si>
    <t xml:space="preserve">Procédures opérationnelles  </t>
  </si>
  <si>
    <t>Des procédures opérationnelles claires sont-elles en place et suivies ?</t>
  </si>
  <si>
    <t xml:space="preserve">Tests de robustesse  </t>
  </si>
  <si>
    <t>Des tests de robustesse ont-ils été réalisés sur les composants critiques ?</t>
  </si>
  <si>
    <t>La documentation est-elle complète, à jour et accessible ?</t>
  </si>
  <si>
    <t xml:space="preserve">Formation  </t>
  </si>
  <si>
    <t>Une formation adaptée a-t-elle été dispensée aux utilisateurs concernés ?</t>
  </si>
  <si>
    <t xml:space="preserve">Conformité aux politiques  </t>
  </si>
  <si>
    <t>Le système est-il conforme aux politiques internes de sécurité et qualité ?</t>
  </si>
  <si>
    <t xml:space="preserve">Intégration des normes  </t>
  </si>
  <si>
    <t>Les normes du secteur sont-elles correctement intégrées dans les processus ?</t>
  </si>
  <si>
    <t>Peut-on retracer l’origine et l’historique de chaque décision ou action ?</t>
  </si>
  <si>
    <t xml:space="preserve">Gouvernance  </t>
  </si>
  <si>
    <t>La gouvernance du projet est-elle clairement définie et respectée ?</t>
  </si>
  <si>
    <t xml:space="preserve">Reporting  </t>
  </si>
  <si>
    <t>Des rapports réguliers sont-ils produits et diffusés aux responsables ?</t>
  </si>
  <si>
    <t xml:space="preserve">Méthode de conception  </t>
  </si>
  <si>
    <t>La méthode de conception est-elle formalisée et appliquée de manière rigoureuse ?</t>
  </si>
  <si>
    <t xml:space="preserve">Référentiel technique  </t>
  </si>
  <si>
    <t>Le projet dispose-t-il d’un référentiel technique validé ?</t>
  </si>
  <si>
    <t xml:space="preserve">Outillage  </t>
  </si>
  <si>
    <t>Les outils utilisés sont-ils adaptés et validés pour les besoins du projet ?</t>
  </si>
  <si>
    <t xml:space="preserve">Bonnes pratiques  </t>
  </si>
  <si>
    <t>Les bonnes pratiques de développement sont-elles respectées ?</t>
  </si>
  <si>
    <t xml:space="preserve">Adaptation  </t>
  </si>
  <si>
    <t>Le projet s’adapte-t-il aux changements de contexte ou aux besoins émergents ?</t>
  </si>
  <si>
    <t xml:space="preserve">Utilisation conforme  </t>
  </si>
  <si>
    <t>Les systèmes sont-ils utilisés conformément à leurs spécifications ?</t>
  </si>
  <si>
    <t xml:space="preserve">Respect des étapes  </t>
  </si>
  <si>
    <t>Le respect des étapes du cycle projet est-il contrôlé ?</t>
  </si>
  <si>
    <t xml:space="preserve">Produits intermédiaires  </t>
  </si>
  <si>
    <t>Les livrables intermédiaires sont-ils produits et validés à chaque étape ?</t>
  </si>
  <si>
    <t>Les livrables sont-ils soumis à validation formelle ?</t>
  </si>
  <si>
    <t xml:space="preserve">Capitalisation  </t>
  </si>
  <si>
    <t>Les retours d’expérience sont-ils capitalisés pour les projets futurs ?</t>
  </si>
  <si>
    <t xml:space="preserve">Compétences attestées  </t>
  </si>
  <si>
    <t>Les membres de l’équipe ont-ils des compétences attestées pour leur rôle ?</t>
  </si>
  <si>
    <t>Un plan de formation a-t-il été mis en place et suivi ?</t>
  </si>
  <si>
    <t xml:space="preserve">Expérience  </t>
  </si>
  <si>
    <t>L’équipe dispose-t-elle d’une expérience suffisante sur des projets similaires ?</t>
  </si>
  <si>
    <t xml:space="preserve">Encadrement  </t>
  </si>
  <si>
    <t>Le projet bénéficie-t-il d’un encadrement technique et fonctionnel suffisant ?</t>
  </si>
  <si>
    <t xml:space="preserve">Évaluation  </t>
  </si>
  <si>
    <t>Des évaluations régulières sont-elles effectuées sur l’avancement et la qualité ?</t>
  </si>
  <si>
    <t xml:space="preserve">Exhaustivité des spécifications  </t>
  </si>
  <si>
    <t>Les spécifications couvrent-elles l’ensemble des besoins exprimés ?</t>
  </si>
  <si>
    <t xml:space="preserve">Traçabilité des exigences  </t>
  </si>
  <si>
    <t>Les exigences sont-elles tracées depuis la collecte jusqu’à la réalisation ?</t>
  </si>
  <si>
    <t xml:space="preserve">Cohérence interne  </t>
  </si>
  <si>
    <t>Les spécifications sont-elles cohérentes entre elles et avec les objectifs du projet ?</t>
  </si>
  <si>
    <t>Chaque spécification est-elle validée par les parties concernées ?</t>
  </si>
  <si>
    <t xml:space="preserve">Gestion des versions  </t>
  </si>
  <si>
    <t>Un système de gestion des versions est-il en place et utilisé ?</t>
  </si>
  <si>
    <t xml:space="preserve">Contrôles préventifs définis  </t>
  </si>
  <si>
    <t>Des contrôles préventifs sont-ils formalisés pour éviter les erreurs critiques ?</t>
  </si>
  <si>
    <t xml:space="preserve">Boucles de correction  </t>
  </si>
  <si>
    <t>Des mécanismes de correction rapide sont-ils prévus en cas d’anomalie ?</t>
  </si>
  <si>
    <t xml:space="preserve">Points de vérification  </t>
  </si>
  <si>
    <t>Des points de vérification systématiques sont-ils définis dans le planning ?</t>
  </si>
  <si>
    <t xml:space="preserve">Alertes  </t>
  </si>
  <si>
    <t>Un système d’alerte est-il en place pour signaler les écarts critiques ?</t>
  </si>
  <si>
    <t xml:space="preserve">Journalisation  </t>
  </si>
  <si>
    <t>Les événements importants sont-ils enregistrés de manière fiable et exploitable ?</t>
  </si>
  <si>
    <t xml:space="preserve">Implication formelle  </t>
  </si>
  <si>
    <t>Les parties prenantes ont-elles une implication formelle dans les processus critiques ?</t>
  </si>
  <si>
    <t xml:space="preserve">Participation aux décisions  </t>
  </si>
  <si>
    <t>Les utilisateurs clés participent-ils aux décisions impactant leur activité ?</t>
  </si>
  <si>
    <t xml:space="preserve">Validation des choix  </t>
  </si>
  <si>
    <t>Les choix technologiques et fonctionnels sont-ils validés de manière formelle ?</t>
  </si>
  <si>
    <t xml:space="preserve">Revues de sécurité  </t>
  </si>
  <si>
    <t>Des revues de sécurité sont-elles réalisées régulièrement ?</t>
  </si>
  <si>
    <t>Des rapports spécifiques à la sécurité sont-ils transmis à la gouvernance ?</t>
  </si>
  <si>
    <t xml:space="preserve">Traçabilité complète  </t>
  </si>
  <si>
    <t>Chaque action importante est-elle tracée avec date, auteur et justification ?</t>
  </si>
  <si>
    <t xml:space="preserve">Journaux d'activité  </t>
  </si>
  <si>
    <t>Les journaux d’activité sont-ils stockés, protégés et consultables ?</t>
  </si>
  <si>
    <t xml:space="preserve">Pistes d'audit  </t>
  </si>
  <si>
    <t>Des pistes d’audit fiables permettent-elles de reconstituer les opérations ?</t>
  </si>
  <si>
    <t xml:space="preserve">Conservation  </t>
  </si>
  <si>
    <t>Les données et documents sont-ils conservés selon les durées légales et contractuelles ?</t>
  </si>
  <si>
    <t xml:space="preserve">Analyse  </t>
  </si>
  <si>
    <t>Les données recueillies font-elles l’objet d’une analyse régulière et utile ?</t>
  </si>
  <si>
    <t xml:space="preserve">Participation active  </t>
  </si>
  <si>
    <t>Les utilisateurs participent-ils activement aux phases critiques du projet ?</t>
  </si>
  <si>
    <t xml:space="preserve">Ateliers de conception  </t>
  </si>
  <si>
    <t>Des ateliers de conception impliquent-ils toutes les parties concernées ?</t>
  </si>
  <si>
    <t xml:space="preserve">Tests utilisateurs  </t>
  </si>
  <si>
    <t>Des tests utilisateurs sont-ils organisés avant chaque mise en production ?</t>
  </si>
  <si>
    <t>Les retours des tests utilisateurs donnent-ils lieu à une validation formelle ?</t>
  </si>
  <si>
    <t xml:space="preserve">Feedback  </t>
  </si>
  <si>
    <t>Les retours des utilisateurs sont-ils systématiquement collectés et pris en compte ?</t>
  </si>
  <si>
    <t xml:space="preserve">Revue formelle  </t>
  </si>
  <si>
    <t>Les documents livrés font-ils l’objet d’une revue formelle avant validation ?</t>
  </si>
  <si>
    <t xml:space="preserve">Liste des points vérifiés  </t>
  </si>
  <si>
    <t>Une liste de contrôle est-elle utilisée pour chaque livraison ou mise en production ?</t>
  </si>
  <si>
    <t xml:space="preserve">Correctifs apportés  </t>
  </si>
  <si>
    <t>Les correctifs nécessaires sont-ils clairement identifiés et appliqués ?</t>
  </si>
  <si>
    <t xml:space="preserve">Nouvelle validation  </t>
  </si>
  <si>
    <t>Une nouvelle validation est-elle exigée après application de correctifs ?</t>
  </si>
  <si>
    <t xml:space="preserve">Versionning  </t>
  </si>
  <si>
    <t>Le versionning est-il appliqué à tous les livrables et documents importants ?</t>
  </si>
  <si>
    <t xml:space="preserve">Méthode de développement  </t>
  </si>
  <si>
    <t>Une méthode de développement est-elle définie et appliquée avec rigueur ?</t>
  </si>
  <si>
    <t xml:space="preserve">Standards de codage  </t>
  </si>
  <si>
    <t>Les standards de codage sont-ils connus, partagés et respectés par tous les développeurs ?</t>
  </si>
  <si>
    <t>Les outils de développement et de test sont-ils à jour et adaptés ?</t>
  </si>
  <si>
    <t>Les bonnes pratiques de codage, de test et de documentation sont-elles suivies ?</t>
  </si>
  <si>
    <t>La documentation technique est-elle suffisante pour maintenir et faire évoluer le système ?</t>
  </si>
  <si>
    <t xml:space="preserve">Respect des procédures  </t>
  </si>
  <si>
    <t>Les procédures internes sont-elles connues et respectées tout au long du projet ?</t>
  </si>
  <si>
    <t xml:space="preserve">Revues de code  </t>
  </si>
  <si>
    <t>Des revues de code sont-elles organisées et documentées régulièrement ?</t>
  </si>
  <si>
    <t xml:space="preserve">Tests unitaires  </t>
  </si>
  <si>
    <t>Les tests unitaires sont-ils systématiques et couvrent-ils les cas critiques ?</t>
  </si>
  <si>
    <t>Les sources sont-ils versionnés avec traçabilité des changements ?</t>
  </si>
  <si>
    <t xml:space="preserve">Qualité  </t>
  </si>
  <si>
    <t>La qualité est-elle évaluée avec des indicateurs objectifs et suivie dans le temps ?</t>
  </si>
  <si>
    <t xml:space="preserve">Expertise technique  </t>
  </si>
  <si>
    <t>L’équipe technique possède-t-elle l’expertise nécessaire pour traiter les sujets complexes ?</t>
  </si>
  <si>
    <t>Une formation technique initiale et continue est-elle dispensée ?</t>
  </si>
  <si>
    <t xml:space="preserve">Pair programming  </t>
  </si>
  <si>
    <t>Le pair programming est-il utilisé pour renforcer les compétences et la qualité ?</t>
  </si>
  <si>
    <t xml:space="preserve">Normes documentaires  </t>
  </si>
  <si>
    <t>Les normes de rédaction sont-elles définies et appliquées à tous les documents ?</t>
  </si>
  <si>
    <t xml:space="preserve">Structuration  </t>
  </si>
  <si>
    <t>La structure des documents est-elle cohérente, claire et facilitante ?</t>
  </si>
  <si>
    <t>L’aide à la saisie est disponible dans le système</t>
  </si>
  <si>
    <t>L’aide à la saisie est disponible dans le système ?</t>
  </si>
  <si>
    <t>Plan d’occupation des sols (POS) du SI</t>
  </si>
  <si>
    <t>Non-respect des SLA</t>
  </si>
  <si>
    <t>L’aide est visible dès la création d’un ticket</t>
  </si>
  <si>
    <t>L’aide est visible dès la création d’un ticket ?</t>
  </si>
  <si>
    <t>Procédure de création d’un nouvel utilisateur</t>
  </si>
  <si>
    <t>Décision basée sur des données obsolètes</t>
  </si>
  <si>
    <t>L’aide couvre toutes les étapes de saisie</t>
  </si>
  <si>
    <t>L’aide couvre toutes les étapes de saisie ?</t>
  </si>
  <si>
    <t>L’aide est régulièrement mise à jour</t>
  </si>
  <si>
    <t>L’aide est régulièrement mise à jour ?</t>
  </si>
  <si>
    <t>Inventaires des licences</t>
  </si>
  <si>
    <t>Les utilisateurs sont formés à l’utilisation de l’aide</t>
  </si>
  <si>
    <t>Les utilisateurs sont formés à l’utilisation de l’aide ?</t>
  </si>
  <si>
    <t>Erreur de saisie non détectée</t>
  </si>
  <si>
    <t>Des revues qualité sont planifiées régulièrement</t>
  </si>
  <si>
    <t>Des revues qualité sont planifiées régulièrement ?</t>
  </si>
  <si>
    <t>Les tickets font l’objet d’un contrôle de qualité</t>
  </si>
  <si>
    <t>Les tickets font l’objet d’un contrôle de qualité ?</t>
  </si>
  <si>
    <t>Perte d'informations critiques</t>
  </si>
  <si>
    <t>Les erreurs fréquentes sont identifiées</t>
  </si>
  <si>
    <t>Les erreurs fréquentes sont identifiées ?</t>
  </si>
  <si>
    <t>Les retours sont suivis d’actions correctives</t>
  </si>
  <si>
    <t>Les retours sont suivis d’actions correctives ?</t>
  </si>
  <si>
    <t>Liste des applications avec leur descriptif</t>
  </si>
  <si>
    <t>Les revues sont tracées et archivées</t>
  </si>
  <si>
    <t>Les revues sont tracées et archivées ?</t>
  </si>
  <si>
    <t>Pertes opérationnelles</t>
  </si>
  <si>
    <t>Une base de connaissance est disponible en ligne</t>
  </si>
  <si>
    <t>Une base de connaissance est disponible en ligne ?</t>
  </si>
  <si>
    <t>Les utilisateurs y ont un accès libre</t>
  </si>
  <si>
    <t>Les utilisateurs y ont un accès libre ?</t>
  </si>
  <si>
    <t>Les contenus sont validés avant publication</t>
  </si>
  <si>
    <t>Les contenus sont validés avant publication ?</t>
  </si>
  <si>
    <t>Liste des 100 derniers incidents</t>
  </si>
  <si>
    <t>La base couvre les besoins métiers</t>
  </si>
  <si>
    <t>La base couvre l’ensemble des besoins métiers ?</t>
  </si>
  <si>
    <t>La base est intégrée à l’outil support</t>
  </si>
  <si>
    <t>La base est intégrée à l’outil support ?</t>
  </si>
  <si>
    <t>Une procédure de mise à jour est documentée</t>
  </si>
  <si>
    <t>Une procédure de mise à jour est documentée ?</t>
  </si>
  <si>
    <t>Les responsabilités de mise à jour sont définies</t>
  </si>
  <si>
    <t>Les responsabilités de mise à jour sont-elles définies ?</t>
  </si>
  <si>
    <t>Les mises à jour sont validées avant publication</t>
  </si>
  <si>
    <t>Les mises à jour sont-elles validées avant publication ?</t>
  </si>
  <si>
    <t>Comptes rendus des comités ou GT consacrés aux SI</t>
  </si>
  <si>
    <t>Les utilisateurs sont notifiés des mises à jour</t>
  </si>
  <si>
    <t>Les utilisateurs sont-ils notifiés des mises à jour ?</t>
  </si>
  <si>
    <t>Les mises à jour sont tracées</t>
  </si>
  <si>
    <t>Les mises à jour sont-elles tracées ?</t>
  </si>
  <si>
    <t>Les appels sont automatiquement enregistrés</t>
  </si>
  <si>
    <t>Les appels sont-ils automatiquement enregistrés ?</t>
  </si>
  <si>
    <t>Liste des 100 derniers incidents dans le domaine d’audit</t>
  </si>
  <si>
    <t>L’enregistrement démarre dès la réception de l’appel</t>
  </si>
  <si>
    <t>L’enregistrement démarre-t-il dès la réception de l’appel ?</t>
  </si>
  <si>
    <t>Les appels sont conservés pendant une durée définie</t>
  </si>
  <si>
    <t>Les appels sont-ils conservés pendant une durée définie ?</t>
  </si>
  <si>
    <t>Les enregistrements sont accessibles aux auditeurs</t>
  </si>
  <si>
    <t>Les enregistrements sont-ils accessibles aux auditeurs ?</t>
  </si>
  <si>
    <t>Les appels sont liés aux tickets correspondants</t>
  </si>
  <si>
    <t>Les appels sont-ils liés aux tickets correspondants ?</t>
  </si>
  <si>
    <t>Une procédure de déploiement est formalisée</t>
  </si>
  <si>
    <t>Une procédure de déploiement est-elle formalisée ?</t>
  </si>
  <si>
    <t>Des étapes claires sont définies pour chaque déploiement</t>
  </si>
  <si>
    <t>Des étapes claires sont-elles définies ?</t>
  </si>
  <si>
    <t>Des outils automatisés sont utilisés</t>
  </si>
  <si>
    <t>Des outils automatisés sont-ils utilisés pour le déploiement ?</t>
  </si>
  <si>
    <t>Les tests de validation sont inclus</t>
  </si>
  <si>
    <t>Les tests de validation sont-ils inclus dans la procédure ?</t>
  </si>
  <si>
    <t>Des responsables sont désignés pour chaque étape</t>
  </si>
  <si>
    <t>Des responsables sont-ils désignés pour chaque étape ?</t>
  </si>
  <si>
    <t>Organigramme des projets et des rôles</t>
  </si>
  <si>
    <t>Des outils de versioning sont utilisés</t>
  </si>
  <si>
    <t>Des outils de versioning sont-ils utilisés ?</t>
  </si>
  <si>
    <t>Liste des applications avec descriptif</t>
  </si>
  <si>
    <t>Les versions sont correctement numérotées</t>
  </si>
  <si>
    <t>Les versions sont-elles correctement numérotées ?</t>
  </si>
  <si>
    <t>Chaque version est liée à une documentation</t>
  </si>
  <si>
    <t>Chaque version est-elle liée à une documentation ?</t>
  </si>
  <si>
    <t>Des sauvegardes sont faites avant chaque mise à jour</t>
  </si>
  <si>
    <t>Des sauvegardes sont-elles réalisées avant mise à jour ?</t>
  </si>
  <si>
    <t>Les outils permettent le rollback en cas d’échec</t>
  </si>
  <si>
    <t>Le rollback est-il prévu en cas d’échec ?</t>
  </si>
  <si>
    <t>Un inventaire du matériel est tenu à jour</t>
  </si>
  <si>
    <t>L’inventaire du matériel est-il à jour ?</t>
  </si>
  <si>
    <t>Chaque matériel a un identifiant unique</t>
  </si>
  <si>
    <t>Chaque matériel a-t-il un identifiant unique ?</t>
  </si>
  <si>
    <t>Les affectations sont tracées</t>
  </si>
  <si>
    <t>Les affectations sont-elles tracées dans le système ?</t>
  </si>
  <si>
    <t>Des alertes sont prévues pour les fins de vie</t>
  </si>
  <si>
    <t>Des alertes sont-elles prévues pour les fins de vie ?</t>
  </si>
  <si>
    <t>Les mouvements de matériel sont suivis</t>
  </si>
  <si>
    <t>Les mouvements de matériel sont-ils suivis ?</t>
  </si>
  <si>
    <t>Un processus spécifique est défini</t>
  </si>
  <si>
    <t>Un processus spécifique est-il défini pour les portables ?</t>
  </si>
  <si>
    <t>Le processus inclut la vérification automatique</t>
  </si>
  <si>
    <t>La vérification est-elle automatisée ?</t>
  </si>
  <si>
    <t>Les mises à jour sont planifiées régulièrement</t>
  </si>
  <si>
    <t>Les mises à jour sont-elles planifiées régulièrement ?</t>
  </si>
  <si>
    <t>Le processus couvre tous les types de logiciels</t>
  </si>
  <si>
    <t>Tous les logiciels sont-ils concernés ?</t>
  </si>
  <si>
    <t>Les incidents sont suivis suite aux mises à jour</t>
  </si>
  <si>
    <t>Les incidents liés aux mises à jour sont-ils suivis ?</t>
  </si>
  <si>
    <t>Un outil de déploiement distant est utilisé</t>
  </si>
  <si>
    <t>Un outil de déploiement distant est-il utilisé ?</t>
  </si>
  <si>
    <t>Infrastructure logicielle et matérielle</t>
  </si>
  <si>
    <t>L'accès aux machines distantes est sécurisé</t>
  </si>
  <si>
    <t>L’accès aux machines distantes est-il sécurisé ?</t>
  </si>
  <si>
    <t>Politiques SI et de sécurité SI</t>
  </si>
  <si>
    <t>Les utilisateurs nomades sont identifiés</t>
  </si>
  <si>
    <t>Les utilisateurs nomades sont-ils identifiés ?</t>
  </si>
  <si>
    <t>Liste des profils avec descriptifs</t>
  </si>
  <si>
    <t>Les actions de déploiement sont traçables</t>
  </si>
  <si>
    <t>Les déploiements sont-ils tracés ?</t>
  </si>
  <si>
    <t>Un support est prévu pour les utilisateurs à distance</t>
  </si>
  <si>
    <t>Un support est-il prévu pour les utilisateurs nomades ?</t>
  </si>
  <si>
    <t>L’inventaire des licences est mis à jour</t>
  </si>
  <si>
    <t>L’inventaire des licences est-il régulièrement mis à jour ?</t>
  </si>
  <si>
    <t>Chaque licence est liée à un logiciel</t>
  </si>
  <si>
    <t>Chaque licence est-elle liée à un logiciel spécifique ?</t>
  </si>
  <si>
    <t>Les dates de validité sont renseignées</t>
  </si>
  <si>
    <t>Les dates de validité des licences sont-elles renseignées ?</t>
  </si>
  <si>
    <t>Le nombre d’utilisateurs est respecté</t>
  </si>
  <si>
    <t>Le nombre d’utilisateurs est-il conforme aux contrats ?</t>
  </si>
  <si>
    <t>L’historique des versions est disponible</t>
  </si>
  <si>
    <t>Un outil SAM est effectivement utilisé</t>
  </si>
  <si>
    <t>Un outil SAM est-il utilisé ?</t>
  </si>
  <si>
    <t>L’outil couvre l’ensemble du parc logiciel</t>
  </si>
  <si>
    <t>Le parc logiciel est-il totalement couvert ?</t>
  </si>
  <si>
    <t>Les inventaires sont synchronisés</t>
  </si>
  <si>
    <t>Les inventaires sont-ils synchronisés automatiquement ?</t>
  </si>
  <si>
    <t>Les alertes sont configurées en cas d’écart</t>
  </si>
  <si>
    <t>Des alertes sont-elles configurées ?</t>
  </si>
  <si>
    <t>Le personnel est formé à l’utilisation de l’outil</t>
  </si>
  <si>
    <t>Le personnel est-il formé à l’utilisation de SAM ?</t>
  </si>
  <si>
    <t>Les revues sont réalisées périodiquement</t>
  </si>
  <si>
    <t>Les revues de licences sont-elles réalisées régulièrement ?</t>
  </si>
  <si>
    <t>Les écarts sont analysés et traités</t>
  </si>
  <si>
    <t>Les écarts constatés sont-ils analysés ?</t>
  </si>
  <si>
    <t>Les décisions issues des revues sont appliquées</t>
  </si>
  <si>
    <t>Les décisions issues des revues sont-elles mises en œuvre ?</t>
  </si>
  <si>
    <t>Les résultats sont partagés avec la DSI</t>
  </si>
  <si>
    <t>Les résultats sont-ils communiqués à la DSI ?</t>
  </si>
  <si>
    <t>Un calendrier de revues est défini</t>
  </si>
  <si>
    <t>Un calendrier de revues est-il défini ?</t>
  </si>
  <si>
    <t>Des audits logiciels sont réalisés régulièrement</t>
  </si>
  <si>
    <t>Des audits logiciels sont-ils réalisés régulièrement ?</t>
  </si>
  <si>
    <t>Les audits couvrent toutes les applications</t>
  </si>
  <si>
    <t>Les audits couvrent-ils l’ensemble des applications concernées ?</t>
  </si>
  <si>
    <t>Les résultats sont analysés et suivis</t>
  </si>
  <si>
    <t>Les résultats des audits sont-ils analysés et suivis ?</t>
  </si>
  <si>
    <t>Les non-conformités sont traitées</t>
  </si>
  <si>
    <t>Les non-conformités détectées sont-elles corrigées ?</t>
  </si>
  <si>
    <t>Les comptes rendus sont transmis aux parties prenantes</t>
  </si>
  <si>
    <t>Les comptes rendus sont-ils transmis aux responsables concernés ?</t>
  </si>
  <si>
    <t>Une politique logicielle est formalisée</t>
  </si>
  <si>
    <t>Existe-t-il une politique logicielle formalisée ?</t>
  </si>
  <si>
    <t>La politique est validée par la DSI</t>
  </si>
  <si>
    <t>La politique logicielle est-elle validée par la DSI ?</t>
  </si>
  <si>
    <t>Elle est communiquée à l’ensemble des acteurs</t>
  </si>
  <si>
    <t>La politique logicielle est-elle communiquée aux utilisateurs ?</t>
  </si>
  <si>
    <t>Elle définit les règles de mise à jour</t>
  </si>
  <si>
    <t>La politique précise-t-elle les règles de mise à jour ?</t>
  </si>
  <si>
    <t>Elle s’applique à toutes les entités concernées</t>
  </si>
  <si>
    <t>La politique logicielle s’applique-t-elle à toutes les équipes ?</t>
  </si>
  <si>
    <t>Synthèse Numérique</t>
  </si>
  <si>
    <t>Equipe de Mission</t>
  </si>
  <si>
    <t>N°</t>
  </si>
  <si>
    <t>Total OUI</t>
  </si>
  <si>
    <t>Total NON</t>
  </si>
  <si>
    <t>Total PAS</t>
  </si>
  <si>
    <t>Score</t>
  </si>
  <si>
    <t>Chef de Mission</t>
  </si>
  <si>
    <t>Martin</t>
  </si>
  <si>
    <t>Synthèse Graphique</t>
  </si>
  <si>
    <t>Audit des applications en service</t>
  </si>
  <si>
    <t>Audit et contrôle des projets informatiques</t>
  </si>
  <si>
    <t>Audit du support utilisateur et de la gestion du Parc</t>
  </si>
  <si>
    <t>NOn</t>
  </si>
  <si>
    <t>Environnement de contrôle</t>
  </si>
  <si>
    <t>Évaluation des risques</t>
  </si>
  <si>
    <t>Activités de contrôle</t>
  </si>
  <si>
    <t>Information et communication</t>
  </si>
  <si>
    <t>Activités de surveillence</t>
  </si>
  <si>
    <t>OWONO OWONO</t>
  </si>
  <si>
    <t>Documents requis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</si>
</sst>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font>
      <sz val="11"/>
      <color theme="1"/>
      <name val="Calibri"/>
      <family val="2"/>
      <scheme val="minor"/>
    </font>
    <font>
      <b/>
      <sz val="11"/>
      <color theme="1"/>
      <name val="Calibri"/>
      <family val="2"/>
      <scheme val="minor"/>
    </font>
    <font>
      <sz val="12"/>
      <color theme="1"/>
      <name val="Aptos"/>
      <family val="2"/>
    </font>
    <font>
      <b/>
      <sz val="12"/>
      <color theme="1"/>
      <name val="Aptos"/>
      <family val="2"/>
    </font>
    <font>
      <b/>
      <sz val="22"/>
      <color theme="1"/>
      <name val="Calibri"/>
      <family val="2"/>
      <scheme val="minor"/>
    </font>
    <font>
      <b/>
      <sz val="22"/>
      <color theme="1"/>
      <name val="Aptos"/>
      <family val="2"/>
    </font>
    <font>
      <b/>
      <sz val="20"/>
      <color theme="1"/>
      <name val="Aptos"/>
      <family val="2"/>
    </font>
    <font>
      <sz val="24"/>
      <color theme="1"/>
      <name val="Aptos"/>
    </font>
    <font>
      <sz val="20"/>
      <color theme="1"/>
      <name val="Aptos"/>
      <family val="2"/>
    </font>
    <font>
      <b/>
      <sz val="20"/>
      <color theme="1"/>
      <name val="Aptos"/>
    </font>
    <font>
      <sz val="16"/>
      <color theme="1"/>
      <name val="Calibri"/>
      <family val="2"/>
      <scheme val="minor"/>
    </font>
    <font>
      <sz val="18"/>
      <color theme="1"/>
      <name val="Aptos"/>
      <family val="2"/>
    </font>
    <font>
      <sz val="18"/>
      <color theme="1"/>
      <name val="Calibri"/>
      <family val="2"/>
      <scheme val="minor"/>
    </font>
    <font>
      <b/>
      <sz val="22"/>
      <color theme="1"/>
      <name val="Aptos"/>
    </font>
    <font>
      <b/>
      <sz val="18"/>
      <color theme="1"/>
      <name val="Aptos"/>
      <family val="2"/>
    </font>
    <font>
      <b/>
      <sz val="24"/>
      <color theme="1"/>
      <name val="Aptos"/>
      <family val="2"/>
    </font>
    <font>
      <sz val="18"/>
      <color theme="1"/>
      <name val="Aptos"/>
    </font>
    <font>
      <sz val="12"/>
      <color theme="1"/>
      <name val="Aptos"/>
    </font>
    <font>
      <sz val="11"/>
      <color theme="1"/>
      <name val="Calibri Light"/>
      <scheme val="major"/>
    </font>
    <font>
      <sz val="7"/>
      <color theme="1"/>
      <name val="Times New Roman"/>
      <family val="1"/>
    </font>
    <font>
      <sz val="12"/>
      <color theme="1"/>
      <name val="Times New Roman"/>
      <family val="1"/>
    </font>
    <font>
      <sz val="12"/>
      <name val="Times New Roman"/>
      <family val="1"/>
    </font>
    <font>
      <sz val="11"/>
      <color theme="1"/>
      <name val="Calibri"/>
      <family val="2"/>
      <scheme val="minor"/>
    </font>
    <font>
      <b/>
      <sz val="12"/>
      <color theme="1"/>
      <name val="Calibri"/>
      <family val="2"/>
      <scheme val="minor"/>
    </font>
    <font>
      <sz val="12"/>
      <color theme="1"/>
      <name val="Calibri"/>
      <family val="2"/>
      <scheme val="minor"/>
    </font>
    <font>
      <sz val="16"/>
      <color theme="1"/>
      <name val="Aptos"/>
      <family val="2"/>
    </font>
    <font>
      <b/>
      <sz val="18"/>
      <color theme="1"/>
      <name val="Aptos"/>
    </font>
    <font>
      <sz val="20"/>
      <color theme="1"/>
      <name val="Aptos"/>
    </font>
    <font>
      <sz val="12"/>
      <color theme="1"/>
      <name val="Cambria"/>
      <family val="1"/>
    </font>
    <font>
      <sz val="11"/>
      <color rgb="FF000000"/>
      <name val="Calibri"/>
      <family val="2"/>
    </font>
    <font>
      <b/>
      <sz val="20"/>
      <color theme="1"/>
      <name val="Calibri"/>
      <family val="2"/>
      <scheme val="minor"/>
    </font>
    <font>
      <b/>
      <sz val="18"/>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00B050"/>
        <bgColor indexed="64"/>
      </patternFill>
    </fill>
    <fill>
      <patternFill patternType="solid">
        <fgColor rgb="FFFF0000"/>
        <bgColor indexed="64"/>
      </patternFill>
    </fill>
    <fill>
      <patternFill patternType="solid">
        <fgColor theme="5"/>
        <bgColor indexed="64"/>
      </patternFill>
    </fill>
    <fill>
      <patternFill patternType="solid">
        <fgColor rgb="FFFFFF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thin">
        <color indexed="64"/>
      </top>
      <bottom/>
      <diagonal/>
    </border>
  </borders>
  <cellStyleXfs count="2">
    <xf numFmtId="0" fontId="0" fillId="0" borderId="0"/>
    <xf numFmtId="9" fontId="22" fillId="0" borderId="0" applyFont="0" applyFill="0" applyBorder="0" applyAlignment="0" applyProtection="0"/>
  </cellStyleXfs>
  <cellXfs count="411">
    <xf numFmtId="0" fontId="0" fillId="0" borderId="0" xfId="0"/>
    <xf numFmtId="0" fontId="0" fillId="0" borderId="0" xfId="0"/>
    <xf numFmtId="0" fontId="0" fillId="0" borderId="6" xfId="0" applyBorder="1"/>
    <xf numFmtId="0" fontId="0" fillId="0" borderId="9" xfId="0" applyBorder="1"/>
    <xf numFmtId="0" fontId="0" fillId="0" borderId="6" xfId="0" applyBorder="1" applyAlignment="1">
      <alignment horizontal="left" vertical="center"/>
    </xf>
    <xf numFmtId="0" fontId="12" fillId="0" borderId="0" xfId="0" applyFont="1"/>
    <xf numFmtId="0" fontId="12" fillId="0" borderId="0" xfId="0" applyFont="1" applyAlignment="1">
      <alignment horizontal="left"/>
    </xf>
    <xf numFmtId="0" fontId="0" fillId="0" borderId="1" xfId="0" applyBorder="1"/>
    <xf numFmtId="0" fontId="0" fillId="0" borderId="1" xfId="0" applyBorder="1" applyAlignment="1">
      <alignment horizontal="center"/>
    </xf>
    <xf numFmtId="0" fontId="0" fillId="0" borderId="23" xfId="0" applyBorder="1"/>
    <xf numFmtId="0" fontId="2" fillId="0" borderId="1" xfId="0" applyFont="1" applyBorder="1" applyAlignment="1">
      <alignment horizontal="left" vertical="center"/>
    </xf>
    <xf numFmtId="0" fontId="9" fillId="3" borderId="4" xfId="0" applyFont="1" applyFill="1" applyBorder="1" applyAlignment="1">
      <alignment horizontal="left" vertical="center"/>
    </xf>
    <xf numFmtId="0" fontId="10" fillId="3" borderId="14" xfId="0" applyFont="1" applyFill="1" applyBorder="1" applyAlignment="1">
      <alignment horizontal="center"/>
    </xf>
    <xf numFmtId="0" fontId="11" fillId="3" borderId="3" xfId="0" applyFont="1" applyFill="1" applyBorder="1" applyAlignment="1">
      <alignment horizontal="left" vertical="center"/>
    </xf>
    <xf numFmtId="0" fontId="16" fillId="3" borderId="3" xfId="0" applyFont="1" applyFill="1" applyBorder="1" applyAlignment="1">
      <alignment horizontal="left" vertical="center"/>
    </xf>
    <xf numFmtId="0" fontId="16" fillId="3" borderId="4" xfId="0" applyFont="1" applyFill="1" applyBorder="1" applyAlignment="1">
      <alignment horizontal="left" vertical="center"/>
    </xf>
    <xf numFmtId="0" fontId="8" fillId="3" borderId="1" xfId="0" applyFont="1" applyFill="1" applyBorder="1" applyAlignment="1">
      <alignment horizontal="left" vertical="center"/>
    </xf>
    <xf numFmtId="0" fontId="11" fillId="3" borderId="1" xfId="0" applyFont="1" applyFill="1" applyBorder="1" applyAlignment="1">
      <alignment horizontal="left" vertical="center"/>
    </xf>
    <xf numFmtId="0" fontId="16" fillId="3" borderId="1" xfId="0" applyFont="1" applyFill="1" applyBorder="1" applyAlignment="1">
      <alignment horizontal="left" vertical="center"/>
    </xf>
    <xf numFmtId="0" fontId="16" fillId="3" borderId="6" xfId="0" applyFont="1" applyFill="1" applyBorder="1" applyAlignment="1">
      <alignment horizontal="left" vertical="center"/>
    </xf>
    <xf numFmtId="0" fontId="8" fillId="3" borderId="8" xfId="0" applyFont="1" applyFill="1" applyBorder="1" applyAlignment="1">
      <alignment horizontal="left" vertical="center"/>
    </xf>
    <xf numFmtId="0" fontId="11" fillId="3" borderId="8" xfId="0" applyFont="1" applyFill="1" applyBorder="1" applyAlignment="1">
      <alignment horizontal="left" vertical="center"/>
    </xf>
    <xf numFmtId="0" fontId="16" fillId="3" borderId="8" xfId="0" applyFont="1" applyFill="1" applyBorder="1" applyAlignment="1">
      <alignment horizontal="left" vertical="center"/>
    </xf>
    <xf numFmtId="0" fontId="16" fillId="3" borderId="9" xfId="0" applyFont="1" applyFill="1" applyBorder="1" applyAlignment="1">
      <alignment horizontal="left" vertical="center"/>
    </xf>
    <xf numFmtId="0" fontId="8" fillId="3" borderId="3" xfId="0" applyFont="1" applyFill="1" applyBorder="1" applyAlignment="1">
      <alignment horizontal="left" vertical="center"/>
    </xf>
    <xf numFmtId="0" fontId="8" fillId="3" borderId="4" xfId="0" applyFont="1" applyFill="1" applyBorder="1" applyAlignment="1">
      <alignment horizontal="left" vertical="center"/>
    </xf>
    <xf numFmtId="0" fontId="9" fillId="4" borderId="4" xfId="0" applyFont="1" applyFill="1" applyBorder="1" applyAlignment="1">
      <alignment horizontal="left" vertical="center"/>
    </xf>
    <xf numFmtId="0" fontId="10" fillId="4" borderId="14" xfId="0" applyFont="1" applyFill="1" applyBorder="1" applyAlignment="1">
      <alignment horizontal="center"/>
    </xf>
    <xf numFmtId="0" fontId="11" fillId="4" borderId="3" xfId="0" applyFont="1" applyFill="1" applyBorder="1" applyAlignment="1">
      <alignment horizontal="left" vertical="center"/>
    </xf>
    <xf numFmtId="0" fontId="16" fillId="4" borderId="3" xfId="0" applyFont="1" applyFill="1" applyBorder="1" applyAlignment="1">
      <alignment horizontal="left" vertical="center"/>
    </xf>
    <xf numFmtId="0" fontId="8" fillId="4" borderId="1" xfId="0" applyFont="1" applyFill="1" applyBorder="1" applyAlignment="1">
      <alignment horizontal="left" vertical="center"/>
    </xf>
    <xf numFmtId="0" fontId="10" fillId="4" borderId="1" xfId="0" applyFont="1" applyFill="1" applyBorder="1" applyAlignment="1">
      <alignment horizontal="center"/>
    </xf>
    <xf numFmtId="0" fontId="11" fillId="4" borderId="1" xfId="0" applyFont="1" applyFill="1" applyBorder="1" applyAlignment="1">
      <alignment horizontal="left" vertical="center"/>
    </xf>
    <xf numFmtId="0" fontId="16" fillId="4" borderId="1" xfId="0" applyFont="1" applyFill="1" applyBorder="1" applyAlignment="1">
      <alignment horizontal="left" vertical="center"/>
    </xf>
    <xf numFmtId="0" fontId="8" fillId="4" borderId="8" xfId="0" applyFont="1" applyFill="1" applyBorder="1" applyAlignment="1">
      <alignment horizontal="left" vertical="center"/>
    </xf>
    <xf numFmtId="0" fontId="10" fillId="4" borderId="8" xfId="0" applyFont="1" applyFill="1" applyBorder="1" applyAlignment="1">
      <alignment horizontal="center"/>
    </xf>
    <xf numFmtId="0" fontId="11" fillId="4" borderId="8" xfId="0" applyFont="1" applyFill="1" applyBorder="1" applyAlignment="1">
      <alignment horizontal="left" vertical="center"/>
    </xf>
    <xf numFmtId="0" fontId="16" fillId="4" borderId="8" xfId="0" applyFont="1" applyFill="1" applyBorder="1" applyAlignment="1">
      <alignment horizontal="left" vertical="center"/>
    </xf>
    <xf numFmtId="0" fontId="8" fillId="4" borderId="4" xfId="0" applyFont="1" applyFill="1" applyBorder="1" applyAlignment="1">
      <alignment horizontal="left" vertical="center"/>
    </xf>
    <xf numFmtId="0" fontId="12" fillId="3" borderId="3" xfId="0" applyFont="1" applyFill="1" applyBorder="1" applyAlignment="1">
      <alignment horizontal="center" vertical="center"/>
    </xf>
    <xf numFmtId="0" fontId="12" fillId="3" borderId="4" xfId="0" applyFont="1" applyFill="1" applyBorder="1" applyAlignment="1">
      <alignment horizontal="left" vertical="center"/>
    </xf>
    <xf numFmtId="0" fontId="16" fillId="3" borderId="0" xfId="0" applyFont="1" applyFill="1" applyAlignment="1">
      <alignment horizontal="left" vertical="center"/>
    </xf>
    <xf numFmtId="0" fontId="8" fillId="3" borderId="6" xfId="0" applyFont="1" applyFill="1" applyBorder="1" applyAlignment="1">
      <alignment horizontal="left" vertical="center"/>
    </xf>
    <xf numFmtId="0" fontId="10" fillId="3" borderId="20" xfId="0" applyFont="1" applyFill="1" applyBorder="1" applyAlignment="1">
      <alignment horizontal="center"/>
    </xf>
    <xf numFmtId="0" fontId="12" fillId="3" borderId="1" xfId="0" applyFont="1" applyFill="1" applyBorder="1" applyAlignment="1">
      <alignment horizontal="center" vertical="center"/>
    </xf>
    <xf numFmtId="0" fontId="12" fillId="3" borderId="6" xfId="0" applyFont="1" applyFill="1" applyBorder="1" applyAlignment="1">
      <alignment horizontal="left" vertical="center"/>
    </xf>
    <xf numFmtId="0" fontId="16" fillId="3" borderId="17" xfId="0" applyFont="1" applyFill="1" applyBorder="1" applyAlignment="1">
      <alignment horizontal="left" vertical="center"/>
    </xf>
    <xf numFmtId="0" fontId="8" fillId="3" borderId="9" xfId="0" applyFont="1" applyFill="1" applyBorder="1" applyAlignment="1">
      <alignment horizontal="left" vertical="center"/>
    </xf>
    <xf numFmtId="0" fontId="11" fillId="3" borderId="22" xfId="0" applyFont="1" applyFill="1" applyBorder="1" applyAlignment="1">
      <alignment horizontal="left" vertical="center"/>
    </xf>
    <xf numFmtId="0" fontId="12" fillId="3" borderId="22" xfId="0" applyFont="1" applyFill="1" applyBorder="1" applyAlignment="1">
      <alignment horizontal="center" vertical="center"/>
    </xf>
    <xf numFmtId="0" fontId="12" fillId="3" borderId="23" xfId="0" applyFont="1" applyFill="1" applyBorder="1" applyAlignment="1">
      <alignment horizontal="left" vertical="center"/>
    </xf>
    <xf numFmtId="0" fontId="10" fillId="3" borderId="24" xfId="0" applyFont="1" applyFill="1" applyBorder="1" applyAlignment="1">
      <alignment horizontal="center"/>
    </xf>
    <xf numFmtId="0" fontId="11" fillId="3" borderId="25" xfId="0" applyFont="1" applyFill="1" applyBorder="1" applyAlignment="1">
      <alignment horizontal="left" vertical="center"/>
    </xf>
    <xf numFmtId="0" fontId="12" fillId="3" borderId="25" xfId="0" applyFont="1" applyFill="1" applyBorder="1" applyAlignment="1">
      <alignment horizontal="center" vertical="center"/>
    </xf>
    <xf numFmtId="0" fontId="12" fillId="3" borderId="26" xfId="0" applyFont="1" applyFill="1" applyBorder="1" applyAlignment="1">
      <alignment horizontal="left" vertical="center"/>
    </xf>
    <xf numFmtId="0" fontId="16" fillId="3" borderId="25" xfId="0" applyFont="1" applyFill="1" applyBorder="1" applyAlignment="1">
      <alignment horizontal="left" vertical="center"/>
    </xf>
    <xf numFmtId="0" fontId="16" fillId="3" borderId="27" xfId="0" applyFont="1" applyFill="1" applyBorder="1" applyAlignment="1">
      <alignment horizontal="left" vertical="center"/>
    </xf>
    <xf numFmtId="0" fontId="10" fillId="3" borderId="28" xfId="0" applyFont="1" applyFill="1" applyBorder="1" applyAlignment="1">
      <alignment horizontal="center"/>
    </xf>
    <xf numFmtId="0" fontId="11" fillId="3" borderId="29" xfId="0" applyFont="1" applyFill="1" applyBorder="1" applyAlignment="1">
      <alignment horizontal="left" vertical="center"/>
    </xf>
    <xf numFmtId="0" fontId="12" fillId="3" borderId="29" xfId="0" applyFont="1" applyFill="1" applyBorder="1" applyAlignment="1">
      <alignment horizontal="center" vertical="center"/>
    </xf>
    <xf numFmtId="0" fontId="12" fillId="3" borderId="30" xfId="0" applyFont="1" applyFill="1" applyBorder="1" applyAlignment="1">
      <alignment horizontal="left" vertical="center"/>
    </xf>
    <xf numFmtId="0" fontId="10" fillId="3" borderId="31" xfId="0" applyFont="1" applyFill="1" applyBorder="1" applyAlignment="1">
      <alignment horizontal="center"/>
    </xf>
    <xf numFmtId="0" fontId="11" fillId="3" borderId="27" xfId="0" applyFont="1" applyFill="1" applyBorder="1" applyAlignment="1">
      <alignment horizontal="left" vertical="center"/>
    </xf>
    <xf numFmtId="0" fontId="12" fillId="3" borderId="27" xfId="0" applyFont="1" applyFill="1" applyBorder="1" applyAlignment="1">
      <alignment horizontal="center" vertical="center"/>
    </xf>
    <xf numFmtId="0" fontId="12" fillId="3" borderId="32" xfId="0" applyFont="1" applyFill="1" applyBorder="1" applyAlignment="1">
      <alignment horizontal="left" vertical="center"/>
    </xf>
    <xf numFmtId="0" fontId="8" fillId="3" borderId="25" xfId="0" applyFont="1" applyFill="1" applyBorder="1" applyAlignment="1">
      <alignment horizontal="left" vertical="center"/>
    </xf>
    <xf numFmtId="0" fontId="16" fillId="3" borderId="29" xfId="0" applyFont="1" applyFill="1" applyBorder="1" applyAlignment="1">
      <alignment horizontal="left" vertical="center"/>
    </xf>
    <xf numFmtId="0" fontId="8" fillId="3" borderId="22" xfId="0" applyFont="1" applyFill="1" applyBorder="1" applyAlignment="1">
      <alignment horizontal="left" vertical="center"/>
    </xf>
    <xf numFmtId="0" fontId="8" fillId="3" borderId="23" xfId="0" applyFont="1" applyFill="1" applyBorder="1" applyAlignment="1">
      <alignment horizontal="left" vertical="center"/>
    </xf>
    <xf numFmtId="0" fontId="11" fillId="3" borderId="0" xfId="0" applyFont="1" applyFill="1" applyAlignment="1">
      <alignment horizontal="left" vertical="center"/>
    </xf>
    <xf numFmtId="0" fontId="11" fillId="3" borderId="17"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4" xfId="0" applyFont="1" applyFill="1" applyBorder="1" applyAlignment="1">
      <alignment horizontal="left" vertical="center"/>
    </xf>
    <xf numFmtId="0" fontId="10" fillId="3" borderId="36" xfId="0" applyFont="1" applyFill="1" applyBorder="1" applyAlignment="1">
      <alignment horizontal="center"/>
    </xf>
    <xf numFmtId="0" fontId="12" fillId="3" borderId="8" xfId="0" applyFont="1" applyFill="1" applyBorder="1" applyAlignment="1">
      <alignment horizontal="center" vertical="center"/>
    </xf>
    <xf numFmtId="0" fontId="11" fillId="3" borderId="37" xfId="0" applyFont="1" applyFill="1" applyBorder="1" applyAlignment="1">
      <alignment horizontal="left" vertical="center"/>
    </xf>
    <xf numFmtId="0" fontId="8" fillId="3" borderId="26" xfId="0" applyFont="1" applyFill="1" applyBorder="1" applyAlignment="1">
      <alignment horizontal="left" vertical="center"/>
    </xf>
    <xf numFmtId="0" fontId="11" fillId="3" borderId="38" xfId="0" applyFont="1" applyFill="1" applyBorder="1" applyAlignment="1">
      <alignment horizontal="left" vertical="center"/>
    </xf>
    <xf numFmtId="0" fontId="11" fillId="3" borderId="4" xfId="0" applyFont="1" applyFill="1" applyBorder="1" applyAlignment="1">
      <alignment horizontal="left" vertical="center"/>
    </xf>
    <xf numFmtId="0" fontId="12" fillId="3" borderId="14" xfId="0" applyFont="1" applyFill="1" applyBorder="1" applyAlignment="1">
      <alignment horizontal="center"/>
    </xf>
    <xf numFmtId="0" fontId="12" fillId="3" borderId="1" xfId="0" applyFont="1" applyFill="1" applyBorder="1" applyAlignment="1">
      <alignment horizontal="center"/>
    </xf>
    <xf numFmtId="0" fontId="12" fillId="3" borderId="8" xfId="0" applyFont="1" applyFill="1" applyBorder="1" applyAlignment="1">
      <alignment horizontal="center"/>
    </xf>
    <xf numFmtId="0" fontId="12" fillId="3" borderId="22" xfId="0" applyFont="1" applyFill="1" applyBorder="1" applyAlignment="1">
      <alignment horizontal="center"/>
    </xf>
    <xf numFmtId="0" fontId="11" fillId="3" borderId="35" xfId="0" applyFont="1" applyFill="1" applyBorder="1" applyAlignment="1">
      <alignment horizontal="left" vertical="center"/>
    </xf>
    <xf numFmtId="0" fontId="16" fillId="3" borderId="22" xfId="0" applyFont="1" applyFill="1" applyBorder="1" applyAlignment="1">
      <alignment horizontal="left" vertical="center"/>
    </xf>
    <xf numFmtId="0" fontId="12" fillId="3" borderId="25" xfId="0" applyFont="1" applyFill="1" applyBorder="1" applyAlignment="1">
      <alignment horizontal="center"/>
    </xf>
    <xf numFmtId="0" fontId="12" fillId="4" borderId="3" xfId="0" applyFont="1" applyFill="1" applyBorder="1" applyAlignment="1">
      <alignment horizontal="center" vertical="center"/>
    </xf>
    <xf numFmtId="0" fontId="11" fillId="4" borderId="33" xfId="0" applyFont="1" applyFill="1" applyBorder="1" applyAlignment="1">
      <alignment horizontal="left" vertical="center"/>
    </xf>
    <xf numFmtId="0" fontId="11" fillId="4" borderId="0" xfId="0" applyFont="1" applyFill="1" applyAlignment="1">
      <alignment horizontal="left" vertical="center"/>
    </xf>
    <xf numFmtId="0" fontId="8" fillId="4" borderId="6" xfId="0" applyFont="1" applyFill="1" applyBorder="1" applyAlignment="1">
      <alignment horizontal="left" vertical="center"/>
    </xf>
    <xf numFmtId="0" fontId="10" fillId="4" borderId="20" xfId="0" applyFont="1" applyFill="1" applyBorder="1" applyAlignment="1">
      <alignment horizontal="center"/>
    </xf>
    <xf numFmtId="0" fontId="12" fillId="4" borderId="1" xfId="0" applyFont="1" applyFill="1" applyBorder="1" applyAlignment="1">
      <alignment horizontal="center" vertical="center"/>
    </xf>
    <xf numFmtId="0" fontId="11" fillId="4" borderId="34" xfId="0" applyFont="1" applyFill="1" applyBorder="1" applyAlignment="1">
      <alignment horizontal="left" vertical="center"/>
    </xf>
    <xf numFmtId="0" fontId="11" fillId="4" borderId="17" xfId="0" applyFont="1" applyFill="1" applyBorder="1" applyAlignment="1">
      <alignment horizontal="left" vertical="center"/>
    </xf>
    <xf numFmtId="0" fontId="8" fillId="4" borderId="9" xfId="0" applyFont="1" applyFill="1" applyBorder="1" applyAlignment="1">
      <alignment horizontal="left" vertical="center"/>
    </xf>
    <xf numFmtId="0" fontId="10" fillId="4" borderId="21" xfId="0" applyFont="1" applyFill="1" applyBorder="1" applyAlignment="1">
      <alignment horizontal="center"/>
    </xf>
    <xf numFmtId="0" fontId="11" fillId="4" borderId="22" xfId="0" applyFont="1" applyFill="1" applyBorder="1" applyAlignment="1">
      <alignment horizontal="left" vertical="center"/>
    </xf>
    <xf numFmtId="0" fontId="11" fillId="4" borderId="35" xfId="0" applyFont="1" applyFill="1" applyBorder="1" applyAlignment="1">
      <alignment horizontal="left" vertical="center"/>
    </xf>
    <xf numFmtId="0" fontId="12" fillId="4" borderId="22" xfId="0" applyFont="1" applyFill="1" applyBorder="1" applyAlignment="1">
      <alignment horizontal="center" vertical="center"/>
    </xf>
    <xf numFmtId="0" fontId="8" fillId="4" borderId="23" xfId="0" applyFont="1" applyFill="1" applyBorder="1" applyAlignment="1">
      <alignment horizontal="left" vertical="center"/>
    </xf>
    <xf numFmtId="0" fontId="16" fillId="4" borderId="22" xfId="0" applyFont="1" applyFill="1" applyBorder="1" applyAlignment="1">
      <alignment horizontal="left" vertical="center"/>
    </xf>
    <xf numFmtId="0" fontId="12" fillId="4" borderId="1" xfId="0" applyFont="1" applyFill="1" applyBorder="1" applyAlignment="1">
      <alignment horizontal="left" vertical="center"/>
    </xf>
    <xf numFmtId="0" fontId="10" fillId="4" borderId="36" xfId="0" applyFont="1" applyFill="1" applyBorder="1" applyAlignment="1">
      <alignment horizontal="center"/>
    </xf>
    <xf numFmtId="0" fontId="12" fillId="4" borderId="8" xfId="0" applyFont="1" applyFill="1" applyBorder="1" applyAlignment="1">
      <alignment horizontal="center" vertical="center"/>
    </xf>
    <xf numFmtId="0" fontId="11" fillId="4" borderId="37" xfId="0" applyFont="1" applyFill="1" applyBorder="1" applyAlignment="1">
      <alignment horizontal="left" vertical="center"/>
    </xf>
    <xf numFmtId="0" fontId="16" fillId="4" borderId="0" xfId="0" applyFont="1" applyFill="1" applyAlignment="1">
      <alignment horizontal="left" vertical="center"/>
    </xf>
    <xf numFmtId="0" fontId="16" fillId="4" borderId="17" xfId="0" applyFont="1" applyFill="1" applyBorder="1" applyAlignment="1">
      <alignment horizontal="left" vertical="center"/>
    </xf>
    <xf numFmtId="0" fontId="12" fillId="4" borderId="4" xfId="0" applyFont="1" applyFill="1" applyBorder="1" applyAlignment="1">
      <alignment horizontal="left" vertical="center"/>
    </xf>
    <xf numFmtId="0" fontId="12" fillId="4" borderId="6" xfId="0" applyFont="1" applyFill="1" applyBorder="1" applyAlignment="1">
      <alignment horizontal="left" vertical="center"/>
    </xf>
    <xf numFmtId="0" fontId="12" fillId="4" borderId="9" xfId="0" applyFont="1" applyFill="1" applyBorder="1" applyAlignment="1">
      <alignment horizontal="left" vertical="center"/>
    </xf>
    <xf numFmtId="0" fontId="2" fillId="0" borderId="5" xfId="0" applyFont="1" applyBorder="1" applyAlignment="1">
      <alignment horizontal="center" vertical="center" wrapText="1"/>
    </xf>
    <xf numFmtId="0" fontId="2" fillId="0" borderId="5" xfId="0" applyFont="1" applyBorder="1" applyAlignment="1">
      <alignment horizontal="center" vertical="center"/>
    </xf>
    <xf numFmtId="0" fontId="0" fillId="0" borderId="22" xfId="0" applyBorder="1" applyAlignment="1">
      <alignment horizontal="center" vertical="center"/>
    </xf>
    <xf numFmtId="0" fontId="0" fillId="0" borderId="22" xfId="0" applyBorder="1" applyAlignment="1">
      <alignment horizontal="center"/>
    </xf>
    <xf numFmtId="0" fontId="4" fillId="5" borderId="10" xfId="0" applyFont="1" applyFill="1" applyBorder="1" applyAlignment="1">
      <alignment horizontal="center" vertical="center"/>
    </xf>
    <xf numFmtId="0" fontId="4" fillId="5" borderId="11" xfId="0" applyFont="1" applyFill="1" applyBorder="1" applyAlignment="1">
      <alignment horizontal="center" vertical="center" wrapText="1"/>
    </xf>
    <xf numFmtId="0" fontId="13" fillId="5" borderId="11" xfId="0" applyFont="1" applyFill="1" applyBorder="1" applyAlignment="1">
      <alignment horizontal="center" vertical="center" wrapText="1"/>
    </xf>
    <xf numFmtId="0" fontId="5" fillId="5" borderId="11" xfId="0" applyFont="1" applyFill="1" applyBorder="1" applyAlignment="1">
      <alignment horizontal="center" vertical="center"/>
    </xf>
    <xf numFmtId="0" fontId="6" fillId="5" borderId="11" xfId="0" applyFont="1" applyFill="1" applyBorder="1" applyAlignment="1">
      <alignment horizontal="center" vertical="center"/>
    </xf>
    <xf numFmtId="0" fontId="14" fillId="5" borderId="11" xfId="0" applyFont="1" applyFill="1" applyBorder="1" applyAlignment="1">
      <alignment horizontal="center" vertical="center"/>
    </xf>
    <xf numFmtId="0" fontId="15" fillId="5" borderId="11" xfId="0" applyFont="1" applyFill="1" applyBorder="1" applyAlignment="1">
      <alignment horizontal="center" vertical="center"/>
    </xf>
    <xf numFmtId="0" fontId="5" fillId="5" borderId="12" xfId="0" applyFont="1" applyFill="1" applyBorder="1" applyAlignment="1">
      <alignment horizontal="center" vertical="center"/>
    </xf>
    <xf numFmtId="0" fontId="12" fillId="3" borderId="34" xfId="0" applyFont="1" applyFill="1" applyBorder="1" applyAlignment="1">
      <alignment horizontal="center" vertical="center"/>
    </xf>
    <xf numFmtId="0" fontId="12" fillId="3" borderId="40" xfId="0" applyFont="1" applyFill="1" applyBorder="1" applyAlignment="1">
      <alignment horizontal="center" vertical="center"/>
    </xf>
    <xf numFmtId="0" fontId="12" fillId="3" borderId="41" xfId="0" applyFont="1" applyFill="1" applyBorder="1" applyAlignment="1">
      <alignment horizontal="left" vertical="center"/>
    </xf>
    <xf numFmtId="0" fontId="10" fillId="3" borderId="5" xfId="0" applyFont="1" applyFill="1" applyBorder="1" applyAlignment="1">
      <alignment horizontal="center"/>
    </xf>
    <xf numFmtId="0" fontId="1" fillId="5" borderId="2" xfId="0" applyFont="1" applyFill="1" applyBorder="1" applyAlignment="1">
      <alignment horizontal="center"/>
    </xf>
    <xf numFmtId="0" fontId="1" fillId="5" borderId="11" xfId="0" applyFont="1" applyFill="1" applyBorder="1" applyAlignment="1">
      <alignment horizontal="center"/>
    </xf>
    <xf numFmtId="0" fontId="3" fillId="5" borderId="3" xfId="0" applyFont="1" applyFill="1" applyBorder="1" applyAlignment="1">
      <alignment horizontal="center"/>
    </xf>
    <xf numFmtId="0" fontId="3" fillId="5" borderId="3" xfId="0" applyFont="1" applyFill="1" applyBorder="1" applyAlignment="1">
      <alignment horizontal="center" vertical="center"/>
    </xf>
    <xf numFmtId="0" fontId="3" fillId="5" borderId="4" xfId="0" applyFont="1" applyFill="1" applyBorder="1" applyAlignment="1">
      <alignment horizontal="center"/>
    </xf>
    <xf numFmtId="0" fontId="3" fillId="0" borderId="25" xfId="0" applyFont="1" applyBorder="1" applyAlignment="1">
      <alignment horizontal="center"/>
    </xf>
    <xf numFmtId="0" fontId="3" fillId="0" borderId="25" xfId="0" applyFont="1" applyBorder="1" applyAlignment="1">
      <alignment horizontal="center" vertical="center"/>
    </xf>
    <xf numFmtId="0" fontId="3" fillId="0" borderId="26" xfId="0" applyFont="1" applyBorder="1" applyAlignment="1">
      <alignment horizontal="center"/>
    </xf>
    <xf numFmtId="0" fontId="0" fillId="0" borderId="1" xfId="0" applyBorder="1" applyAlignment="1">
      <alignment horizontal="center" vertical="center"/>
    </xf>
    <xf numFmtId="0" fontId="2" fillId="0" borderId="1" xfId="0" applyFont="1" applyBorder="1"/>
    <xf numFmtId="0" fontId="2" fillId="0" borderId="22" xfId="0" applyFont="1" applyBorder="1"/>
    <xf numFmtId="0" fontId="2" fillId="0" borderId="21" xfId="0" applyFont="1" applyBorder="1"/>
    <xf numFmtId="0" fontId="0" fillId="0" borderId="8" xfId="0" applyBorder="1" applyAlignment="1">
      <alignment horizontal="center"/>
    </xf>
    <xf numFmtId="0" fontId="2" fillId="0" borderId="8" xfId="0" applyFont="1" applyBorder="1"/>
    <xf numFmtId="0" fontId="0" fillId="0" borderId="8" xfId="0" applyBorder="1" applyAlignment="1">
      <alignment horizontal="center" vertical="center"/>
    </xf>
    <xf numFmtId="0" fontId="18" fillId="0" borderId="1" xfId="0" applyFont="1" applyFill="1" applyBorder="1" applyAlignment="1">
      <alignment vertical="center"/>
    </xf>
    <xf numFmtId="0" fontId="18" fillId="0" borderId="1" xfId="0" applyFont="1" applyFill="1" applyBorder="1" applyAlignment="1">
      <alignment horizontal="left" vertical="center"/>
    </xf>
    <xf numFmtId="0" fontId="18" fillId="0" borderId="1" xfId="0" applyFont="1" applyFill="1" applyBorder="1"/>
    <xf numFmtId="0" fontId="2" fillId="0" borderId="1" xfId="0" applyFont="1" applyFill="1" applyBorder="1" applyAlignment="1">
      <alignment horizontal="left" vertical="center"/>
    </xf>
    <xf numFmtId="0" fontId="0" fillId="0" borderId="1" xfId="0" applyFill="1" applyBorder="1"/>
    <xf numFmtId="0" fontId="2" fillId="0" borderId="1" xfId="0" applyFont="1" applyFill="1" applyBorder="1"/>
    <xf numFmtId="0" fontId="20" fillId="0" borderId="1" xfId="0" applyFont="1" applyFill="1" applyBorder="1" applyAlignment="1">
      <alignment horizontal="left" vertical="center" indent="1"/>
    </xf>
    <xf numFmtId="0" fontId="20" fillId="0" borderId="1" xfId="0" applyFont="1" applyFill="1" applyBorder="1" applyAlignment="1">
      <alignment horizontal="left"/>
    </xf>
    <xf numFmtId="0" fontId="21" fillId="0" borderId="1" xfId="0" applyFont="1" applyFill="1" applyBorder="1" applyAlignment="1">
      <alignment horizontal="left" vertical="center" indent="1"/>
    </xf>
    <xf numFmtId="0" fontId="21" fillId="0" borderId="1" xfId="0" applyFont="1" applyFill="1" applyBorder="1"/>
    <xf numFmtId="0" fontId="20" fillId="0" borderId="1" xfId="0" applyFont="1" applyFill="1" applyBorder="1"/>
    <xf numFmtId="0" fontId="2" fillId="0" borderId="22" xfId="0" applyFont="1" applyFill="1" applyBorder="1"/>
    <xf numFmtId="0" fontId="7" fillId="2" borderId="13" xfId="0" applyFont="1" applyFill="1" applyBorder="1" applyAlignment="1">
      <alignment horizontal="center" vertical="center"/>
    </xf>
    <xf numFmtId="0" fontId="7" fillId="2" borderId="15" xfId="0" applyFont="1" applyFill="1" applyBorder="1" applyAlignment="1">
      <alignment horizontal="center" vertical="center"/>
    </xf>
    <xf numFmtId="0" fontId="7" fillId="2" borderId="19" xfId="0" applyFont="1" applyFill="1" applyBorder="1" applyAlignment="1">
      <alignment horizontal="center" vertical="center"/>
    </xf>
    <xf numFmtId="0" fontId="9" fillId="3" borderId="13" xfId="0" applyFont="1" applyFill="1" applyBorder="1" applyAlignment="1">
      <alignment horizontal="center" vertical="center" wrapText="1"/>
    </xf>
    <xf numFmtId="0" fontId="9" fillId="3" borderId="15" xfId="0" applyFont="1" applyFill="1" applyBorder="1" applyAlignment="1">
      <alignment horizontal="center" vertical="center" wrapText="1"/>
    </xf>
    <xf numFmtId="0" fontId="16" fillId="3" borderId="10"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6" fillId="3" borderId="18"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11" fillId="3" borderId="16" xfId="0" applyFont="1" applyFill="1" applyBorder="1" applyAlignment="1">
      <alignment horizontal="center" vertical="center" wrapText="1"/>
    </xf>
    <xf numFmtId="0" fontId="11" fillId="3" borderId="18"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9" fillId="4" borderId="1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9" fillId="4" borderId="13" xfId="0" applyFont="1" applyFill="1" applyBorder="1" applyAlignment="1">
      <alignment horizontal="center" vertical="center" wrapText="1"/>
    </xf>
    <xf numFmtId="0" fontId="16" fillId="4" borderId="10" xfId="0" applyFont="1" applyFill="1" applyBorder="1" applyAlignment="1">
      <alignment horizontal="center" vertical="center" wrapText="1"/>
    </xf>
    <xf numFmtId="0" fontId="16" fillId="4" borderId="16" xfId="0" applyFont="1" applyFill="1" applyBorder="1" applyAlignment="1">
      <alignment horizontal="center" vertical="center" wrapText="1"/>
    </xf>
    <xf numFmtId="0" fontId="16" fillId="4" borderId="18"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2" fillId="0" borderId="22" xfId="0" applyFont="1" applyFill="1" applyBorder="1" applyAlignment="1">
      <alignment horizontal="center" vertical="center"/>
    </xf>
    <xf numFmtId="0" fontId="2" fillId="0" borderId="29" xfId="0" applyFont="1" applyFill="1" applyBorder="1" applyAlignment="1">
      <alignment horizontal="center" vertical="center"/>
    </xf>
    <xf numFmtId="0" fontId="2" fillId="0" borderId="25" xfId="0" applyFont="1" applyFill="1" applyBorder="1" applyAlignment="1">
      <alignment horizontal="center" vertical="center"/>
    </xf>
    <xf numFmtId="0" fontId="2" fillId="0" borderId="27" xfId="0" applyFont="1" applyFill="1" applyBorder="1" applyAlignment="1">
      <alignment horizontal="center" vertical="center"/>
    </xf>
    <xf numFmtId="0" fontId="2" fillId="0" borderId="5"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7" xfId="0" applyFont="1" applyBorder="1" applyAlignment="1">
      <alignment horizontal="center" vertical="center" wrapText="1"/>
    </xf>
    <xf numFmtId="0" fontId="2" fillId="0" borderId="29" xfId="0" applyFont="1" applyBorder="1" applyAlignment="1">
      <alignment horizontal="center" vertical="center"/>
    </xf>
    <xf numFmtId="0" fontId="2" fillId="0" borderId="27" xfId="0" applyFont="1" applyBorder="1" applyAlignment="1">
      <alignment horizontal="center" vertical="center"/>
    </xf>
    <xf numFmtId="0" fontId="2" fillId="0" borderId="11" xfId="0" applyFont="1" applyBorder="1" applyAlignment="1">
      <alignment horizontal="center" vertical="center"/>
    </xf>
    <xf numFmtId="0" fontId="2" fillId="0" borderId="5" xfId="0" applyFont="1" applyBorder="1" applyAlignment="1">
      <alignment horizontal="center" vertical="center"/>
    </xf>
    <xf numFmtId="0" fontId="2" fillId="0" borderId="16"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39"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19" xfId="0" applyFont="1" applyBorder="1" applyAlignment="1">
      <alignment horizontal="center" vertical="center"/>
    </xf>
    <xf numFmtId="0" fontId="17" fillId="0" borderId="21" xfId="0" applyFont="1" applyFill="1" applyBorder="1" applyAlignment="1">
      <alignment horizontal="center" vertical="center"/>
    </xf>
    <xf numFmtId="0" fontId="17" fillId="0" borderId="28" xfId="0" applyFont="1" applyFill="1" applyBorder="1" applyAlignment="1">
      <alignment horizontal="center" vertical="center"/>
    </xf>
    <xf numFmtId="0" fontId="17" fillId="0" borderId="24" xfId="0" applyFont="1" applyFill="1" applyBorder="1" applyAlignment="1">
      <alignment horizontal="center" vertical="center"/>
    </xf>
    <xf numFmtId="0" fontId="2" fillId="0" borderId="21" xfId="0" applyFont="1" applyFill="1" applyBorder="1" applyAlignment="1">
      <alignment horizontal="center" vertical="center"/>
    </xf>
    <xf numFmtId="0" fontId="2" fillId="0" borderId="28" xfId="0" applyFont="1" applyFill="1" applyBorder="1" applyAlignment="1">
      <alignment horizontal="center" vertical="center"/>
    </xf>
    <xf numFmtId="0" fontId="2" fillId="0" borderId="24" xfId="0" applyFont="1" applyFill="1" applyBorder="1" applyAlignment="1">
      <alignment horizontal="center" vertical="center"/>
    </xf>
    <xf numFmtId="0" fontId="23" fillId="5" borderId="2" xfId="0" applyFont="1" applyFill="1" applyBorder="1" applyAlignment="1">
      <alignment horizontal="center"/>
    </xf>
    <xf numFmtId="0" fontId="0" fillId="0" borderId="0" xfId="0" applyAlignment="1">
      <alignment horizontal="center" vertical="center"/>
    </xf>
    <xf numFmtId="0" fontId="0" fillId="0" borderId="0" xfId="0" applyAlignment="1">
      <alignment vertical="center"/>
    </xf>
    <xf numFmtId="0" fontId="23" fillId="5" borderId="1" xfId="0" applyFont="1" applyFill="1" applyBorder="1" applyAlignment="1">
      <alignment horizontal="center"/>
    </xf>
    <xf numFmtId="0" fontId="0" fillId="0" borderId="22" xfId="0" applyBorder="1" applyAlignment="1">
      <alignment horizontal="center" vertical="center"/>
    </xf>
    <xf numFmtId="0" fontId="0" fillId="0" borderId="29" xfId="0" applyBorder="1" applyAlignment="1">
      <alignment horizontal="center" vertical="center"/>
    </xf>
    <xf numFmtId="0" fontId="0" fillId="0" borderId="25" xfId="0" applyBorder="1" applyAlignment="1">
      <alignment horizontal="center" vertical="center"/>
    </xf>
    <xf numFmtId="0" fontId="0" fillId="0" borderId="21" xfId="0" applyBorder="1" applyAlignment="1">
      <alignment horizontal="center" vertical="center"/>
    </xf>
    <xf numFmtId="0" fontId="0" fillId="0" borderId="28" xfId="0" applyBorder="1" applyAlignment="1">
      <alignment horizontal="center" vertical="center"/>
    </xf>
    <xf numFmtId="0" fontId="0" fillId="0" borderId="24" xfId="0" applyBorder="1" applyAlignment="1">
      <alignment horizontal="center" vertical="center"/>
    </xf>
    <xf numFmtId="0" fontId="20" fillId="0" borderId="0" xfId="0" applyFont="1" applyAlignment="1">
      <alignment vertical="center" wrapText="1"/>
    </xf>
    <xf numFmtId="0" fontId="1" fillId="0" borderId="43" xfId="0" applyFont="1" applyBorder="1" applyAlignment="1">
      <alignment horizontal="center" vertical="center"/>
    </xf>
    <xf numFmtId="0" fontId="3" fillId="0" borderId="43" xfId="0" applyFont="1" applyBorder="1" applyAlignment="1">
      <alignment horizontal="center" vertical="center"/>
    </xf>
    <xf numFmtId="0" fontId="3" fillId="0" borderId="43" xfId="0" applyFont="1" applyBorder="1" applyAlignment="1">
      <alignment horizontal="center"/>
    </xf>
    <xf numFmtId="0" fontId="0" fillId="0" borderId="44" xfId="0" applyBorder="1" applyAlignment="1">
      <alignment horizontal="center" vertical="center"/>
    </xf>
    <xf numFmtId="0" fontId="0" fillId="0" borderId="43" xfId="0" applyBorder="1" applyAlignment="1">
      <alignment vertical="center" wrapText="1"/>
    </xf>
    <xf numFmtId="0" fontId="20" fillId="0" borderId="43" xfId="0" applyFont="1" applyBorder="1" applyAlignment="1">
      <alignment vertical="center" wrapText="1"/>
    </xf>
    <xf numFmtId="0" fontId="0" fillId="0" borderId="45" xfId="0" applyBorder="1" applyAlignment="1">
      <alignment vertical="center" wrapText="1"/>
    </xf>
    <xf numFmtId="0" fontId="20" fillId="0" borderId="45" xfId="0" applyFont="1" applyBorder="1" applyAlignment="1">
      <alignment vertical="center" wrapText="1"/>
    </xf>
    <xf numFmtId="0" fontId="0" fillId="0" borderId="19" xfId="0" applyBorder="1" applyAlignment="1">
      <alignment vertical="center" wrapText="1"/>
    </xf>
    <xf numFmtId="0" fontId="20" fillId="0" borderId="19" xfId="0" applyFont="1" applyBorder="1" applyAlignment="1">
      <alignment vertical="center" wrapText="1"/>
    </xf>
    <xf numFmtId="0" fontId="0" fillId="0" borderId="46" xfId="0" applyBorder="1" applyAlignment="1">
      <alignment vertical="center" wrapText="1"/>
    </xf>
    <xf numFmtId="0" fontId="20" fillId="0" borderId="46" xfId="0" applyFont="1" applyBorder="1" applyAlignment="1">
      <alignment vertical="center" wrapText="1"/>
    </xf>
    <xf numFmtId="0" fontId="20" fillId="0" borderId="19" xfId="0" applyFont="1" applyBorder="1" applyAlignment="1">
      <alignment vertical="center"/>
    </xf>
    <xf numFmtId="0" fontId="20" fillId="0" borderId="46" xfId="0" applyFont="1" applyBorder="1" applyAlignment="1">
      <alignment vertical="center"/>
    </xf>
    <xf numFmtId="0" fontId="0" fillId="0" borderId="19" xfId="0" applyBorder="1" applyAlignment="1">
      <alignment vertical="center"/>
    </xf>
    <xf numFmtId="0" fontId="0" fillId="0" borderId="15" xfId="0" applyBorder="1" applyAlignment="1">
      <alignment vertical="center" wrapText="1"/>
    </xf>
    <xf numFmtId="0" fontId="0" fillId="0" borderId="47" xfId="0" applyBorder="1" applyAlignment="1">
      <alignment vertical="center" wrapText="1"/>
    </xf>
    <xf numFmtId="0" fontId="0" fillId="0" borderId="43" xfId="0" applyBorder="1" applyAlignment="1">
      <alignment vertical="center"/>
    </xf>
    <xf numFmtId="0" fontId="0" fillId="0" borderId="48" xfId="0" applyBorder="1" applyAlignment="1">
      <alignment vertical="center"/>
    </xf>
    <xf numFmtId="0" fontId="0" fillId="0" borderId="13" xfId="0" applyBorder="1" applyAlignment="1">
      <alignment vertical="center"/>
    </xf>
    <xf numFmtId="0" fontId="0" fillId="0" borderId="0" xfId="0" applyBorder="1" applyAlignment="1">
      <alignment vertical="center"/>
    </xf>
    <xf numFmtId="0" fontId="0" fillId="0" borderId="15" xfId="0" applyBorder="1" applyAlignment="1">
      <alignment vertical="center"/>
    </xf>
    <xf numFmtId="0" fontId="0" fillId="0" borderId="44" xfId="0" applyBorder="1" applyAlignment="1">
      <alignment vertical="center"/>
    </xf>
    <xf numFmtId="0" fontId="0" fillId="0" borderId="50" xfId="0" applyBorder="1" applyAlignment="1">
      <alignment vertical="center"/>
    </xf>
    <xf numFmtId="0" fontId="0" fillId="0" borderId="51" xfId="0" applyBorder="1" applyAlignment="1">
      <alignment vertical="center"/>
    </xf>
    <xf numFmtId="0" fontId="0" fillId="0" borderId="46" xfId="0" applyBorder="1" applyAlignment="1">
      <alignment vertical="center"/>
    </xf>
    <xf numFmtId="0" fontId="0" fillId="0" borderId="34" xfId="0" applyBorder="1" applyAlignment="1">
      <alignment horizontal="center" vertical="center"/>
    </xf>
    <xf numFmtId="0" fontId="3" fillId="5" borderId="11" xfId="0" applyFont="1" applyFill="1" applyBorder="1" applyAlignment="1">
      <alignment horizontal="center"/>
    </xf>
    <xf numFmtId="0" fontId="3" fillId="5" borderId="11" xfId="0" applyFont="1" applyFill="1" applyBorder="1" applyAlignment="1">
      <alignment horizontal="center" vertical="center"/>
    </xf>
    <xf numFmtId="0" fontId="3" fillId="5" borderId="12" xfId="0" applyFont="1" applyFill="1" applyBorder="1" applyAlignment="1">
      <alignment horizontal="center"/>
    </xf>
    <xf numFmtId="0" fontId="3" fillId="2" borderId="43" xfId="0" applyFont="1" applyFill="1" applyBorder="1" applyAlignment="1">
      <alignment horizontal="center"/>
    </xf>
    <xf numFmtId="0" fontId="3" fillId="2" borderId="43" xfId="0" applyFont="1" applyFill="1" applyBorder="1" applyAlignment="1">
      <alignment horizontal="center" vertical="center"/>
    </xf>
    <xf numFmtId="0" fontId="0" fillId="0" borderId="43" xfId="0" applyBorder="1"/>
    <xf numFmtId="0" fontId="3" fillId="2" borderId="45" xfId="0" applyFont="1" applyFill="1" applyBorder="1" applyAlignment="1">
      <alignment horizontal="center"/>
    </xf>
    <xf numFmtId="0" fontId="0" fillId="0" borderId="45" xfId="0" applyBorder="1"/>
    <xf numFmtId="0" fontId="0" fillId="0" borderId="45" xfId="0" applyBorder="1" applyAlignment="1">
      <alignment vertical="center"/>
    </xf>
    <xf numFmtId="0" fontId="0" fillId="6" borderId="46" xfId="0" applyFont="1" applyFill="1" applyBorder="1" applyAlignment="1">
      <alignment vertical="center"/>
    </xf>
    <xf numFmtId="0" fontId="20" fillId="6" borderId="45" xfId="0" applyFont="1" applyFill="1" applyBorder="1" applyAlignment="1">
      <alignment vertical="center" wrapText="1"/>
    </xf>
    <xf numFmtId="0" fontId="20" fillId="6" borderId="46" xfId="0" applyFont="1" applyFill="1" applyBorder="1" applyAlignment="1">
      <alignment vertical="center" wrapText="1"/>
    </xf>
    <xf numFmtId="0" fontId="20" fillId="5" borderId="46" xfId="0" applyFont="1" applyFill="1" applyBorder="1" applyAlignment="1">
      <alignment vertical="center" wrapText="1"/>
    </xf>
    <xf numFmtId="0" fontId="20" fillId="6" borderId="43" xfId="0" applyFont="1" applyFill="1" applyBorder="1" applyAlignment="1">
      <alignment vertical="center" wrapText="1"/>
    </xf>
    <xf numFmtId="0" fontId="20" fillId="5" borderId="43" xfId="0" applyFont="1" applyFill="1" applyBorder="1" applyAlignment="1">
      <alignment vertical="center" wrapText="1"/>
    </xf>
    <xf numFmtId="0" fontId="1" fillId="0" borderId="45" xfId="0" applyFont="1" applyBorder="1" applyAlignment="1">
      <alignment horizontal="center" vertical="center"/>
    </xf>
    <xf numFmtId="0" fontId="4" fillId="0" borderId="10" xfId="0" applyFont="1" applyBorder="1" applyAlignment="1">
      <alignment horizontal="center"/>
    </xf>
    <xf numFmtId="0" fontId="5" fillId="0" borderId="11" xfId="0" applyFont="1" applyBorder="1" applyAlignment="1">
      <alignment horizontal="left"/>
    </xf>
    <xf numFmtId="0" fontId="6" fillId="0" borderId="11" xfId="0" applyFont="1" applyBorder="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7" fillId="3" borderId="13" xfId="0" applyFont="1" applyFill="1" applyBorder="1" applyAlignment="1">
      <alignment horizontal="center" vertical="center"/>
    </xf>
    <xf numFmtId="0" fontId="25" fillId="3" borderId="3" xfId="0" applyFont="1" applyFill="1" applyBorder="1" applyAlignment="1">
      <alignment horizontal="left" vertical="center"/>
    </xf>
    <xf numFmtId="0" fontId="10" fillId="3" borderId="4" xfId="0" applyFont="1" applyFill="1" applyBorder="1" applyAlignment="1">
      <alignment horizontal="left" vertical="center"/>
    </xf>
    <xf numFmtId="0" fontId="7" fillId="3" borderId="15" xfId="0" applyFont="1" applyFill="1" applyBorder="1" applyAlignment="1">
      <alignment horizontal="center" vertical="center"/>
    </xf>
    <xf numFmtId="0" fontId="10" fillId="3" borderId="1" xfId="0" applyFont="1" applyFill="1" applyBorder="1" applyAlignment="1">
      <alignment horizontal="center"/>
    </xf>
    <xf numFmtId="0" fontId="25" fillId="3" borderId="1" xfId="0" applyFont="1" applyFill="1" applyBorder="1" applyAlignment="1">
      <alignment horizontal="left" vertical="center"/>
    </xf>
    <xf numFmtId="0" fontId="10" fillId="3" borderId="6" xfId="0" applyFont="1" applyFill="1" applyBorder="1" applyAlignment="1">
      <alignment horizontal="left" vertical="center"/>
    </xf>
    <xf numFmtId="0" fontId="10" fillId="3" borderId="8" xfId="0" applyFont="1" applyFill="1" applyBorder="1" applyAlignment="1">
      <alignment horizontal="center"/>
    </xf>
    <xf numFmtId="0" fontId="25" fillId="3" borderId="8" xfId="0" applyFont="1" applyFill="1" applyBorder="1" applyAlignment="1">
      <alignment horizontal="left" vertical="center"/>
    </xf>
    <xf numFmtId="0" fontId="10" fillId="3" borderId="9" xfId="0" applyFont="1" applyFill="1" applyBorder="1" applyAlignment="1">
      <alignment horizontal="left" vertical="center"/>
    </xf>
    <xf numFmtId="0" fontId="10" fillId="3" borderId="3" xfId="0" applyFont="1" applyFill="1" applyBorder="1" applyAlignment="1">
      <alignment horizontal="center"/>
    </xf>
    <xf numFmtId="0" fontId="9" fillId="3" borderId="26" xfId="0" applyFont="1" applyFill="1" applyBorder="1" applyAlignment="1">
      <alignment horizontal="left" vertical="center"/>
    </xf>
    <xf numFmtId="0" fontId="25" fillId="3" borderId="25" xfId="0" applyFont="1" applyFill="1" applyBorder="1" applyAlignment="1">
      <alignment horizontal="left" vertical="center"/>
    </xf>
    <xf numFmtId="0" fontId="10" fillId="3" borderId="26" xfId="0" applyFont="1" applyFill="1" applyBorder="1" applyAlignment="1">
      <alignment horizontal="left" vertical="center"/>
    </xf>
    <xf numFmtId="0" fontId="7" fillId="4" borderId="13" xfId="0" applyFont="1" applyFill="1" applyBorder="1" applyAlignment="1">
      <alignment horizontal="center" vertical="center"/>
    </xf>
    <xf numFmtId="0" fontId="8" fillId="4" borderId="3" xfId="0" applyFont="1" applyFill="1" applyBorder="1" applyAlignment="1">
      <alignment horizontal="left" vertical="center"/>
    </xf>
    <xf numFmtId="0" fontId="25" fillId="4" borderId="3" xfId="0" applyFont="1" applyFill="1" applyBorder="1" applyAlignment="1">
      <alignment horizontal="left" vertical="center"/>
    </xf>
    <xf numFmtId="0" fontId="10" fillId="4" borderId="4" xfId="0" applyFont="1" applyFill="1" applyBorder="1" applyAlignment="1">
      <alignment horizontal="left" vertical="center"/>
    </xf>
    <xf numFmtId="0" fontId="7" fillId="4" borderId="15" xfId="0" applyFont="1" applyFill="1" applyBorder="1" applyAlignment="1">
      <alignment horizontal="center" vertical="center"/>
    </xf>
    <xf numFmtId="0" fontId="25" fillId="4" borderId="1" xfId="0" applyFont="1" applyFill="1" applyBorder="1" applyAlignment="1">
      <alignment horizontal="left" vertical="center"/>
    </xf>
    <xf numFmtId="0" fontId="10" fillId="4" borderId="6" xfId="0" applyFont="1" applyFill="1" applyBorder="1" applyAlignment="1">
      <alignment horizontal="left" vertical="center"/>
    </xf>
    <xf numFmtId="0" fontId="10" fillId="4" borderId="3" xfId="0" applyFont="1" applyFill="1" applyBorder="1" applyAlignment="1">
      <alignment horizontal="center"/>
    </xf>
    <xf numFmtId="0" fontId="10" fillId="4" borderId="24" xfId="0" applyFont="1" applyFill="1" applyBorder="1" applyAlignment="1">
      <alignment horizontal="center"/>
    </xf>
    <xf numFmtId="0" fontId="25" fillId="4" borderId="8" xfId="0" applyFont="1" applyFill="1" applyBorder="1" applyAlignment="1">
      <alignment horizontal="left" vertical="center"/>
    </xf>
    <xf numFmtId="0" fontId="10" fillId="4" borderId="9" xfId="0" applyFont="1" applyFill="1" applyBorder="1" applyAlignment="1">
      <alignment horizontal="left" vertical="center"/>
    </xf>
    <xf numFmtId="0" fontId="26" fillId="4" borderId="3" xfId="0" applyFont="1" applyFill="1" applyBorder="1" applyAlignment="1">
      <alignment horizontal="left" vertical="center"/>
    </xf>
    <xf numFmtId="0" fontId="7" fillId="4" borderId="19" xfId="0" applyFont="1" applyFill="1" applyBorder="1" applyAlignment="1">
      <alignment horizontal="center" vertical="center"/>
    </xf>
    <xf numFmtId="0" fontId="26" fillId="3" borderId="3" xfId="0" applyFont="1" applyFill="1" applyBorder="1" applyAlignment="1">
      <alignment horizontal="left" vertical="center"/>
    </xf>
    <xf numFmtId="0" fontId="16" fillId="3" borderId="10" xfId="0" applyFont="1" applyFill="1" applyBorder="1" applyAlignment="1">
      <alignment horizontal="center" vertical="center"/>
    </xf>
    <xf numFmtId="0" fontId="16" fillId="3" borderId="16" xfId="0" applyFont="1" applyFill="1" applyBorder="1" applyAlignment="1">
      <alignment horizontal="center" vertical="center"/>
    </xf>
    <xf numFmtId="0" fontId="16" fillId="3" borderId="18" xfId="0" applyFont="1" applyFill="1" applyBorder="1" applyAlignment="1">
      <alignment horizontal="center" vertical="center"/>
    </xf>
    <xf numFmtId="0" fontId="11" fillId="3" borderId="10" xfId="0" applyFont="1" applyFill="1" applyBorder="1" applyAlignment="1">
      <alignment horizontal="center" vertical="center"/>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16" fillId="4" borderId="10" xfId="0" applyFont="1" applyFill="1" applyBorder="1" applyAlignment="1">
      <alignment horizontal="center" vertical="center"/>
    </xf>
    <xf numFmtId="0" fontId="16" fillId="4" borderId="16" xfId="0" applyFont="1" applyFill="1" applyBorder="1" applyAlignment="1">
      <alignment horizontal="center" vertical="center"/>
    </xf>
    <xf numFmtId="0" fontId="11" fillId="4" borderId="10" xfId="0" applyFont="1" applyFill="1" applyBorder="1" applyAlignment="1">
      <alignment horizontal="center" vertical="center"/>
    </xf>
    <xf numFmtId="0" fontId="11" fillId="4" borderId="16" xfId="0" applyFont="1" applyFill="1" applyBorder="1" applyAlignment="1">
      <alignment horizontal="center" vertical="center"/>
    </xf>
    <xf numFmtId="0" fontId="11" fillId="4" borderId="18" xfId="0" applyFont="1" applyFill="1" applyBorder="1" applyAlignment="1">
      <alignment horizontal="center" vertical="center"/>
    </xf>
    <xf numFmtId="0" fontId="16" fillId="4" borderId="18" xfId="0" applyFont="1" applyFill="1" applyBorder="1" applyAlignment="1">
      <alignment horizontal="center" vertical="center"/>
    </xf>
    <xf numFmtId="0" fontId="10" fillId="7" borderId="8" xfId="0" applyFont="1" applyFill="1" applyBorder="1" applyAlignment="1">
      <alignment horizontal="center" vertical="center"/>
    </xf>
    <xf numFmtId="0" fontId="10" fillId="7" borderId="1" xfId="0" applyFont="1" applyFill="1" applyBorder="1" applyAlignment="1">
      <alignment horizontal="center" vertical="center"/>
    </xf>
    <xf numFmtId="0" fontId="10" fillId="0" borderId="3"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8" xfId="0" applyFont="1" applyFill="1" applyBorder="1" applyAlignment="1">
      <alignment horizontal="center" vertical="center"/>
    </xf>
    <xf numFmtId="0" fontId="10" fillId="0" borderId="25" xfId="0" applyFont="1" applyFill="1" applyBorder="1" applyAlignment="1">
      <alignment horizontal="center" vertical="center"/>
    </xf>
    <xf numFmtId="0" fontId="0" fillId="0" borderId="0" xfId="0" applyFill="1"/>
    <xf numFmtId="0" fontId="10" fillId="7" borderId="3" xfId="0" applyFont="1" applyFill="1" applyBorder="1" applyAlignment="1">
      <alignment horizontal="center" vertical="center"/>
    </xf>
    <xf numFmtId="0" fontId="4" fillId="0" borderId="11" xfId="0" applyFont="1" applyBorder="1" applyAlignment="1">
      <alignment horizontal="center"/>
    </xf>
    <xf numFmtId="0" fontId="13" fillId="0" borderId="11" xfId="0" applyFont="1" applyBorder="1" applyAlignment="1">
      <alignment horizontal="center"/>
    </xf>
    <xf numFmtId="0" fontId="5" fillId="0" borderId="11" xfId="0" applyFont="1" applyFill="1" applyBorder="1" applyAlignment="1">
      <alignment horizontal="center" vertical="center"/>
    </xf>
    <xf numFmtId="0" fontId="0" fillId="0" borderId="0" xfId="0" applyAlignment="1"/>
    <xf numFmtId="0" fontId="27" fillId="3" borderId="4" xfId="0" applyFont="1" applyFill="1" applyBorder="1" applyAlignment="1">
      <alignment horizontal="left" vertical="center"/>
    </xf>
    <xf numFmtId="0" fontId="11" fillId="4" borderId="0" xfId="0" applyFont="1" applyFill="1" applyAlignment="1">
      <alignment vertical="center"/>
    </xf>
    <xf numFmtId="0" fontId="11" fillId="4" borderId="17" xfId="0" applyFont="1" applyFill="1" applyBorder="1" applyAlignment="1">
      <alignment vertical="center"/>
    </xf>
    <xf numFmtId="0" fontId="11" fillId="4" borderId="1" xfId="0" applyFont="1" applyFill="1" applyBorder="1" applyAlignment="1">
      <alignment vertical="center"/>
    </xf>
    <xf numFmtId="0" fontId="11" fillId="4" borderId="8" xfId="0" applyFont="1" applyFill="1" applyBorder="1" applyAlignment="1">
      <alignment vertical="center"/>
    </xf>
    <xf numFmtId="0" fontId="16" fillId="4" borderId="3" xfId="0" applyFont="1" applyFill="1" applyBorder="1" applyAlignment="1">
      <alignment vertical="center"/>
    </xf>
    <xf numFmtId="0" fontId="11" fillId="4" borderId="3" xfId="0" applyFont="1" applyFill="1" applyBorder="1" applyAlignment="1">
      <alignment vertical="center"/>
    </xf>
    <xf numFmtId="0" fontId="27" fillId="4" borderId="4" xfId="0" applyFont="1" applyFill="1" applyBorder="1" applyAlignment="1">
      <alignment horizontal="left" vertical="center"/>
    </xf>
    <xf numFmtId="0" fontId="23" fillId="0" borderId="2" xfId="0" applyFont="1" applyBorder="1"/>
    <xf numFmtId="0" fontId="23" fillId="0" borderId="3" xfId="0" applyFont="1" applyBorder="1"/>
    <xf numFmtId="0" fontId="23" fillId="0" borderId="4" xfId="0" applyFont="1" applyBorder="1"/>
    <xf numFmtId="0" fontId="24" fillId="0" borderId="1" xfId="0" applyFont="1" applyBorder="1" applyAlignment="1">
      <alignment vertical="center"/>
    </xf>
    <xf numFmtId="0" fontId="20" fillId="0" borderId="1" xfId="0" applyFont="1" applyBorder="1" applyAlignment="1">
      <alignment vertical="center"/>
    </xf>
    <xf numFmtId="0" fontId="20" fillId="0" borderId="6" xfId="0" applyFont="1" applyBorder="1" applyAlignment="1">
      <alignment vertical="center"/>
    </xf>
    <xf numFmtId="0" fontId="24" fillId="0" borderId="1" xfId="0" applyFont="1" applyBorder="1" applyAlignment="1">
      <alignment vertical="center"/>
    </xf>
    <xf numFmtId="0" fontId="24" fillId="0" borderId="6" xfId="0" applyFont="1" applyBorder="1" applyAlignment="1">
      <alignment vertical="center"/>
    </xf>
    <xf numFmtId="0" fontId="24" fillId="0" borderId="1" xfId="0" applyFont="1" applyBorder="1" applyAlignment="1">
      <alignment vertical="center" wrapText="1"/>
    </xf>
    <xf numFmtId="0" fontId="24" fillId="0" borderId="6" xfId="0" applyFont="1" applyBorder="1" applyAlignment="1">
      <alignment vertical="center" wrapText="1"/>
    </xf>
    <xf numFmtId="0" fontId="24" fillId="0" borderId="1" xfId="0" applyFont="1" applyBorder="1" applyAlignment="1">
      <alignment horizontal="left" vertical="center"/>
    </xf>
    <xf numFmtId="0" fontId="28" fillId="0" borderId="1" xfId="0" applyFont="1" applyBorder="1" applyAlignment="1">
      <alignment vertical="center"/>
    </xf>
    <xf numFmtId="0" fontId="28" fillId="0" borderId="6" xfId="0" applyFont="1" applyBorder="1" applyAlignment="1">
      <alignment vertical="center"/>
    </xf>
    <xf numFmtId="0" fontId="28" fillId="0" borderId="1" xfId="0" applyFont="1" applyBorder="1" applyAlignment="1">
      <alignment vertical="center" wrapText="1"/>
    </xf>
    <xf numFmtId="0" fontId="28" fillId="0" borderId="6" xfId="0" applyFont="1" applyBorder="1" applyAlignment="1">
      <alignment vertical="center" wrapText="1"/>
    </xf>
    <xf numFmtId="0" fontId="24" fillId="0" borderId="1" xfId="0" applyFont="1" applyBorder="1"/>
    <xf numFmtId="0" fontId="24" fillId="0" borderId="6" xfId="0" applyFont="1" applyBorder="1"/>
    <xf numFmtId="0" fontId="24" fillId="0" borderId="8" xfId="0" applyFont="1" applyBorder="1" applyAlignment="1">
      <alignment vertical="center"/>
    </xf>
    <xf numFmtId="0" fontId="24" fillId="0" borderId="8" xfId="0" applyFont="1" applyBorder="1" applyAlignment="1">
      <alignment vertical="center" wrapText="1"/>
    </xf>
    <xf numFmtId="0" fontId="24" fillId="0" borderId="39" xfId="0" applyFont="1" applyBorder="1" applyAlignment="1">
      <alignment horizontal="center" vertical="center"/>
    </xf>
    <xf numFmtId="0" fontId="24" fillId="0" borderId="16" xfId="0" applyFont="1" applyBorder="1" applyAlignment="1">
      <alignment horizontal="center" vertical="center"/>
    </xf>
    <xf numFmtId="0" fontId="24" fillId="0" borderId="18" xfId="0" applyFont="1" applyBorder="1" applyAlignment="1">
      <alignment horizontal="center" vertical="center"/>
    </xf>
    <xf numFmtId="0" fontId="24" fillId="0" borderId="22" xfId="0" applyFont="1" applyBorder="1" applyAlignment="1">
      <alignment horizontal="center" vertical="center"/>
    </xf>
    <xf numFmtId="0" fontId="24" fillId="0" borderId="29" xfId="0" applyFont="1" applyBorder="1" applyAlignment="1">
      <alignment horizontal="center" vertical="center"/>
    </xf>
    <xf numFmtId="0" fontId="24" fillId="0" borderId="25" xfId="0" applyFont="1" applyBorder="1" applyAlignment="1">
      <alignment horizontal="center" vertical="center"/>
    </xf>
    <xf numFmtId="0" fontId="24" fillId="0" borderId="8" xfId="0" applyFont="1" applyBorder="1" applyAlignment="1">
      <alignment vertical="center"/>
    </xf>
    <xf numFmtId="0" fontId="24" fillId="0" borderId="9" xfId="0" applyFont="1" applyBorder="1" applyAlignment="1">
      <alignment vertical="center"/>
    </xf>
    <xf numFmtId="0" fontId="24" fillId="0" borderId="43" xfId="0" applyFont="1" applyBorder="1" applyAlignment="1">
      <alignment vertical="center"/>
    </xf>
    <xf numFmtId="0" fontId="10" fillId="0" borderId="33" xfId="0" applyFont="1" applyFill="1" applyBorder="1" applyAlignment="1">
      <alignment horizontal="center" vertical="center"/>
    </xf>
    <xf numFmtId="0" fontId="10" fillId="0" borderId="34" xfId="0" applyFont="1" applyFill="1" applyBorder="1" applyAlignment="1">
      <alignment horizontal="center" vertical="center"/>
    </xf>
    <xf numFmtId="0" fontId="10" fillId="0" borderId="37" xfId="0" applyFont="1" applyFill="1" applyBorder="1" applyAlignment="1">
      <alignment horizontal="center" vertical="center"/>
    </xf>
    <xf numFmtId="0" fontId="0" fillId="0" borderId="5" xfId="0" applyBorder="1"/>
    <xf numFmtId="0" fontId="1" fillId="0" borderId="0" xfId="0" applyFont="1" applyAlignment="1">
      <alignment horizontal="center"/>
    </xf>
    <xf numFmtId="0" fontId="0" fillId="8" borderId="45" xfId="0" applyFont="1" applyFill="1" applyBorder="1" applyAlignment="1">
      <alignment vertical="center"/>
    </xf>
    <xf numFmtId="0" fontId="0" fillId="8" borderId="46" xfId="0" applyFont="1" applyFill="1" applyBorder="1" applyAlignment="1">
      <alignment vertical="center"/>
    </xf>
    <xf numFmtId="0" fontId="20" fillId="8" borderId="46" xfId="0" applyFont="1" applyFill="1" applyBorder="1" applyAlignment="1">
      <alignment vertical="center" wrapText="1"/>
    </xf>
    <xf numFmtId="0" fontId="20" fillId="8" borderId="43" xfId="0" applyFont="1" applyFill="1" applyBorder="1" applyAlignment="1">
      <alignment vertical="center" wrapText="1"/>
    </xf>
    <xf numFmtId="0" fontId="29" fillId="0" borderId="43" xfId="0" applyFont="1" applyBorder="1" applyAlignment="1">
      <alignment vertical="center"/>
    </xf>
    <xf numFmtId="0" fontId="20" fillId="0" borderId="43" xfId="0" applyFont="1" applyBorder="1" applyAlignment="1">
      <alignment vertical="center"/>
    </xf>
    <xf numFmtId="0" fontId="20" fillId="6" borderId="46" xfId="0" applyFont="1" applyFill="1" applyBorder="1" applyAlignment="1">
      <alignment vertical="center"/>
    </xf>
    <xf numFmtId="0" fontId="20" fillId="8" borderId="46" xfId="0" applyFont="1" applyFill="1" applyBorder="1" applyAlignment="1">
      <alignment vertical="center"/>
    </xf>
    <xf numFmtId="0" fontId="20" fillId="0" borderId="45" xfId="0" applyFont="1" applyBorder="1" applyAlignment="1">
      <alignment vertical="center"/>
    </xf>
    <xf numFmtId="0" fontId="20" fillId="6" borderId="45" xfId="0" applyFont="1" applyFill="1" applyBorder="1" applyAlignment="1">
      <alignment vertical="center"/>
    </xf>
    <xf numFmtId="0" fontId="20" fillId="5" borderId="46" xfId="0" applyFont="1" applyFill="1" applyBorder="1" applyAlignment="1">
      <alignment vertical="center"/>
    </xf>
    <xf numFmtId="0" fontId="30" fillId="0" borderId="0" xfId="0" applyFont="1" applyAlignment="1">
      <alignment horizontal="center"/>
    </xf>
    <xf numFmtId="0" fontId="31" fillId="0" borderId="0" xfId="0" applyFont="1" applyAlignment="1">
      <alignment horizontal="center"/>
    </xf>
    <xf numFmtId="0" fontId="0" fillId="0" borderId="34" xfId="0" applyBorder="1" applyAlignment="1">
      <alignment horizontal="center"/>
    </xf>
    <xf numFmtId="0" fontId="0" fillId="0" borderId="20" xfId="0" applyBorder="1" applyAlignment="1">
      <alignment horizont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9" fontId="0" fillId="0" borderId="0" xfId="1" applyFont="1"/>
    <xf numFmtId="0" fontId="1" fillId="0" borderId="34" xfId="0" applyFont="1" applyBorder="1" applyAlignment="1">
      <alignment horizontal="center"/>
    </xf>
    <xf numFmtId="0" fontId="1" fillId="0" borderId="20" xfId="0" applyFont="1" applyBorder="1" applyAlignment="1">
      <alignment horizontal="center"/>
    </xf>
    <xf numFmtId="9" fontId="24" fillId="0" borderId="6" xfId="1" applyFont="1" applyBorder="1"/>
    <xf numFmtId="0" fontId="1" fillId="0" borderId="22" xfId="0" applyFont="1" applyBorder="1" applyAlignment="1">
      <alignment horizontal="center" vertical="center"/>
    </xf>
    <xf numFmtId="0" fontId="1" fillId="0" borderId="29" xfId="0" applyFont="1" applyBorder="1" applyAlignment="1">
      <alignment horizontal="center" vertical="center"/>
    </xf>
    <xf numFmtId="0" fontId="1" fillId="0" borderId="25" xfId="0" applyFont="1" applyBorder="1" applyAlignment="1">
      <alignment horizontal="center" vertical="center"/>
    </xf>
    <xf numFmtId="0" fontId="1" fillId="0" borderId="49" xfId="0" applyFont="1" applyBorder="1" applyAlignment="1">
      <alignment horizontal="center"/>
    </xf>
    <xf numFmtId="0" fontId="1" fillId="0" borderId="36" xfId="0" applyFont="1" applyBorder="1" applyAlignment="1">
      <alignment horizontal="center"/>
    </xf>
    <xf numFmtId="0" fontId="1" fillId="0" borderId="8" xfId="0" applyFont="1" applyBorder="1"/>
    <xf numFmtId="0" fontId="31" fillId="0" borderId="0" xfId="0" applyFont="1" applyAlignment="1">
      <alignment horizontal="center"/>
    </xf>
    <xf numFmtId="0" fontId="1" fillId="0" borderId="0" xfId="0" applyFont="1" applyBorder="1" applyAlignment="1">
      <alignment horizontal="center"/>
    </xf>
    <xf numFmtId="0" fontId="1" fillId="0" borderId="0" xfId="0" applyFont="1" applyBorder="1"/>
    <xf numFmtId="9" fontId="1" fillId="0" borderId="0" xfId="1" applyFont="1" applyBorder="1"/>
    <xf numFmtId="0" fontId="1" fillId="0" borderId="0" xfId="0" applyFont="1" applyAlignment="1">
      <alignment horizontal="right"/>
    </xf>
    <xf numFmtId="0" fontId="1" fillId="0" borderId="0" xfId="0" applyFont="1"/>
    <xf numFmtId="0" fontId="0" fillId="0" borderId="52" xfId="0" applyBorder="1"/>
    <xf numFmtId="0" fontId="0" fillId="0" borderId="21" xfId="0" applyBorder="1"/>
    <xf numFmtId="0" fontId="0" fillId="0" borderId="22" xfId="0" applyBorder="1"/>
    <xf numFmtId="0" fontId="1" fillId="0" borderId="0" xfId="0" applyFont="1" applyBorder="1" applyAlignment="1">
      <alignment horizontal="center" vertical="center"/>
    </xf>
    <xf numFmtId="0" fontId="0" fillId="0" borderId="0" xfId="0" applyBorder="1" applyAlignment="1">
      <alignment horizontal="center"/>
    </xf>
    <xf numFmtId="0" fontId="0" fillId="0" borderId="0" xfId="0" applyBorder="1"/>
    <xf numFmtId="0" fontId="20" fillId="0" borderId="34" xfId="0" applyFont="1" applyBorder="1" applyAlignment="1">
      <alignment vertical="center"/>
    </xf>
    <xf numFmtId="0" fontId="24" fillId="0" borderId="34" xfId="0" applyFont="1" applyBorder="1" applyAlignment="1">
      <alignment vertical="center"/>
    </xf>
    <xf numFmtId="0" fontId="24" fillId="0" borderId="34" xfId="0" applyFont="1" applyBorder="1" applyAlignment="1">
      <alignment vertical="center" wrapText="1"/>
    </xf>
    <xf numFmtId="0" fontId="28" fillId="0" borderId="34" xfId="0" applyFont="1" applyBorder="1" applyAlignment="1">
      <alignment vertical="center"/>
    </xf>
    <xf numFmtId="0" fontId="28" fillId="0" borderId="34" xfId="0" applyFont="1" applyBorder="1" applyAlignment="1">
      <alignment vertical="center" wrapText="1"/>
    </xf>
    <xf numFmtId="0" fontId="20" fillId="0" borderId="20" xfId="0" applyFont="1" applyBorder="1" applyAlignment="1">
      <alignment vertical="center"/>
    </xf>
    <xf numFmtId="0" fontId="24" fillId="0" borderId="20" xfId="0" applyFont="1" applyBorder="1" applyAlignment="1">
      <alignment vertical="center"/>
    </xf>
    <xf numFmtId="0" fontId="24" fillId="0" borderId="20" xfId="0" applyFont="1" applyBorder="1" applyAlignment="1">
      <alignment vertical="center" wrapText="1"/>
    </xf>
    <xf numFmtId="0" fontId="28" fillId="0" borderId="20" xfId="0" applyFont="1" applyBorder="1" applyAlignment="1">
      <alignment vertical="center"/>
    </xf>
    <xf numFmtId="0" fontId="28" fillId="0" borderId="20" xfId="0" applyFont="1" applyBorder="1" applyAlignment="1">
      <alignment vertical="center" wrapText="1"/>
    </xf>
    <xf numFmtId="0" fontId="23" fillId="0" borderId="11" xfId="0" applyFont="1" applyBorder="1"/>
    <xf numFmtId="0" fontId="24" fillId="0" borderId="43" xfId="0" applyFont="1" applyBorder="1" applyAlignment="1">
      <alignment vertical="center" wrapText="1"/>
    </xf>
    <xf numFmtId="0" fontId="28" fillId="0" borderId="43" xfId="0" applyFont="1" applyBorder="1" applyAlignment="1">
      <alignment vertical="center"/>
    </xf>
    <xf numFmtId="0" fontId="28" fillId="0" borderId="43" xfId="0" applyFont="1" applyBorder="1" applyAlignment="1">
      <alignment vertical="center" wrapText="1"/>
    </xf>
    <xf numFmtId="0" fontId="24" fillId="0" borderId="34" xfId="0" applyFont="1" applyBorder="1"/>
    <xf numFmtId="0" fontId="24" fillId="0" borderId="37" xfId="0" applyFont="1" applyBorder="1" applyAlignment="1">
      <alignment vertical="center" wrapText="1"/>
    </xf>
    <xf numFmtId="0" fontId="24" fillId="0" borderId="20" xfId="0" applyFont="1" applyBorder="1"/>
    <xf numFmtId="0" fontId="24" fillId="0" borderId="36" xfId="0" applyFont="1" applyBorder="1" applyAlignment="1">
      <alignment vertical="center" wrapText="1"/>
    </xf>
    <xf numFmtId="0" fontId="24" fillId="0" borderId="43" xfId="0" applyFont="1" applyBorder="1"/>
  </cellXfs>
  <cellStyles count="2">
    <cellStyle name="Normal" xfId="0" builtinId="0"/>
    <cellStyle name="Pourcentage" xfId="1" builtinId="5"/>
  </cellStyles>
  <dxfs count="390">
    <dxf>
      <fill>
        <patternFill>
          <bgColor rgb="FFFFFF0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0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ont>
        <color rgb="FF9C0006"/>
      </font>
      <fill>
        <patternFill>
          <bgColor rgb="FFFFC7CE"/>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Synthèsse!$D$5</c:f>
              <c:strCache>
                <c:ptCount val="1"/>
                <c:pt idx="0">
                  <c:v>Total OUI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Synthèsse!$C$6:$C$22</c:f>
              <c:strCache>
                <c:ptCount val="17"/>
                <c:pt idx="0">
                  <c:v>Gestion des Comptes</c:v>
                </c:pt>
                <c:pt idx="1">
                  <c:v>Saisie des Écritures Comptables</c:v>
                </c:pt>
                <c:pt idx="2">
                  <c:v>Gestion des Clients et Fournisseurs</c:v>
                </c:pt>
                <c:pt idx="3">
                  <c:v>Facturation et Gestion des Recettes</c:v>
                </c:pt>
                <c:pt idx="4">
                  <c:v>Suivi de la Trésorerie</c:v>
                </c:pt>
                <c:pt idx="5">
                  <c:v>Gestion des Immobilisations</c:v>
                </c:pt>
                <c:pt idx="6">
                  <c:v>États Financiers et Rapports Comptables</c:v>
                </c:pt>
                <c:pt idx="7">
                  <c:v>Conformité et Clôture de Fin d’Année</c:v>
                </c:pt>
                <c:pt idx="8">
                  <c:v>Audit des applications en service</c:v>
                </c:pt>
                <c:pt idx="9">
                  <c:v>Audit et contrôle des projets informatiques</c:v>
                </c:pt>
                <c:pt idx="10">
                  <c:v>Audit du support utilisateur et de la gestion du Parc</c:v>
                </c:pt>
                <c:pt idx="11">
                  <c:v>Audit de sécurité informatique</c:v>
                </c:pt>
                <c:pt idx="12">
                  <c:v>Environnement de contrôle</c:v>
                </c:pt>
                <c:pt idx="13">
                  <c:v>Évaluation des risques</c:v>
                </c:pt>
                <c:pt idx="14">
                  <c:v>Activités de contrôle</c:v>
                </c:pt>
                <c:pt idx="15">
                  <c:v>Information et communication</c:v>
                </c:pt>
                <c:pt idx="16">
                  <c:v>Activités de surveillence</c:v>
                </c:pt>
              </c:strCache>
            </c:strRef>
          </c:cat>
          <c:val>
            <c:numRef>
              <c:f>Synthèsse!$D$6:$D$22</c:f>
              <c:numCache>
                <c:formatCode>General</c:formatCode>
                <c:ptCount val="17"/>
                <c:pt idx="0">
                  <c:v>63</c:v>
                </c:pt>
                <c:pt idx="1">
                  <c:v>57</c:v>
                </c:pt>
                <c:pt idx="2">
                  <c:v>102</c:v>
                </c:pt>
                <c:pt idx="3">
                  <c:v>87</c:v>
                </c:pt>
                <c:pt idx="4">
                  <c:v>60</c:v>
                </c:pt>
                <c:pt idx="5">
                  <c:v>88</c:v>
                </c:pt>
                <c:pt idx="6">
                  <c:v>60</c:v>
                </c:pt>
                <c:pt idx="7">
                  <c:v>70</c:v>
                </c:pt>
                <c:pt idx="8">
                  <c:v>130</c:v>
                </c:pt>
                <c:pt idx="9">
                  <c:v>109</c:v>
                </c:pt>
                <c:pt idx="10">
                  <c:v>55</c:v>
                </c:pt>
                <c:pt idx="11">
                  <c:v>287</c:v>
                </c:pt>
                <c:pt idx="12">
                  <c:v>20</c:v>
                </c:pt>
                <c:pt idx="13">
                  <c:v>29</c:v>
                </c:pt>
                <c:pt idx="14">
                  <c:v>12</c:v>
                </c:pt>
                <c:pt idx="15">
                  <c:v>39</c:v>
                </c:pt>
                <c:pt idx="16">
                  <c:v>20</c:v>
                </c:pt>
              </c:numCache>
            </c:numRef>
          </c:val>
          <c:extLst>
            <c:ext xmlns:c16="http://schemas.microsoft.com/office/drawing/2014/chart" uri="{C3380CC4-5D6E-409C-BE32-E72D297353CC}">
              <c16:uniqueId val="{00000000-CB07-4AC9-87D7-436F7ED273B5}"/>
            </c:ext>
          </c:extLst>
        </c:ser>
        <c:ser>
          <c:idx val="1"/>
          <c:order val="1"/>
          <c:tx>
            <c:strRef>
              <c:f>Synthèsse!$E$5</c:f>
              <c:strCache>
                <c:ptCount val="1"/>
                <c:pt idx="0">
                  <c:v>Total NON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Synthèsse!$C$6:$C$22</c:f>
              <c:strCache>
                <c:ptCount val="17"/>
                <c:pt idx="0">
                  <c:v>Gestion des Comptes</c:v>
                </c:pt>
                <c:pt idx="1">
                  <c:v>Saisie des Écritures Comptables</c:v>
                </c:pt>
                <c:pt idx="2">
                  <c:v>Gestion des Clients et Fournisseurs</c:v>
                </c:pt>
                <c:pt idx="3">
                  <c:v>Facturation et Gestion des Recettes</c:v>
                </c:pt>
                <c:pt idx="4">
                  <c:v>Suivi de la Trésorerie</c:v>
                </c:pt>
                <c:pt idx="5">
                  <c:v>Gestion des Immobilisations</c:v>
                </c:pt>
                <c:pt idx="6">
                  <c:v>États Financiers et Rapports Comptables</c:v>
                </c:pt>
                <c:pt idx="7">
                  <c:v>Conformité et Clôture de Fin d’Année</c:v>
                </c:pt>
                <c:pt idx="8">
                  <c:v>Audit des applications en service</c:v>
                </c:pt>
                <c:pt idx="9">
                  <c:v>Audit et contrôle des projets informatiques</c:v>
                </c:pt>
                <c:pt idx="10">
                  <c:v>Audit du support utilisateur et de la gestion du Parc</c:v>
                </c:pt>
                <c:pt idx="11">
                  <c:v>Audit de sécurité informatique</c:v>
                </c:pt>
                <c:pt idx="12">
                  <c:v>Environnement de contrôle</c:v>
                </c:pt>
                <c:pt idx="13">
                  <c:v>Évaluation des risques</c:v>
                </c:pt>
                <c:pt idx="14">
                  <c:v>Activités de contrôle</c:v>
                </c:pt>
                <c:pt idx="15">
                  <c:v>Information et communication</c:v>
                </c:pt>
                <c:pt idx="16">
                  <c:v>Activités de surveillence</c:v>
                </c:pt>
              </c:strCache>
            </c:strRef>
          </c:cat>
          <c:val>
            <c:numRef>
              <c:f>Synthèsse!$E$6:$E$22</c:f>
              <c:numCache>
                <c:formatCode>General</c:formatCode>
                <c:ptCount val="17"/>
                <c:pt idx="0">
                  <c:v>43</c:v>
                </c:pt>
                <c:pt idx="1">
                  <c:v>8</c:v>
                </c:pt>
                <c:pt idx="2">
                  <c:v>8</c:v>
                </c:pt>
                <c:pt idx="3">
                  <c:v>15</c:v>
                </c:pt>
                <c:pt idx="4">
                  <c:v>0</c:v>
                </c:pt>
                <c:pt idx="5">
                  <c:v>2</c:v>
                </c:pt>
                <c:pt idx="6">
                  <c:v>0</c:v>
                </c:pt>
                <c:pt idx="7">
                  <c:v>14</c:v>
                </c:pt>
                <c:pt idx="8">
                  <c:v>90</c:v>
                </c:pt>
                <c:pt idx="9">
                  <c:v>110</c:v>
                </c:pt>
                <c:pt idx="10">
                  <c:v>30</c:v>
                </c:pt>
                <c:pt idx="11">
                  <c:v>21</c:v>
                </c:pt>
                <c:pt idx="12">
                  <c:v>37</c:v>
                </c:pt>
                <c:pt idx="13">
                  <c:v>36</c:v>
                </c:pt>
                <c:pt idx="14">
                  <c:v>5</c:v>
                </c:pt>
                <c:pt idx="15">
                  <c:v>34</c:v>
                </c:pt>
                <c:pt idx="16">
                  <c:v>16</c:v>
                </c:pt>
              </c:numCache>
            </c:numRef>
          </c:val>
          <c:extLst>
            <c:ext xmlns:c16="http://schemas.microsoft.com/office/drawing/2014/chart" uri="{C3380CC4-5D6E-409C-BE32-E72D297353CC}">
              <c16:uniqueId val="{00000001-CB07-4AC9-87D7-436F7ED273B5}"/>
            </c:ext>
          </c:extLst>
        </c:ser>
        <c:ser>
          <c:idx val="2"/>
          <c:order val="2"/>
          <c:tx>
            <c:strRef>
              <c:f>Synthèsse!$F$5</c:f>
              <c:strCache>
                <c:ptCount val="1"/>
                <c:pt idx="0">
                  <c:v>Total PAS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Synthèsse!$C$6:$C$22</c:f>
              <c:strCache>
                <c:ptCount val="17"/>
                <c:pt idx="0">
                  <c:v>Gestion des Comptes</c:v>
                </c:pt>
                <c:pt idx="1">
                  <c:v>Saisie des Écritures Comptables</c:v>
                </c:pt>
                <c:pt idx="2">
                  <c:v>Gestion des Clients et Fournisseurs</c:v>
                </c:pt>
                <c:pt idx="3">
                  <c:v>Facturation et Gestion des Recettes</c:v>
                </c:pt>
                <c:pt idx="4">
                  <c:v>Suivi de la Trésorerie</c:v>
                </c:pt>
                <c:pt idx="5">
                  <c:v>Gestion des Immobilisations</c:v>
                </c:pt>
                <c:pt idx="6">
                  <c:v>États Financiers et Rapports Comptables</c:v>
                </c:pt>
                <c:pt idx="7">
                  <c:v>Conformité et Clôture de Fin d’Année</c:v>
                </c:pt>
                <c:pt idx="8">
                  <c:v>Audit des applications en service</c:v>
                </c:pt>
                <c:pt idx="9">
                  <c:v>Audit et contrôle des projets informatiques</c:v>
                </c:pt>
                <c:pt idx="10">
                  <c:v>Audit du support utilisateur et de la gestion du Parc</c:v>
                </c:pt>
                <c:pt idx="11">
                  <c:v>Audit de sécurité informatique</c:v>
                </c:pt>
                <c:pt idx="12">
                  <c:v>Environnement de contrôle</c:v>
                </c:pt>
                <c:pt idx="13">
                  <c:v>Évaluation des risques</c:v>
                </c:pt>
                <c:pt idx="14">
                  <c:v>Activités de contrôle</c:v>
                </c:pt>
                <c:pt idx="15">
                  <c:v>Information et communication</c:v>
                </c:pt>
                <c:pt idx="16">
                  <c:v>Activités de surveillence</c:v>
                </c:pt>
              </c:strCache>
            </c:strRef>
          </c:cat>
          <c:val>
            <c:numRef>
              <c:f>Synthèsse!$F$6:$F$22</c:f>
              <c:numCache>
                <c:formatCode>General</c:formatCode>
                <c:ptCount val="17"/>
                <c:pt idx="0">
                  <c:v>13</c:v>
                </c:pt>
                <c:pt idx="1">
                  <c:v>10</c:v>
                </c:pt>
                <c:pt idx="2">
                  <c:v>15</c:v>
                </c:pt>
                <c:pt idx="3">
                  <c:v>12</c:v>
                </c:pt>
                <c:pt idx="4">
                  <c:v>0</c:v>
                </c:pt>
                <c:pt idx="5">
                  <c:v>0</c:v>
                </c:pt>
                <c:pt idx="6">
                  <c:v>0</c:v>
                </c:pt>
                <c:pt idx="7">
                  <c:v>6</c:v>
                </c:pt>
                <c:pt idx="8">
                  <c:v>0</c:v>
                </c:pt>
                <c:pt idx="9">
                  <c:v>56</c:v>
                </c:pt>
                <c:pt idx="10">
                  <c:v>15</c:v>
                </c:pt>
                <c:pt idx="11">
                  <c:v>12</c:v>
                </c:pt>
                <c:pt idx="12">
                  <c:v>13</c:v>
                </c:pt>
                <c:pt idx="13">
                  <c:v>10</c:v>
                </c:pt>
                <c:pt idx="14">
                  <c:v>5</c:v>
                </c:pt>
                <c:pt idx="15">
                  <c:v>7</c:v>
                </c:pt>
                <c:pt idx="16">
                  <c:v>4</c:v>
                </c:pt>
              </c:numCache>
            </c:numRef>
          </c:val>
          <c:extLst>
            <c:ext xmlns:c16="http://schemas.microsoft.com/office/drawing/2014/chart" uri="{C3380CC4-5D6E-409C-BE32-E72D297353CC}">
              <c16:uniqueId val="{00000002-CB07-4AC9-87D7-436F7ED273B5}"/>
            </c:ext>
          </c:extLst>
        </c:ser>
        <c:dLbls>
          <c:showLegendKey val="0"/>
          <c:showVal val="0"/>
          <c:showCatName val="0"/>
          <c:showSerName val="0"/>
          <c:showPercent val="0"/>
          <c:showBubbleSize val="0"/>
        </c:dLbls>
        <c:gapWidth val="115"/>
        <c:overlap val="-20"/>
        <c:axId val="761366544"/>
        <c:axId val="761362936"/>
      </c:barChart>
      <c:catAx>
        <c:axId val="7613665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1362936"/>
        <c:crosses val="autoZero"/>
        <c:auto val="1"/>
        <c:lblAlgn val="ctr"/>
        <c:lblOffset val="100"/>
        <c:noMultiLvlLbl val="0"/>
      </c:catAx>
      <c:valAx>
        <c:axId val="7613629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136654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Synthèsse!$D$5</c:f>
              <c:strCache>
                <c:ptCount val="1"/>
                <c:pt idx="0">
                  <c:v>Total OUI</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Synthèsse!$C$6:$C$22</c:f>
              <c:strCache>
                <c:ptCount val="17"/>
                <c:pt idx="0">
                  <c:v>Gestion des Comptes</c:v>
                </c:pt>
                <c:pt idx="1">
                  <c:v>Saisie des Écritures Comptables</c:v>
                </c:pt>
                <c:pt idx="2">
                  <c:v>Gestion des Clients et Fournisseurs</c:v>
                </c:pt>
                <c:pt idx="3">
                  <c:v>Facturation et Gestion des Recettes</c:v>
                </c:pt>
                <c:pt idx="4">
                  <c:v>Suivi de la Trésorerie</c:v>
                </c:pt>
                <c:pt idx="5">
                  <c:v>Gestion des Immobilisations</c:v>
                </c:pt>
                <c:pt idx="6">
                  <c:v>États Financiers et Rapports Comptables</c:v>
                </c:pt>
                <c:pt idx="7">
                  <c:v>Conformité et Clôture de Fin d’Année</c:v>
                </c:pt>
                <c:pt idx="8">
                  <c:v>Audit des applications en service</c:v>
                </c:pt>
                <c:pt idx="9">
                  <c:v>Audit et contrôle des projets informatiques</c:v>
                </c:pt>
                <c:pt idx="10">
                  <c:v>Audit du support utilisateur et de la gestion du Parc</c:v>
                </c:pt>
                <c:pt idx="11">
                  <c:v>Audit de sécurité informatique</c:v>
                </c:pt>
                <c:pt idx="12">
                  <c:v>Environnement de contrôle</c:v>
                </c:pt>
                <c:pt idx="13">
                  <c:v>Évaluation des risques</c:v>
                </c:pt>
                <c:pt idx="14">
                  <c:v>Activités de contrôle</c:v>
                </c:pt>
                <c:pt idx="15">
                  <c:v>Information et communication</c:v>
                </c:pt>
                <c:pt idx="16">
                  <c:v>Activités de surveillence</c:v>
                </c:pt>
              </c:strCache>
            </c:strRef>
          </c:cat>
          <c:val>
            <c:numRef>
              <c:f>Synthèsse!$D$6:$D$22</c:f>
              <c:numCache>
                <c:formatCode>General</c:formatCode>
                <c:ptCount val="17"/>
                <c:pt idx="0">
                  <c:v>63</c:v>
                </c:pt>
                <c:pt idx="1">
                  <c:v>57</c:v>
                </c:pt>
                <c:pt idx="2">
                  <c:v>102</c:v>
                </c:pt>
                <c:pt idx="3">
                  <c:v>87</c:v>
                </c:pt>
                <c:pt idx="4">
                  <c:v>60</c:v>
                </c:pt>
                <c:pt idx="5">
                  <c:v>88</c:v>
                </c:pt>
                <c:pt idx="6">
                  <c:v>60</c:v>
                </c:pt>
                <c:pt idx="7">
                  <c:v>70</c:v>
                </c:pt>
                <c:pt idx="8">
                  <c:v>130</c:v>
                </c:pt>
                <c:pt idx="9">
                  <c:v>109</c:v>
                </c:pt>
                <c:pt idx="10">
                  <c:v>55</c:v>
                </c:pt>
                <c:pt idx="11">
                  <c:v>287</c:v>
                </c:pt>
                <c:pt idx="12">
                  <c:v>20</c:v>
                </c:pt>
                <c:pt idx="13">
                  <c:v>29</c:v>
                </c:pt>
                <c:pt idx="14">
                  <c:v>12</c:v>
                </c:pt>
                <c:pt idx="15">
                  <c:v>39</c:v>
                </c:pt>
                <c:pt idx="16">
                  <c:v>20</c:v>
                </c:pt>
              </c:numCache>
            </c:numRef>
          </c:val>
          <c:extLst>
            <c:ext xmlns:c16="http://schemas.microsoft.com/office/drawing/2014/chart" uri="{C3380CC4-5D6E-409C-BE32-E72D297353CC}">
              <c16:uniqueId val="{00000000-E87E-4D62-83A2-7225B6BA2D99}"/>
            </c:ext>
          </c:extLst>
        </c:ser>
        <c:ser>
          <c:idx val="1"/>
          <c:order val="1"/>
          <c:tx>
            <c:strRef>
              <c:f>Synthèsse!$E$5</c:f>
              <c:strCache>
                <c:ptCount val="1"/>
                <c:pt idx="0">
                  <c:v>Total NON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Synthèsse!$C$6:$C$22</c:f>
              <c:strCache>
                <c:ptCount val="17"/>
                <c:pt idx="0">
                  <c:v>Gestion des Comptes</c:v>
                </c:pt>
                <c:pt idx="1">
                  <c:v>Saisie des Écritures Comptables</c:v>
                </c:pt>
                <c:pt idx="2">
                  <c:v>Gestion des Clients et Fournisseurs</c:v>
                </c:pt>
                <c:pt idx="3">
                  <c:v>Facturation et Gestion des Recettes</c:v>
                </c:pt>
                <c:pt idx="4">
                  <c:v>Suivi de la Trésorerie</c:v>
                </c:pt>
                <c:pt idx="5">
                  <c:v>Gestion des Immobilisations</c:v>
                </c:pt>
                <c:pt idx="6">
                  <c:v>États Financiers et Rapports Comptables</c:v>
                </c:pt>
                <c:pt idx="7">
                  <c:v>Conformité et Clôture de Fin d’Année</c:v>
                </c:pt>
                <c:pt idx="8">
                  <c:v>Audit des applications en service</c:v>
                </c:pt>
                <c:pt idx="9">
                  <c:v>Audit et contrôle des projets informatiques</c:v>
                </c:pt>
                <c:pt idx="10">
                  <c:v>Audit du support utilisateur et de la gestion du Parc</c:v>
                </c:pt>
                <c:pt idx="11">
                  <c:v>Audit de sécurité informatique</c:v>
                </c:pt>
                <c:pt idx="12">
                  <c:v>Environnement de contrôle</c:v>
                </c:pt>
                <c:pt idx="13">
                  <c:v>Évaluation des risques</c:v>
                </c:pt>
                <c:pt idx="14">
                  <c:v>Activités de contrôle</c:v>
                </c:pt>
                <c:pt idx="15">
                  <c:v>Information et communication</c:v>
                </c:pt>
                <c:pt idx="16">
                  <c:v>Activités de surveillence</c:v>
                </c:pt>
              </c:strCache>
            </c:strRef>
          </c:cat>
          <c:val>
            <c:numRef>
              <c:f>Synthèsse!$E$6:$E$22</c:f>
              <c:numCache>
                <c:formatCode>General</c:formatCode>
                <c:ptCount val="17"/>
                <c:pt idx="0">
                  <c:v>43</c:v>
                </c:pt>
                <c:pt idx="1">
                  <c:v>8</c:v>
                </c:pt>
                <c:pt idx="2">
                  <c:v>8</c:v>
                </c:pt>
                <c:pt idx="3">
                  <c:v>15</c:v>
                </c:pt>
                <c:pt idx="4">
                  <c:v>0</c:v>
                </c:pt>
                <c:pt idx="5">
                  <c:v>2</c:v>
                </c:pt>
                <c:pt idx="6">
                  <c:v>0</c:v>
                </c:pt>
                <c:pt idx="7">
                  <c:v>14</c:v>
                </c:pt>
                <c:pt idx="8">
                  <c:v>90</c:v>
                </c:pt>
                <c:pt idx="9">
                  <c:v>110</c:v>
                </c:pt>
                <c:pt idx="10">
                  <c:v>30</c:v>
                </c:pt>
                <c:pt idx="11">
                  <c:v>21</c:v>
                </c:pt>
                <c:pt idx="12">
                  <c:v>37</c:v>
                </c:pt>
                <c:pt idx="13">
                  <c:v>36</c:v>
                </c:pt>
                <c:pt idx="14">
                  <c:v>5</c:v>
                </c:pt>
                <c:pt idx="15">
                  <c:v>34</c:v>
                </c:pt>
                <c:pt idx="16">
                  <c:v>16</c:v>
                </c:pt>
              </c:numCache>
            </c:numRef>
          </c:val>
          <c:extLst>
            <c:ext xmlns:c16="http://schemas.microsoft.com/office/drawing/2014/chart" uri="{C3380CC4-5D6E-409C-BE32-E72D297353CC}">
              <c16:uniqueId val="{00000001-E87E-4D62-83A2-7225B6BA2D99}"/>
            </c:ext>
          </c:extLst>
        </c:ser>
        <c:ser>
          <c:idx val="2"/>
          <c:order val="2"/>
          <c:tx>
            <c:strRef>
              <c:f>Synthèsse!$F$5</c:f>
              <c:strCache>
                <c:ptCount val="1"/>
                <c:pt idx="0">
                  <c:v>Total PAS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Synthèsse!$C$6:$C$22</c:f>
              <c:strCache>
                <c:ptCount val="17"/>
                <c:pt idx="0">
                  <c:v>Gestion des Comptes</c:v>
                </c:pt>
                <c:pt idx="1">
                  <c:v>Saisie des Écritures Comptables</c:v>
                </c:pt>
                <c:pt idx="2">
                  <c:v>Gestion des Clients et Fournisseurs</c:v>
                </c:pt>
                <c:pt idx="3">
                  <c:v>Facturation et Gestion des Recettes</c:v>
                </c:pt>
                <c:pt idx="4">
                  <c:v>Suivi de la Trésorerie</c:v>
                </c:pt>
                <c:pt idx="5">
                  <c:v>Gestion des Immobilisations</c:v>
                </c:pt>
                <c:pt idx="6">
                  <c:v>États Financiers et Rapports Comptables</c:v>
                </c:pt>
                <c:pt idx="7">
                  <c:v>Conformité et Clôture de Fin d’Année</c:v>
                </c:pt>
                <c:pt idx="8">
                  <c:v>Audit des applications en service</c:v>
                </c:pt>
                <c:pt idx="9">
                  <c:v>Audit et contrôle des projets informatiques</c:v>
                </c:pt>
                <c:pt idx="10">
                  <c:v>Audit du support utilisateur et de la gestion du Parc</c:v>
                </c:pt>
                <c:pt idx="11">
                  <c:v>Audit de sécurité informatique</c:v>
                </c:pt>
                <c:pt idx="12">
                  <c:v>Environnement de contrôle</c:v>
                </c:pt>
                <c:pt idx="13">
                  <c:v>Évaluation des risques</c:v>
                </c:pt>
                <c:pt idx="14">
                  <c:v>Activités de contrôle</c:v>
                </c:pt>
                <c:pt idx="15">
                  <c:v>Information et communication</c:v>
                </c:pt>
                <c:pt idx="16">
                  <c:v>Activités de surveillence</c:v>
                </c:pt>
              </c:strCache>
            </c:strRef>
          </c:cat>
          <c:val>
            <c:numRef>
              <c:f>Synthèsse!$F$6:$F$22</c:f>
              <c:numCache>
                <c:formatCode>General</c:formatCode>
                <c:ptCount val="17"/>
                <c:pt idx="0">
                  <c:v>13</c:v>
                </c:pt>
                <c:pt idx="1">
                  <c:v>10</c:v>
                </c:pt>
                <c:pt idx="2">
                  <c:v>15</c:v>
                </c:pt>
                <c:pt idx="3">
                  <c:v>12</c:v>
                </c:pt>
                <c:pt idx="4">
                  <c:v>0</c:v>
                </c:pt>
                <c:pt idx="5">
                  <c:v>0</c:v>
                </c:pt>
                <c:pt idx="6">
                  <c:v>0</c:v>
                </c:pt>
                <c:pt idx="7">
                  <c:v>6</c:v>
                </c:pt>
                <c:pt idx="8">
                  <c:v>0</c:v>
                </c:pt>
                <c:pt idx="9">
                  <c:v>56</c:v>
                </c:pt>
                <c:pt idx="10">
                  <c:v>15</c:v>
                </c:pt>
                <c:pt idx="11">
                  <c:v>12</c:v>
                </c:pt>
                <c:pt idx="12">
                  <c:v>13</c:v>
                </c:pt>
                <c:pt idx="13">
                  <c:v>10</c:v>
                </c:pt>
                <c:pt idx="14">
                  <c:v>5</c:v>
                </c:pt>
                <c:pt idx="15">
                  <c:v>7</c:v>
                </c:pt>
                <c:pt idx="16">
                  <c:v>4</c:v>
                </c:pt>
              </c:numCache>
            </c:numRef>
          </c:val>
          <c:extLst>
            <c:ext xmlns:c16="http://schemas.microsoft.com/office/drawing/2014/chart" uri="{C3380CC4-5D6E-409C-BE32-E72D297353CC}">
              <c16:uniqueId val="{00000002-E87E-4D62-83A2-7225B6BA2D99}"/>
            </c:ext>
          </c:extLst>
        </c:ser>
        <c:dLbls>
          <c:showLegendKey val="0"/>
          <c:showVal val="0"/>
          <c:showCatName val="0"/>
          <c:showSerName val="0"/>
          <c:showPercent val="0"/>
          <c:showBubbleSize val="0"/>
        </c:dLbls>
        <c:axId val="509037376"/>
        <c:axId val="509037048"/>
      </c:radarChart>
      <c:catAx>
        <c:axId val="509037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037048"/>
        <c:crosses val="autoZero"/>
        <c:auto val="1"/>
        <c:lblAlgn val="ctr"/>
        <c:lblOffset val="100"/>
        <c:noMultiLvlLbl val="0"/>
      </c:catAx>
      <c:valAx>
        <c:axId val="509037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903737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12700</xdr:colOff>
      <xdr:row>27</xdr:row>
      <xdr:rowOff>180520</xdr:rowOff>
    </xdr:from>
    <xdr:to>
      <xdr:col>18</xdr:col>
      <xdr:colOff>9978</xdr:colOff>
      <xdr:row>59</xdr:row>
      <xdr:rowOff>165100</xdr:rowOff>
    </xdr:to>
    <xdr:graphicFrame macro="">
      <xdr:nvGraphicFramePr>
        <xdr:cNvPr id="13" name="Graphique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6350</xdr:colOff>
      <xdr:row>27</xdr:row>
      <xdr:rowOff>6350</xdr:rowOff>
    </xdr:from>
    <xdr:to>
      <xdr:col>8</xdr:col>
      <xdr:colOff>0</xdr:colOff>
      <xdr:row>60</xdr:row>
      <xdr:rowOff>38100</xdr:rowOff>
    </xdr:to>
    <xdr:graphicFrame macro="">
      <xdr:nvGraphicFramePr>
        <xdr:cNvPr id="14" name="Graphique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OSO_AYONMENE_TIOBOU_Varese_devoir_audi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ssion_ATCHOUMENE_TEAM-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nthese"/>
      <sheetName val="COSO"/>
      <sheetName val="4.1_Audit_des_applications_en_s"/>
      <sheetName val="4.2_Audit_fonction_informatiq"/>
      <sheetName val="4.3_Audit_des_projets_informati"/>
      <sheetName val="4.4_Audit_du_support_user "/>
      <sheetName val="4.5_Audit_securite_informatique"/>
      <sheetName val="4.6_Audit_et_controle_fonction"/>
    </sheetNames>
    <sheetDataSet>
      <sheetData sheetId="0">
        <row r="6">
          <cell r="D6" t="str">
            <v xml:space="preserve">Total OUI    </v>
          </cell>
          <cell r="E6" t="str">
            <v xml:space="preserve">Total NON     </v>
          </cell>
          <cell r="F6" t="str">
            <v xml:space="preserve">Total PAS    </v>
          </cell>
        </row>
        <row r="7">
          <cell r="C7" t="str">
            <v>COSO</v>
          </cell>
          <cell r="D7">
            <v>211</v>
          </cell>
          <cell r="E7">
            <v>103</v>
          </cell>
          <cell r="F7">
            <v>166</v>
          </cell>
        </row>
        <row r="8">
          <cell r="C8" t="str">
            <v>Audit des applications en services</v>
          </cell>
          <cell r="D8">
            <v>138</v>
          </cell>
          <cell r="E8">
            <v>112</v>
          </cell>
          <cell r="F8">
            <v>0</v>
          </cell>
        </row>
        <row r="9">
          <cell r="C9" t="str">
            <v>Audit de la fonction informatique</v>
          </cell>
          <cell r="D9">
            <v>166</v>
          </cell>
          <cell r="E9">
            <v>33</v>
          </cell>
          <cell r="F9">
            <v>6</v>
          </cell>
        </row>
        <row r="10">
          <cell r="C10" t="str">
            <v>Audit et contrôle des projets  informatiques</v>
          </cell>
          <cell r="D10">
            <v>494</v>
          </cell>
          <cell r="E10">
            <v>109</v>
          </cell>
          <cell r="F10">
            <v>36</v>
          </cell>
        </row>
        <row r="11">
          <cell r="C11" t="str">
            <v>Audit du Support Utilisateur et de la Gestion du Parc</v>
          </cell>
          <cell r="D11">
            <v>138</v>
          </cell>
          <cell r="E11">
            <v>29</v>
          </cell>
          <cell r="F11">
            <v>3</v>
          </cell>
        </row>
        <row r="12">
          <cell r="C12" t="str">
            <v>Audit de Sécurité Informatique</v>
          </cell>
          <cell r="D12">
            <v>265</v>
          </cell>
          <cell r="E12">
            <v>17</v>
          </cell>
          <cell r="F12">
            <v>8</v>
          </cell>
        </row>
        <row r="13">
          <cell r="C13" t="str">
            <v xml:space="preserve">Audit et Contrôle de la Fonction Etude </v>
          </cell>
          <cell r="D13">
            <v>60</v>
          </cell>
          <cell r="E13">
            <v>7</v>
          </cell>
          <cell r="F13">
            <v>3</v>
          </cell>
        </row>
      </sheetData>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plications"/>
      <sheetName val="Synthèse"/>
      <sheetName val="Global"/>
      <sheetName val="Domaines"/>
      <sheetName val="Chronogramme"/>
      <sheetName val="Suivi de la Mission"/>
      <sheetName val="Ref_Appli_Serv"/>
      <sheetName val="Ref_COSO"/>
      <sheetName val="Ref_APPLICATION"/>
      <sheetName val="SWOT"/>
      <sheetName val="Q_Resp_Cloture"/>
      <sheetName val="Q_Resp_EtatFinanciers"/>
      <sheetName val="Q_Resp_Immobilisations"/>
      <sheetName val="Q_Resp_Tresorerie"/>
      <sheetName val="Q_Resp_Facturation"/>
      <sheetName val="Q_Resp_ClientFournisseurs"/>
      <sheetName val="Q_Rep_SaisieEcritureComp"/>
      <sheetName val="Q_Resp_Comptes"/>
      <sheetName val="Matrice des Risques"/>
    </sheetNames>
    <sheetDataSet>
      <sheetData sheetId="0"/>
      <sheetData sheetId="1">
        <row r="5">
          <cell r="D5" t="str">
            <v>Total OUI</v>
          </cell>
          <cell r="E5" t="str">
            <v>Total NON</v>
          </cell>
          <cell r="F5" t="str">
            <v>Total PAS</v>
          </cell>
        </row>
        <row r="6">
          <cell r="C6" t="str">
            <v>Gestion des Comptes</v>
          </cell>
          <cell r="D6">
            <v>31</v>
          </cell>
          <cell r="E6">
            <v>43</v>
          </cell>
          <cell r="F6">
            <v>0</v>
          </cell>
        </row>
        <row r="7">
          <cell r="C7" t="str">
            <v>Saisie des Écritures Comptables</v>
          </cell>
          <cell r="D7">
            <v>19</v>
          </cell>
          <cell r="E7">
            <v>44</v>
          </cell>
          <cell r="F7">
            <v>17</v>
          </cell>
        </row>
        <row r="8">
          <cell r="C8" t="str">
            <v>Gestion des Clients et Fournisseurs</v>
          </cell>
          <cell r="D8">
            <v>40</v>
          </cell>
          <cell r="E8">
            <v>53</v>
          </cell>
          <cell r="F8">
            <v>2</v>
          </cell>
        </row>
        <row r="9">
          <cell r="C9" t="str">
            <v>Facturation et Gestion des Recettes</v>
          </cell>
          <cell r="D9">
            <v>28</v>
          </cell>
          <cell r="E9">
            <v>39</v>
          </cell>
          <cell r="F9">
            <v>3</v>
          </cell>
        </row>
        <row r="10">
          <cell r="C10" t="str">
            <v>Suivi de la Trésorerie</v>
          </cell>
          <cell r="D10">
            <v>29</v>
          </cell>
          <cell r="E10">
            <v>21</v>
          </cell>
          <cell r="F10">
            <v>0</v>
          </cell>
        </row>
        <row r="11">
          <cell r="C11" t="str">
            <v>Gestion des Immobilisations</v>
          </cell>
          <cell r="D11">
            <v>29</v>
          </cell>
          <cell r="E11">
            <v>48</v>
          </cell>
          <cell r="F11">
            <v>18</v>
          </cell>
        </row>
        <row r="12">
          <cell r="C12" t="str">
            <v>États Financiers et Rapports Comptables</v>
          </cell>
          <cell r="D12">
            <v>20</v>
          </cell>
          <cell r="E12">
            <v>15</v>
          </cell>
          <cell r="F12">
            <v>15</v>
          </cell>
        </row>
        <row r="13">
          <cell r="C13" t="str">
            <v>Conformité et Clôture de Fin d’Année</v>
          </cell>
          <cell r="D13">
            <v>29</v>
          </cell>
          <cell r="E13">
            <v>29</v>
          </cell>
          <cell r="F13">
            <v>7</v>
          </cell>
        </row>
      </sheetData>
      <sheetData sheetId="2">
        <row r="3">
          <cell r="K3" t="str">
            <v>OUI</v>
          </cell>
        </row>
        <row r="4">
          <cell r="K4" t="str">
            <v>NON</v>
          </cell>
        </row>
        <row r="5">
          <cell r="K5" t="str">
            <v>OUI</v>
          </cell>
        </row>
        <row r="6">
          <cell r="K6" t="str">
            <v>NON</v>
          </cell>
        </row>
        <row r="7">
          <cell r="K7" t="str">
            <v>OUI</v>
          </cell>
        </row>
        <row r="8">
          <cell r="K8" t="str">
            <v>OUI</v>
          </cell>
        </row>
        <row r="9">
          <cell r="K9" t="str">
            <v>OUI</v>
          </cell>
        </row>
        <row r="10">
          <cell r="K10" t="str">
            <v>NON</v>
          </cell>
        </row>
        <row r="11">
          <cell r="K11" t="str">
            <v>OUI</v>
          </cell>
        </row>
        <row r="12">
          <cell r="K12" t="str">
            <v>NON</v>
          </cell>
        </row>
        <row r="13">
          <cell r="K13" t="str">
            <v>OUI</v>
          </cell>
        </row>
        <row r="14">
          <cell r="K14" t="str">
            <v>NON</v>
          </cell>
        </row>
        <row r="15">
          <cell r="K15" t="str">
            <v>NON</v>
          </cell>
        </row>
        <row r="16">
          <cell r="K16" t="str">
            <v>NON</v>
          </cell>
        </row>
        <row r="17">
          <cell r="K17" t="str">
            <v>OUI</v>
          </cell>
        </row>
        <row r="18">
          <cell r="K18" t="str">
            <v>OUI</v>
          </cell>
        </row>
        <row r="19">
          <cell r="K19" t="str">
            <v>NON</v>
          </cell>
        </row>
        <row r="20">
          <cell r="K20" t="str">
            <v>NON</v>
          </cell>
        </row>
        <row r="21">
          <cell r="K21" t="str">
            <v>NON</v>
          </cell>
        </row>
        <row r="22">
          <cell r="K22" t="str">
            <v>OUI</v>
          </cell>
        </row>
        <row r="23">
          <cell r="K23" t="str">
            <v>OUI</v>
          </cell>
        </row>
        <row r="24">
          <cell r="K24" t="str">
            <v>OUI</v>
          </cell>
        </row>
        <row r="25">
          <cell r="K25" t="str">
            <v>OUI</v>
          </cell>
        </row>
        <row r="26">
          <cell r="K26" t="str">
            <v>OUI</v>
          </cell>
        </row>
        <row r="27">
          <cell r="K27" t="str">
            <v>OUI</v>
          </cell>
        </row>
        <row r="28">
          <cell r="K28" t="str">
            <v>NON</v>
          </cell>
        </row>
        <row r="29">
          <cell r="K29" t="str">
            <v>NON</v>
          </cell>
        </row>
        <row r="30">
          <cell r="K30" t="str">
            <v>NON</v>
          </cell>
        </row>
        <row r="31">
          <cell r="K31" t="str">
            <v>NON</v>
          </cell>
        </row>
        <row r="32">
          <cell r="K32" t="str">
            <v>OUI</v>
          </cell>
        </row>
        <row r="33">
          <cell r="K33" t="str">
            <v>NON</v>
          </cell>
        </row>
        <row r="34">
          <cell r="K34" t="str">
            <v>NON</v>
          </cell>
        </row>
        <row r="35">
          <cell r="K35" t="str">
            <v>NON</v>
          </cell>
        </row>
        <row r="36">
          <cell r="K36" t="str">
            <v>OUI</v>
          </cell>
        </row>
        <row r="37">
          <cell r="K37" t="str">
            <v>OUI</v>
          </cell>
        </row>
        <row r="38">
          <cell r="K38" t="str">
            <v>NON</v>
          </cell>
        </row>
        <row r="39">
          <cell r="K39" t="str">
            <v>OUI</v>
          </cell>
        </row>
        <row r="40">
          <cell r="K40" t="str">
            <v>NON</v>
          </cell>
        </row>
        <row r="41">
          <cell r="K41" t="str">
            <v>NON</v>
          </cell>
        </row>
        <row r="42">
          <cell r="K42" t="str">
            <v>NON</v>
          </cell>
        </row>
        <row r="43">
          <cell r="K43" t="str">
            <v>NON</v>
          </cell>
        </row>
        <row r="44">
          <cell r="K44" t="str">
            <v>NON</v>
          </cell>
        </row>
        <row r="45">
          <cell r="K45" t="str">
            <v>OUI</v>
          </cell>
        </row>
        <row r="46">
          <cell r="K46" t="str">
            <v>NON</v>
          </cell>
        </row>
        <row r="47">
          <cell r="K47" t="str">
            <v>NON</v>
          </cell>
        </row>
        <row r="48">
          <cell r="K48" t="str">
            <v>OUI</v>
          </cell>
        </row>
        <row r="49">
          <cell r="K49" t="str">
            <v>OUI</v>
          </cell>
        </row>
        <row r="50">
          <cell r="K50" t="str">
            <v>OUI</v>
          </cell>
        </row>
        <row r="51">
          <cell r="K51" t="str">
            <v>NON</v>
          </cell>
        </row>
        <row r="52">
          <cell r="K52" t="str">
            <v>NON</v>
          </cell>
        </row>
        <row r="53">
          <cell r="K53" t="str">
            <v>OUI</v>
          </cell>
        </row>
        <row r="54">
          <cell r="K54" t="str">
            <v>OUI</v>
          </cell>
        </row>
        <row r="55">
          <cell r="K55" t="str">
            <v>NON</v>
          </cell>
        </row>
        <row r="56">
          <cell r="K56" t="str">
            <v>NON</v>
          </cell>
        </row>
        <row r="57">
          <cell r="K57" t="str">
            <v>NON</v>
          </cell>
        </row>
        <row r="58">
          <cell r="K58" t="str">
            <v>OUI</v>
          </cell>
        </row>
        <row r="59">
          <cell r="K59" t="str">
            <v>NON</v>
          </cell>
        </row>
        <row r="60">
          <cell r="K60" t="str">
            <v>NON</v>
          </cell>
        </row>
        <row r="61">
          <cell r="K61" t="str">
            <v>NON</v>
          </cell>
        </row>
        <row r="62">
          <cell r="K62" t="str">
            <v>NON</v>
          </cell>
        </row>
        <row r="63">
          <cell r="K63" t="str">
            <v>OUI</v>
          </cell>
        </row>
        <row r="64">
          <cell r="K64" t="str">
            <v>NON</v>
          </cell>
        </row>
        <row r="65">
          <cell r="K65" t="str">
            <v>NON</v>
          </cell>
        </row>
        <row r="66">
          <cell r="K66" t="str">
            <v>NON</v>
          </cell>
        </row>
        <row r="67">
          <cell r="K67" t="str">
            <v>OUI</v>
          </cell>
        </row>
        <row r="68">
          <cell r="K68" t="str">
            <v>NON</v>
          </cell>
        </row>
        <row r="69">
          <cell r="K69" t="str">
            <v>NON</v>
          </cell>
        </row>
        <row r="70">
          <cell r="K70" t="str">
            <v>OUI</v>
          </cell>
        </row>
        <row r="71">
          <cell r="K71" t="str">
            <v>NON</v>
          </cell>
        </row>
        <row r="72">
          <cell r="K72" t="str">
            <v>OUI</v>
          </cell>
        </row>
        <row r="73">
          <cell r="K73" t="str">
            <v>NON</v>
          </cell>
        </row>
        <row r="74">
          <cell r="K74" t="str">
            <v>NON</v>
          </cell>
        </row>
        <row r="75">
          <cell r="K75" t="str">
            <v>OUI</v>
          </cell>
        </row>
        <row r="76">
          <cell r="K76" t="str">
            <v>NON</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91"/>
  <sheetViews>
    <sheetView topLeftCell="A1957" zoomScale="50" zoomScaleNormal="50" workbookViewId="0">
      <selection activeCell="B2022" sqref="B2022:B2051"/>
    </sheetView>
  </sheetViews>
  <sheetFormatPr baseColWidth="10" defaultRowHeight="14.5"/>
  <cols>
    <col min="1" max="1" width="67.1796875" style="1" bestFit="1" customWidth="1"/>
    <col min="2" max="2" width="70.08984375" style="1" bestFit="1" customWidth="1"/>
    <col min="3" max="3" width="185.6328125" style="1" bestFit="1" customWidth="1"/>
    <col min="4" max="4" width="250.08984375" style="1" bestFit="1" customWidth="1"/>
    <col min="5" max="5" width="255.6328125" style="1" bestFit="1" customWidth="1"/>
    <col min="6" max="6" width="20.453125" style="1" bestFit="1" customWidth="1"/>
    <col min="7" max="7" width="127.54296875" style="1" bestFit="1" customWidth="1"/>
    <col min="8" max="8" width="173" style="1" bestFit="1" customWidth="1"/>
    <col min="9" max="9" width="15.54296875" style="1" bestFit="1" customWidth="1"/>
    <col min="10" max="10" width="53.1796875" style="1" bestFit="1" customWidth="1"/>
    <col min="11" max="11" width="37.6328125" style="1" bestFit="1" customWidth="1"/>
    <col min="12" max="16384" width="10.90625" style="1"/>
  </cols>
  <sheetData>
    <row r="1" spans="1:11" ht="30.5" thickBot="1">
      <c r="A1" s="114" t="s">
        <v>0</v>
      </c>
      <c r="B1" s="115" t="s">
        <v>1</v>
      </c>
      <c r="C1" s="116" t="s">
        <v>2</v>
      </c>
      <c r="D1" s="117" t="s">
        <v>3</v>
      </c>
      <c r="E1" s="118" t="s">
        <v>4</v>
      </c>
      <c r="F1" s="117" t="s">
        <v>5</v>
      </c>
      <c r="G1" s="119" t="s">
        <v>6</v>
      </c>
      <c r="H1" s="120" t="s">
        <v>7</v>
      </c>
      <c r="I1" s="119" t="s">
        <v>8</v>
      </c>
      <c r="J1" s="117" t="s">
        <v>9</v>
      </c>
      <c r="K1" s="121" t="s">
        <v>10</v>
      </c>
    </row>
    <row r="2" spans="1:11" ht="25">
      <c r="A2" s="153" t="s">
        <v>11</v>
      </c>
      <c r="B2" s="156" t="s">
        <v>12</v>
      </c>
      <c r="C2" s="158" t="s">
        <v>13</v>
      </c>
      <c r="D2" s="14" t="s">
        <v>14</v>
      </c>
      <c r="E2" s="11" t="s">
        <v>15</v>
      </c>
      <c r="F2" s="12" t="s">
        <v>16</v>
      </c>
      <c r="G2" s="13" t="s">
        <v>17</v>
      </c>
      <c r="H2" s="13" t="s">
        <v>18</v>
      </c>
      <c r="I2" s="39" t="s">
        <v>19</v>
      </c>
      <c r="J2" s="13" t="s">
        <v>20</v>
      </c>
      <c r="K2" s="40"/>
    </row>
    <row r="3" spans="1:11" ht="25">
      <c r="A3" s="154"/>
      <c r="B3" s="157"/>
      <c r="C3" s="159"/>
      <c r="D3" s="41" t="s">
        <v>21</v>
      </c>
      <c r="E3" s="42" t="s">
        <v>22</v>
      </c>
      <c r="F3" s="43" t="s">
        <v>23</v>
      </c>
      <c r="G3" s="17" t="s">
        <v>24</v>
      </c>
      <c r="H3" s="17" t="s">
        <v>25</v>
      </c>
      <c r="I3" s="44" t="s">
        <v>26</v>
      </c>
      <c r="J3" s="17"/>
      <c r="K3" s="45"/>
    </row>
    <row r="4" spans="1:11" ht="25">
      <c r="A4" s="154"/>
      <c r="B4" s="157"/>
      <c r="C4" s="159"/>
      <c r="D4" s="46" t="s">
        <v>27</v>
      </c>
      <c r="E4" s="42" t="s">
        <v>28</v>
      </c>
      <c r="F4" s="43" t="s">
        <v>23</v>
      </c>
      <c r="G4" s="17" t="s">
        <v>29</v>
      </c>
      <c r="H4" s="17" t="s">
        <v>30</v>
      </c>
      <c r="I4" s="44" t="s">
        <v>19</v>
      </c>
      <c r="J4" s="17"/>
      <c r="K4" s="45"/>
    </row>
    <row r="5" spans="1:11" ht="25">
      <c r="A5" s="154"/>
      <c r="B5" s="157"/>
      <c r="C5" s="159"/>
      <c r="D5" s="46" t="s">
        <v>31</v>
      </c>
      <c r="E5" s="42" t="s">
        <v>32</v>
      </c>
      <c r="F5" s="43" t="s">
        <v>16</v>
      </c>
      <c r="G5" s="17" t="s">
        <v>33</v>
      </c>
      <c r="H5" s="48" t="s">
        <v>34</v>
      </c>
      <c r="I5" s="49" t="s">
        <v>26</v>
      </c>
      <c r="J5" s="48"/>
      <c r="K5" s="124"/>
    </row>
    <row r="6" spans="1:11" ht="25.5" thickBot="1">
      <c r="A6" s="154"/>
      <c r="B6" s="157"/>
      <c r="C6" s="160"/>
      <c r="D6" s="22" t="s">
        <v>35</v>
      </c>
      <c r="E6" s="47" t="s">
        <v>36</v>
      </c>
      <c r="F6" s="125" t="s">
        <v>16</v>
      </c>
      <c r="G6" s="48" t="s">
        <v>37</v>
      </c>
      <c r="H6" s="70" t="s">
        <v>38</v>
      </c>
      <c r="I6" s="122" t="s">
        <v>19</v>
      </c>
      <c r="J6" s="17"/>
      <c r="K6" s="50"/>
    </row>
    <row r="7" spans="1:11" ht="25">
      <c r="A7" s="154"/>
      <c r="B7" s="157"/>
      <c r="C7" s="158" t="s">
        <v>39</v>
      </c>
      <c r="D7" s="14" t="s">
        <v>40</v>
      </c>
      <c r="E7" s="25" t="s">
        <v>41</v>
      </c>
      <c r="F7" s="51" t="s">
        <v>16</v>
      </c>
      <c r="G7" s="17" t="s">
        <v>42</v>
      </c>
      <c r="H7" s="17" t="s">
        <v>43</v>
      </c>
      <c r="I7" s="123" t="s">
        <v>26</v>
      </c>
      <c r="J7" s="17"/>
      <c r="K7" s="50"/>
    </row>
    <row r="8" spans="1:11" ht="25">
      <c r="A8" s="154"/>
      <c r="B8" s="157"/>
      <c r="C8" s="159"/>
      <c r="D8" s="55" t="s">
        <v>44</v>
      </c>
      <c r="E8" s="42" t="s">
        <v>45</v>
      </c>
      <c r="F8" s="51" t="s">
        <v>16</v>
      </c>
      <c r="G8" s="52" t="s">
        <v>46</v>
      </c>
      <c r="H8" s="52" t="s">
        <v>47</v>
      </c>
      <c r="I8" s="44" t="s">
        <v>26</v>
      </c>
      <c r="J8" s="52"/>
      <c r="K8" s="45"/>
    </row>
    <row r="9" spans="1:11" ht="25">
      <c r="A9" s="154"/>
      <c r="B9" s="157"/>
      <c r="C9" s="159"/>
      <c r="D9" s="55" t="s">
        <v>48</v>
      </c>
      <c r="E9" s="42" t="s">
        <v>49</v>
      </c>
      <c r="F9" s="51" t="s">
        <v>16</v>
      </c>
      <c r="G9" s="52" t="s">
        <v>50</v>
      </c>
      <c r="H9" s="52" t="s">
        <v>51</v>
      </c>
      <c r="I9" s="53" t="s">
        <v>19</v>
      </c>
      <c r="J9" s="52"/>
      <c r="K9" s="54"/>
    </row>
    <row r="10" spans="1:11" ht="25">
      <c r="A10" s="154"/>
      <c r="B10" s="157"/>
      <c r="C10" s="159"/>
      <c r="D10" s="55" t="s">
        <v>52</v>
      </c>
      <c r="E10" s="42" t="s">
        <v>53</v>
      </c>
      <c r="F10" s="51" t="s">
        <v>23</v>
      </c>
      <c r="G10" s="52" t="s">
        <v>54</v>
      </c>
      <c r="H10" s="52" t="s">
        <v>55</v>
      </c>
      <c r="I10" s="53" t="s">
        <v>19</v>
      </c>
      <c r="J10" s="52"/>
      <c r="K10" s="54"/>
    </row>
    <row r="11" spans="1:11" ht="25.5" thickBot="1">
      <c r="A11" s="154"/>
      <c r="B11" s="157"/>
      <c r="C11" s="160"/>
      <c r="D11" s="56" t="s">
        <v>56</v>
      </c>
      <c r="E11" s="47" t="s">
        <v>57</v>
      </c>
      <c r="F11" s="57" t="s">
        <v>58</v>
      </c>
      <c r="G11" s="58" t="s">
        <v>59</v>
      </c>
      <c r="H11" s="58" t="s">
        <v>60</v>
      </c>
      <c r="I11" s="59" t="s">
        <v>19</v>
      </c>
      <c r="J11" s="58"/>
      <c r="K11" s="60"/>
    </row>
    <row r="12" spans="1:11" ht="25">
      <c r="A12" s="154"/>
      <c r="B12" s="157"/>
      <c r="C12" s="158" t="s">
        <v>61</v>
      </c>
      <c r="D12" s="14" t="s">
        <v>62</v>
      </c>
      <c r="E12" s="25" t="s">
        <v>63</v>
      </c>
      <c r="F12" s="12" t="s">
        <v>16</v>
      </c>
      <c r="G12" s="13" t="s">
        <v>64</v>
      </c>
      <c r="H12" s="13" t="s">
        <v>65</v>
      </c>
      <c r="I12" s="39" t="s">
        <v>19</v>
      </c>
      <c r="J12" s="13"/>
      <c r="K12" s="40"/>
    </row>
    <row r="13" spans="1:11" ht="25">
      <c r="A13" s="154"/>
      <c r="B13" s="157"/>
      <c r="C13" s="159"/>
      <c r="D13" s="55" t="s">
        <v>66</v>
      </c>
      <c r="E13" s="42" t="s">
        <v>67</v>
      </c>
      <c r="F13" s="51" t="s">
        <v>16</v>
      </c>
      <c r="G13" s="52" t="s">
        <v>68</v>
      </c>
      <c r="H13" s="52" t="s">
        <v>69</v>
      </c>
      <c r="I13" s="53" t="s">
        <v>26</v>
      </c>
      <c r="J13" s="52"/>
      <c r="K13" s="54"/>
    </row>
    <row r="14" spans="1:11" ht="25">
      <c r="A14" s="154"/>
      <c r="B14" s="157"/>
      <c r="C14" s="159"/>
      <c r="D14" s="55" t="s">
        <v>70</v>
      </c>
      <c r="E14" s="42" t="s">
        <v>71</v>
      </c>
      <c r="F14" s="51" t="s">
        <v>23</v>
      </c>
      <c r="G14" s="52" t="s">
        <v>72</v>
      </c>
      <c r="H14" s="52" t="s">
        <v>73</v>
      </c>
      <c r="I14" s="53" t="s">
        <v>19</v>
      </c>
      <c r="J14" s="52"/>
      <c r="K14" s="54"/>
    </row>
    <row r="15" spans="1:11" ht="25">
      <c r="A15" s="154"/>
      <c r="B15" s="157"/>
      <c r="C15" s="159"/>
      <c r="D15" s="55" t="s">
        <v>74</v>
      </c>
      <c r="E15" s="42" t="s">
        <v>75</v>
      </c>
      <c r="F15" s="51" t="s">
        <v>16</v>
      </c>
      <c r="G15" s="52" t="s">
        <v>76</v>
      </c>
      <c r="H15" s="52" t="s">
        <v>77</v>
      </c>
      <c r="I15" s="53" t="s">
        <v>19</v>
      </c>
      <c r="J15" s="52"/>
      <c r="K15" s="54"/>
    </row>
    <row r="16" spans="1:11" ht="25.5" thickBot="1">
      <c r="A16" s="154"/>
      <c r="B16" s="157"/>
      <c r="C16" s="160"/>
      <c r="D16" s="56" t="s">
        <v>78</v>
      </c>
      <c r="E16" s="47" t="s">
        <v>79</v>
      </c>
      <c r="F16" s="61" t="s">
        <v>58</v>
      </c>
      <c r="G16" s="62" t="s">
        <v>80</v>
      </c>
      <c r="H16" s="62" t="s">
        <v>81</v>
      </c>
      <c r="I16" s="63" t="s">
        <v>26</v>
      </c>
      <c r="J16" s="62"/>
      <c r="K16" s="64"/>
    </row>
    <row r="17" spans="1:11" ht="25">
      <c r="A17" s="154"/>
      <c r="B17" s="157"/>
      <c r="C17" s="158" t="s">
        <v>82</v>
      </c>
      <c r="D17" s="55" t="s">
        <v>83</v>
      </c>
      <c r="E17" s="65" t="s">
        <v>84</v>
      </c>
      <c r="F17" s="51" t="s">
        <v>16</v>
      </c>
      <c r="G17" s="52" t="s">
        <v>85</v>
      </c>
      <c r="H17" s="52" t="s">
        <v>86</v>
      </c>
      <c r="I17" s="53" t="s">
        <v>19</v>
      </c>
      <c r="J17" s="52"/>
      <c r="K17" s="54"/>
    </row>
    <row r="18" spans="1:11" ht="25">
      <c r="A18" s="154"/>
      <c r="B18" s="157"/>
      <c r="C18" s="159"/>
      <c r="D18" s="55" t="s">
        <v>87</v>
      </c>
      <c r="E18" s="16" t="s">
        <v>88</v>
      </c>
      <c r="F18" s="51" t="s">
        <v>58</v>
      </c>
      <c r="G18" s="52" t="s">
        <v>89</v>
      </c>
      <c r="H18" s="52" t="s">
        <v>90</v>
      </c>
      <c r="I18" s="53" t="s">
        <v>19</v>
      </c>
      <c r="J18" s="52"/>
      <c r="K18" s="54"/>
    </row>
    <row r="19" spans="1:11" ht="25">
      <c r="A19" s="154"/>
      <c r="B19" s="157"/>
      <c r="C19" s="159"/>
      <c r="D19" s="55" t="s">
        <v>91</v>
      </c>
      <c r="E19" s="16" t="s">
        <v>92</v>
      </c>
      <c r="F19" s="51" t="s">
        <v>58</v>
      </c>
      <c r="G19" s="52" t="s">
        <v>93</v>
      </c>
      <c r="H19" s="52" t="s">
        <v>94</v>
      </c>
      <c r="I19" s="53" t="s">
        <v>19</v>
      </c>
      <c r="J19" s="52"/>
      <c r="K19" s="54"/>
    </row>
    <row r="20" spans="1:11" ht="25">
      <c r="A20" s="154"/>
      <c r="B20" s="157"/>
      <c r="C20" s="159"/>
      <c r="D20" s="55" t="s">
        <v>95</v>
      </c>
      <c r="E20" s="16" t="s">
        <v>96</v>
      </c>
      <c r="F20" s="51" t="s">
        <v>58</v>
      </c>
      <c r="G20" s="52" t="s">
        <v>97</v>
      </c>
      <c r="H20" s="52" t="s">
        <v>98</v>
      </c>
      <c r="I20" s="53" t="s">
        <v>26</v>
      </c>
      <c r="J20" s="52"/>
      <c r="K20" s="54"/>
    </row>
    <row r="21" spans="1:11" ht="25.5" thickBot="1">
      <c r="A21" s="154"/>
      <c r="B21" s="157"/>
      <c r="C21" s="160"/>
      <c r="D21" s="66" t="s">
        <v>99</v>
      </c>
      <c r="E21" s="67" t="s">
        <v>100</v>
      </c>
      <c r="F21" s="57" t="s">
        <v>58</v>
      </c>
      <c r="G21" s="58" t="s">
        <v>101</v>
      </c>
      <c r="H21" s="58" t="s">
        <v>102</v>
      </c>
      <c r="I21" s="59" t="s">
        <v>19</v>
      </c>
      <c r="J21" s="58"/>
      <c r="K21" s="60"/>
    </row>
    <row r="22" spans="1:11" ht="25">
      <c r="A22" s="154"/>
      <c r="B22" s="157"/>
      <c r="C22" s="158" t="s">
        <v>103</v>
      </c>
      <c r="D22" s="14" t="s">
        <v>104</v>
      </c>
      <c r="E22" s="24" t="s">
        <v>105</v>
      </c>
      <c r="F22" s="12" t="s">
        <v>23</v>
      </c>
      <c r="G22" s="13" t="s">
        <v>106</v>
      </c>
      <c r="H22" s="13" t="s">
        <v>107</v>
      </c>
      <c r="I22" s="39" t="s">
        <v>19</v>
      </c>
      <c r="J22" s="13"/>
      <c r="K22" s="40"/>
    </row>
    <row r="23" spans="1:11" ht="25">
      <c r="A23" s="154"/>
      <c r="B23" s="157"/>
      <c r="C23" s="159"/>
      <c r="D23" s="55" t="s">
        <v>108</v>
      </c>
      <c r="E23" s="16" t="s">
        <v>109</v>
      </c>
      <c r="F23" s="51" t="s">
        <v>23</v>
      </c>
      <c r="G23" s="52" t="s">
        <v>110</v>
      </c>
      <c r="H23" s="52" t="s">
        <v>111</v>
      </c>
      <c r="I23" s="53" t="s">
        <v>26</v>
      </c>
      <c r="J23" s="52"/>
      <c r="K23" s="54"/>
    </row>
    <row r="24" spans="1:11" ht="25">
      <c r="A24" s="154"/>
      <c r="B24" s="157"/>
      <c r="C24" s="159"/>
      <c r="D24" s="55" t="s">
        <v>112</v>
      </c>
      <c r="E24" s="16" t="s">
        <v>113</v>
      </c>
      <c r="F24" s="51" t="s">
        <v>23</v>
      </c>
      <c r="G24" s="52" t="s">
        <v>114</v>
      </c>
      <c r="H24" s="52" t="s">
        <v>115</v>
      </c>
      <c r="I24" s="53" t="s">
        <v>19</v>
      </c>
      <c r="J24" s="52"/>
      <c r="K24" s="54"/>
    </row>
    <row r="25" spans="1:11" ht="25">
      <c r="A25" s="154"/>
      <c r="B25" s="157"/>
      <c r="C25" s="159"/>
      <c r="D25" s="55" t="s">
        <v>116</v>
      </c>
      <c r="E25" s="16" t="s">
        <v>117</v>
      </c>
      <c r="F25" s="51" t="s">
        <v>23</v>
      </c>
      <c r="G25" s="52" t="s">
        <v>118</v>
      </c>
      <c r="H25" s="52" t="s">
        <v>119</v>
      </c>
      <c r="I25" s="53" t="s">
        <v>26</v>
      </c>
      <c r="J25" s="52"/>
      <c r="K25" s="54"/>
    </row>
    <row r="26" spans="1:11" ht="25.5" thickBot="1">
      <c r="A26" s="154"/>
      <c r="B26" s="157"/>
      <c r="C26" s="160"/>
      <c r="D26" s="56" t="s">
        <v>120</v>
      </c>
      <c r="E26" s="20" t="s">
        <v>121</v>
      </c>
      <c r="F26" s="61" t="s">
        <v>23</v>
      </c>
      <c r="G26" s="62" t="s">
        <v>122</v>
      </c>
      <c r="H26" s="62" t="s">
        <v>123</v>
      </c>
      <c r="I26" s="63" t="s">
        <v>19</v>
      </c>
      <c r="J26" s="62"/>
      <c r="K26" s="64"/>
    </row>
    <row r="27" spans="1:11" ht="25">
      <c r="A27" s="154"/>
      <c r="B27" s="157"/>
      <c r="C27" s="158" t="s">
        <v>124</v>
      </c>
      <c r="D27" s="55" t="s">
        <v>125</v>
      </c>
      <c r="E27" s="65" t="s">
        <v>126</v>
      </c>
      <c r="F27" s="51" t="s">
        <v>16</v>
      </c>
      <c r="G27" s="52" t="s">
        <v>127</v>
      </c>
      <c r="H27" s="52" t="s">
        <v>128</v>
      </c>
      <c r="I27" s="53" t="s">
        <v>19</v>
      </c>
      <c r="J27" s="52"/>
      <c r="K27" s="54"/>
    </row>
    <row r="28" spans="1:11" ht="25">
      <c r="A28" s="154"/>
      <c r="B28" s="157"/>
      <c r="C28" s="159"/>
      <c r="D28" s="55" t="s">
        <v>129</v>
      </c>
      <c r="E28" s="16" t="s">
        <v>130</v>
      </c>
      <c r="F28" s="51" t="s">
        <v>16</v>
      </c>
      <c r="G28" s="52" t="s">
        <v>131</v>
      </c>
      <c r="H28" s="52" t="s">
        <v>132</v>
      </c>
      <c r="I28" s="53" t="s">
        <v>19</v>
      </c>
      <c r="J28" s="52"/>
      <c r="K28" s="54"/>
    </row>
    <row r="29" spans="1:11" ht="25">
      <c r="A29" s="154"/>
      <c r="B29" s="157"/>
      <c r="C29" s="159"/>
      <c r="D29" s="55" t="s">
        <v>133</v>
      </c>
      <c r="E29" s="16" t="s">
        <v>134</v>
      </c>
      <c r="F29" s="51" t="s">
        <v>58</v>
      </c>
      <c r="G29" s="52" t="s">
        <v>135</v>
      </c>
      <c r="H29" s="52" t="s">
        <v>136</v>
      </c>
      <c r="I29" s="53" t="s">
        <v>19</v>
      </c>
      <c r="J29" s="52"/>
      <c r="K29" s="54"/>
    </row>
    <row r="30" spans="1:11" ht="25">
      <c r="A30" s="154"/>
      <c r="B30" s="157"/>
      <c r="C30" s="159"/>
      <c r="D30" s="55" t="s">
        <v>137</v>
      </c>
      <c r="E30" s="16" t="s">
        <v>138</v>
      </c>
      <c r="F30" s="51" t="s">
        <v>16</v>
      </c>
      <c r="G30" s="52" t="s">
        <v>139</v>
      </c>
      <c r="H30" s="52" t="s">
        <v>140</v>
      </c>
      <c r="I30" s="53" t="s">
        <v>19</v>
      </c>
      <c r="J30" s="52"/>
      <c r="K30" s="54"/>
    </row>
    <row r="31" spans="1:11" ht="25.5" thickBot="1">
      <c r="A31" s="154"/>
      <c r="B31" s="157"/>
      <c r="C31" s="159"/>
      <c r="D31" s="66" t="s">
        <v>141</v>
      </c>
      <c r="E31" s="67" t="s">
        <v>142</v>
      </c>
      <c r="F31" s="57" t="s">
        <v>16</v>
      </c>
      <c r="G31" s="58" t="s">
        <v>143</v>
      </c>
      <c r="H31" s="58" t="s">
        <v>144</v>
      </c>
      <c r="I31" s="59" t="s">
        <v>26</v>
      </c>
      <c r="J31" s="58"/>
      <c r="K31" s="60"/>
    </row>
    <row r="32" spans="1:11" ht="25">
      <c r="A32" s="154"/>
      <c r="B32" s="157"/>
      <c r="C32" s="158" t="s">
        <v>145</v>
      </c>
      <c r="D32" s="14" t="s">
        <v>146</v>
      </c>
      <c r="E32" s="24" t="s">
        <v>147</v>
      </c>
      <c r="F32" s="12" t="s">
        <v>16</v>
      </c>
      <c r="G32" s="13" t="s">
        <v>148</v>
      </c>
      <c r="H32" s="13" t="s">
        <v>149</v>
      </c>
      <c r="I32" s="39" t="s">
        <v>26</v>
      </c>
      <c r="J32" s="13"/>
      <c r="K32" s="40"/>
    </row>
    <row r="33" spans="1:11" ht="25">
      <c r="A33" s="154"/>
      <c r="B33" s="157"/>
      <c r="C33" s="159"/>
      <c r="D33" s="55" t="s">
        <v>150</v>
      </c>
      <c r="E33" s="16" t="s">
        <v>151</v>
      </c>
      <c r="F33" s="51" t="s">
        <v>16</v>
      </c>
      <c r="G33" s="52" t="s">
        <v>152</v>
      </c>
      <c r="H33" s="52" t="s">
        <v>153</v>
      </c>
      <c r="I33" s="53" t="s">
        <v>19</v>
      </c>
      <c r="J33" s="52"/>
      <c r="K33" s="54"/>
    </row>
    <row r="34" spans="1:11" ht="25">
      <c r="A34" s="154"/>
      <c r="B34" s="157"/>
      <c r="C34" s="159"/>
      <c r="D34" s="55" t="s">
        <v>154</v>
      </c>
      <c r="E34" s="16" t="s">
        <v>155</v>
      </c>
      <c r="F34" s="51" t="s">
        <v>16</v>
      </c>
      <c r="G34" s="52" t="s">
        <v>156</v>
      </c>
      <c r="H34" s="52" t="s">
        <v>157</v>
      </c>
      <c r="I34" s="53" t="s">
        <v>26</v>
      </c>
      <c r="J34" s="52"/>
      <c r="K34" s="54"/>
    </row>
    <row r="35" spans="1:11" ht="25">
      <c r="A35" s="154"/>
      <c r="B35" s="157"/>
      <c r="C35" s="159"/>
      <c r="D35" s="55" t="s">
        <v>158</v>
      </c>
      <c r="E35" s="16" t="s">
        <v>159</v>
      </c>
      <c r="F35" s="51" t="s">
        <v>16</v>
      </c>
      <c r="G35" s="52" t="s">
        <v>160</v>
      </c>
      <c r="H35" s="52" t="s">
        <v>161</v>
      </c>
      <c r="I35" s="53" t="s">
        <v>26</v>
      </c>
      <c r="J35" s="52"/>
      <c r="K35" s="54"/>
    </row>
    <row r="36" spans="1:11" ht="25.5" thickBot="1">
      <c r="A36" s="154"/>
      <c r="B36" s="157"/>
      <c r="C36" s="160"/>
      <c r="D36" s="56" t="s">
        <v>162</v>
      </c>
      <c r="E36" s="20" t="s">
        <v>163</v>
      </c>
      <c r="F36" s="61" t="s">
        <v>16</v>
      </c>
      <c r="G36" s="62" t="s">
        <v>164</v>
      </c>
      <c r="H36" s="62" t="s">
        <v>165</v>
      </c>
      <c r="I36" s="63" t="s">
        <v>26</v>
      </c>
      <c r="J36" s="62"/>
      <c r="K36" s="64"/>
    </row>
    <row r="37" spans="1:11" ht="25">
      <c r="A37" s="154"/>
      <c r="B37" s="157"/>
      <c r="C37" s="158" t="s">
        <v>166</v>
      </c>
      <c r="D37" s="14" t="s">
        <v>167</v>
      </c>
      <c r="E37" s="25" t="s">
        <v>168</v>
      </c>
      <c r="F37" s="51" t="s">
        <v>23</v>
      </c>
      <c r="G37" s="52" t="s">
        <v>169</v>
      </c>
      <c r="H37" s="52" t="s">
        <v>170</v>
      </c>
      <c r="I37" s="53" t="s">
        <v>19</v>
      </c>
      <c r="J37" s="52"/>
      <c r="K37" s="54"/>
    </row>
    <row r="38" spans="1:11" ht="25">
      <c r="A38" s="154"/>
      <c r="B38" s="157"/>
      <c r="C38" s="159"/>
      <c r="D38" s="55" t="s">
        <v>171</v>
      </c>
      <c r="E38" s="42" t="s">
        <v>172</v>
      </c>
      <c r="F38" s="51" t="s">
        <v>23</v>
      </c>
      <c r="G38" s="52" t="s">
        <v>173</v>
      </c>
      <c r="H38" s="52" t="s">
        <v>174</v>
      </c>
      <c r="I38" s="53" t="s">
        <v>26</v>
      </c>
      <c r="J38" s="52"/>
      <c r="K38" s="54"/>
    </row>
    <row r="39" spans="1:11" ht="25">
      <c r="A39" s="154"/>
      <c r="B39" s="157"/>
      <c r="C39" s="159"/>
      <c r="D39" s="55" t="s">
        <v>175</v>
      </c>
      <c r="E39" s="42" t="s">
        <v>176</v>
      </c>
      <c r="F39" s="51" t="s">
        <v>23</v>
      </c>
      <c r="G39" s="52" t="s">
        <v>177</v>
      </c>
      <c r="H39" s="52" t="s">
        <v>178</v>
      </c>
      <c r="I39" s="53" t="s">
        <v>26</v>
      </c>
      <c r="J39" s="52"/>
      <c r="K39" s="54"/>
    </row>
    <row r="40" spans="1:11" ht="25">
      <c r="A40" s="154"/>
      <c r="B40" s="157"/>
      <c r="C40" s="159"/>
      <c r="D40" s="55" t="s">
        <v>179</v>
      </c>
      <c r="E40" s="42" t="s">
        <v>180</v>
      </c>
      <c r="F40" s="51" t="s">
        <v>23</v>
      </c>
      <c r="G40" s="52" t="s">
        <v>181</v>
      </c>
      <c r="H40" s="52" t="s">
        <v>182</v>
      </c>
      <c r="I40" s="53" t="s">
        <v>19</v>
      </c>
      <c r="J40" s="52"/>
      <c r="K40" s="54"/>
    </row>
    <row r="41" spans="1:11" ht="25.5" thickBot="1">
      <c r="A41" s="154"/>
      <c r="B41" s="157"/>
      <c r="C41" s="159"/>
      <c r="D41" s="66" t="s">
        <v>183</v>
      </c>
      <c r="E41" s="68" t="s">
        <v>184</v>
      </c>
      <c r="F41" s="51" t="s">
        <v>23</v>
      </c>
      <c r="G41" s="52" t="s">
        <v>185</v>
      </c>
      <c r="H41" s="52" t="s">
        <v>186</v>
      </c>
      <c r="I41" s="53" t="s">
        <v>26</v>
      </c>
      <c r="J41" s="52"/>
      <c r="K41" s="54"/>
    </row>
    <row r="42" spans="1:11" ht="25">
      <c r="A42" s="154"/>
      <c r="B42" s="157"/>
      <c r="C42" s="161" t="s">
        <v>187</v>
      </c>
      <c r="D42" s="13" t="s">
        <v>188</v>
      </c>
      <c r="E42" s="25" t="s">
        <v>189</v>
      </c>
      <c r="F42" s="12" t="s">
        <v>23</v>
      </c>
      <c r="G42" s="13" t="s">
        <v>190</v>
      </c>
      <c r="H42" s="13" t="s">
        <v>191</v>
      </c>
      <c r="I42" s="39" t="s">
        <v>26</v>
      </c>
      <c r="J42" s="13"/>
      <c r="K42" s="40"/>
    </row>
    <row r="43" spans="1:11" ht="25">
      <c r="A43" s="154"/>
      <c r="B43" s="157"/>
      <c r="C43" s="162"/>
      <c r="D43" s="69" t="s">
        <v>192</v>
      </c>
      <c r="E43" s="42" t="s">
        <v>193</v>
      </c>
      <c r="F43" s="43" t="s">
        <v>58</v>
      </c>
      <c r="G43" s="17" t="s">
        <v>194</v>
      </c>
      <c r="H43" s="17" t="s">
        <v>195</v>
      </c>
      <c r="I43" s="44" t="s">
        <v>26</v>
      </c>
      <c r="J43" s="17"/>
      <c r="K43" s="45"/>
    </row>
    <row r="44" spans="1:11" ht="25">
      <c r="A44" s="154"/>
      <c r="B44" s="157"/>
      <c r="C44" s="162"/>
      <c r="D44" s="70" t="s">
        <v>196</v>
      </c>
      <c r="E44" s="42" t="s">
        <v>197</v>
      </c>
      <c r="F44" s="43" t="s">
        <v>58</v>
      </c>
      <c r="G44" s="17" t="s">
        <v>143</v>
      </c>
      <c r="H44" s="17" t="s">
        <v>198</v>
      </c>
      <c r="I44" s="44" t="s">
        <v>26</v>
      </c>
      <c r="J44" s="17"/>
      <c r="K44" s="45"/>
    </row>
    <row r="45" spans="1:11" ht="25">
      <c r="A45" s="154"/>
      <c r="B45" s="157"/>
      <c r="C45" s="162"/>
      <c r="D45" s="70" t="s">
        <v>199</v>
      </c>
      <c r="E45" s="42" t="s">
        <v>200</v>
      </c>
      <c r="F45" s="43" t="s">
        <v>58</v>
      </c>
      <c r="G45" s="17" t="s">
        <v>201</v>
      </c>
      <c r="H45" s="17" t="s">
        <v>202</v>
      </c>
      <c r="I45" s="44" t="s">
        <v>26</v>
      </c>
      <c r="J45" s="17"/>
      <c r="K45" s="45"/>
    </row>
    <row r="46" spans="1:11" ht="25.5" thickBot="1">
      <c r="A46" s="154"/>
      <c r="B46" s="157"/>
      <c r="C46" s="163"/>
      <c r="D46" s="21" t="s">
        <v>203</v>
      </c>
      <c r="E46" s="47" t="s">
        <v>204</v>
      </c>
      <c r="F46" s="43" t="s">
        <v>58</v>
      </c>
      <c r="G46" s="17" t="s">
        <v>152</v>
      </c>
      <c r="H46" s="17" t="s">
        <v>205</v>
      </c>
      <c r="I46" s="44" t="s">
        <v>206</v>
      </c>
      <c r="J46" s="17"/>
      <c r="K46" s="45"/>
    </row>
    <row r="47" spans="1:11" ht="25">
      <c r="A47" s="154"/>
      <c r="B47" s="164" t="s">
        <v>207</v>
      </c>
      <c r="C47" s="166" t="s">
        <v>208</v>
      </c>
      <c r="D47" s="28" t="s">
        <v>209</v>
      </c>
      <c r="E47" s="38" t="s">
        <v>210</v>
      </c>
      <c r="F47" s="27" t="s">
        <v>16</v>
      </c>
      <c r="G47" s="28" t="s">
        <v>211</v>
      </c>
      <c r="H47" s="28" t="s">
        <v>212</v>
      </c>
      <c r="I47" s="86" t="s">
        <v>213</v>
      </c>
      <c r="J47" s="87"/>
      <c r="K47" s="33"/>
    </row>
    <row r="48" spans="1:11" ht="25">
      <c r="A48" s="154"/>
      <c r="B48" s="164"/>
      <c r="C48" s="167"/>
      <c r="D48" s="88" t="s">
        <v>214</v>
      </c>
      <c r="E48" s="89" t="s">
        <v>215</v>
      </c>
      <c r="F48" s="90" t="s">
        <v>16</v>
      </c>
      <c r="G48" s="32" t="s">
        <v>216</v>
      </c>
      <c r="H48" s="32" t="s">
        <v>217</v>
      </c>
      <c r="I48" s="91" t="s">
        <v>213</v>
      </c>
      <c r="J48" s="92"/>
      <c r="K48" s="33"/>
    </row>
    <row r="49" spans="1:11" ht="25">
      <c r="A49" s="154"/>
      <c r="B49" s="164"/>
      <c r="C49" s="167"/>
      <c r="D49" s="93" t="s">
        <v>218</v>
      </c>
      <c r="E49" s="89" t="s">
        <v>219</v>
      </c>
      <c r="F49" s="90" t="s">
        <v>23</v>
      </c>
      <c r="G49" s="32" t="s">
        <v>220</v>
      </c>
      <c r="H49" s="32" t="s">
        <v>221</v>
      </c>
      <c r="I49" s="91" t="s">
        <v>213</v>
      </c>
      <c r="J49" s="92"/>
      <c r="K49" s="33"/>
    </row>
    <row r="50" spans="1:11" ht="25">
      <c r="A50" s="154"/>
      <c r="B50" s="164"/>
      <c r="C50" s="167"/>
      <c r="D50" s="32" t="s">
        <v>222</v>
      </c>
      <c r="E50" s="89" t="s">
        <v>223</v>
      </c>
      <c r="F50" s="90" t="s">
        <v>23</v>
      </c>
      <c r="G50" s="32" t="s">
        <v>224</v>
      </c>
      <c r="H50" s="32" t="s">
        <v>225</v>
      </c>
      <c r="I50" s="91" t="s">
        <v>26</v>
      </c>
      <c r="J50" s="92"/>
      <c r="K50" s="33"/>
    </row>
    <row r="51" spans="1:11" ht="25.5" thickBot="1">
      <c r="A51" s="154"/>
      <c r="B51" s="164"/>
      <c r="C51" s="168"/>
      <c r="D51" s="36" t="s">
        <v>226</v>
      </c>
      <c r="E51" s="94" t="s">
        <v>227</v>
      </c>
      <c r="F51" s="95" t="s">
        <v>23</v>
      </c>
      <c r="G51" s="96" t="s">
        <v>228</v>
      </c>
      <c r="H51" s="96" t="s">
        <v>229</v>
      </c>
      <c r="I51" s="91" t="s">
        <v>213</v>
      </c>
      <c r="J51" s="97"/>
      <c r="K51" s="33"/>
    </row>
    <row r="52" spans="1:11" ht="25">
      <c r="A52" s="154"/>
      <c r="B52" s="164"/>
      <c r="C52" s="166" t="s">
        <v>230</v>
      </c>
      <c r="D52" s="28" t="s">
        <v>231</v>
      </c>
      <c r="E52" s="38" t="s">
        <v>232</v>
      </c>
      <c r="F52" s="27" t="s">
        <v>16</v>
      </c>
      <c r="G52" s="28" t="s">
        <v>233</v>
      </c>
      <c r="H52" s="28" t="s">
        <v>234</v>
      </c>
      <c r="I52" s="86" t="s">
        <v>26</v>
      </c>
      <c r="J52" s="87"/>
      <c r="K52" s="33"/>
    </row>
    <row r="53" spans="1:11" ht="25">
      <c r="A53" s="154"/>
      <c r="B53" s="164"/>
      <c r="C53" s="167"/>
      <c r="D53" s="88" t="s">
        <v>235</v>
      </c>
      <c r="E53" s="89" t="s">
        <v>236</v>
      </c>
      <c r="F53" s="90" t="s">
        <v>16</v>
      </c>
      <c r="G53" s="32" t="s">
        <v>237</v>
      </c>
      <c r="H53" s="32" t="s">
        <v>238</v>
      </c>
      <c r="I53" s="91" t="s">
        <v>26</v>
      </c>
      <c r="J53" s="92"/>
      <c r="K53" s="33"/>
    </row>
    <row r="54" spans="1:11" ht="25">
      <c r="A54" s="154"/>
      <c r="B54" s="164"/>
      <c r="C54" s="167"/>
      <c r="D54" s="93" t="s">
        <v>239</v>
      </c>
      <c r="E54" s="89" t="s">
        <v>240</v>
      </c>
      <c r="F54" s="90" t="s">
        <v>16</v>
      </c>
      <c r="G54" s="32" t="s">
        <v>241</v>
      </c>
      <c r="H54" s="32" t="s">
        <v>242</v>
      </c>
      <c r="I54" s="91" t="s">
        <v>26</v>
      </c>
      <c r="J54" s="92"/>
      <c r="K54" s="33"/>
    </row>
    <row r="55" spans="1:11" ht="25">
      <c r="A55" s="154"/>
      <c r="B55" s="164"/>
      <c r="C55" s="167"/>
      <c r="D55" s="32" t="s">
        <v>243</v>
      </c>
      <c r="E55" s="89" t="s">
        <v>244</v>
      </c>
      <c r="F55" s="90" t="s">
        <v>23</v>
      </c>
      <c r="G55" s="32" t="s">
        <v>245</v>
      </c>
      <c r="H55" s="32" t="s">
        <v>246</v>
      </c>
      <c r="I55" s="91" t="s">
        <v>213</v>
      </c>
      <c r="J55" s="92"/>
      <c r="K55" s="33"/>
    </row>
    <row r="56" spans="1:11" ht="25.5" thickBot="1">
      <c r="A56" s="154"/>
      <c r="B56" s="164"/>
      <c r="C56" s="168"/>
      <c r="D56" s="36" t="s">
        <v>247</v>
      </c>
      <c r="E56" s="94" t="s">
        <v>248</v>
      </c>
      <c r="F56" s="95" t="s">
        <v>23</v>
      </c>
      <c r="G56" s="96" t="s">
        <v>249</v>
      </c>
      <c r="H56" s="96" t="s">
        <v>250</v>
      </c>
      <c r="I56" s="98" t="s">
        <v>26</v>
      </c>
      <c r="J56" s="97"/>
      <c r="K56" s="33"/>
    </row>
    <row r="57" spans="1:11" ht="25">
      <c r="A57" s="154"/>
      <c r="B57" s="164"/>
      <c r="C57" s="166" t="s">
        <v>251</v>
      </c>
      <c r="D57" s="28" t="s">
        <v>252</v>
      </c>
      <c r="E57" s="38" t="s">
        <v>253</v>
      </c>
      <c r="F57" s="27" t="s">
        <v>16</v>
      </c>
      <c r="G57" s="28" t="s">
        <v>254</v>
      </c>
      <c r="H57" s="28" t="s">
        <v>255</v>
      </c>
      <c r="I57" s="91" t="s">
        <v>213</v>
      </c>
      <c r="J57" s="87"/>
      <c r="K57" s="33"/>
    </row>
    <row r="58" spans="1:11" ht="25">
      <c r="A58" s="154"/>
      <c r="B58" s="164"/>
      <c r="C58" s="167"/>
      <c r="D58" s="88" t="s">
        <v>256</v>
      </c>
      <c r="E58" s="89" t="s">
        <v>257</v>
      </c>
      <c r="F58" s="90" t="s">
        <v>16</v>
      </c>
      <c r="G58" s="32" t="s">
        <v>258</v>
      </c>
      <c r="H58" s="32" t="s">
        <v>259</v>
      </c>
      <c r="I58" s="91" t="s">
        <v>213</v>
      </c>
      <c r="J58" s="92"/>
      <c r="K58" s="33"/>
    </row>
    <row r="59" spans="1:11" ht="25">
      <c r="A59" s="154"/>
      <c r="B59" s="164"/>
      <c r="C59" s="167"/>
      <c r="D59" s="93" t="s">
        <v>260</v>
      </c>
      <c r="E59" s="89" t="s">
        <v>261</v>
      </c>
      <c r="F59" s="90" t="s">
        <v>16</v>
      </c>
      <c r="G59" s="32" t="s">
        <v>262</v>
      </c>
      <c r="H59" s="32" t="s">
        <v>263</v>
      </c>
      <c r="I59" s="91" t="s">
        <v>26</v>
      </c>
      <c r="J59" s="92"/>
      <c r="K59" s="33"/>
    </row>
    <row r="60" spans="1:11" ht="25">
      <c r="A60" s="154"/>
      <c r="B60" s="164"/>
      <c r="C60" s="167"/>
      <c r="D60" s="32" t="s">
        <v>264</v>
      </c>
      <c r="E60" s="89" t="s">
        <v>265</v>
      </c>
      <c r="F60" s="90" t="s">
        <v>23</v>
      </c>
      <c r="G60" s="32" t="s">
        <v>266</v>
      </c>
      <c r="H60" s="32" t="s">
        <v>267</v>
      </c>
      <c r="I60" s="91" t="s">
        <v>213</v>
      </c>
      <c r="J60" s="92"/>
      <c r="K60" s="33"/>
    </row>
    <row r="61" spans="1:11" ht="25.5" thickBot="1">
      <c r="A61" s="154"/>
      <c r="B61" s="164"/>
      <c r="C61" s="168"/>
      <c r="D61" s="36" t="s">
        <v>268</v>
      </c>
      <c r="E61" s="94" t="s">
        <v>269</v>
      </c>
      <c r="F61" s="95" t="s">
        <v>23</v>
      </c>
      <c r="G61" s="96" t="s">
        <v>270</v>
      </c>
      <c r="H61" s="96" t="s">
        <v>271</v>
      </c>
      <c r="I61" s="91" t="s">
        <v>213</v>
      </c>
      <c r="J61" s="97"/>
      <c r="K61" s="33"/>
    </row>
    <row r="62" spans="1:11" ht="25">
      <c r="A62" s="154"/>
      <c r="B62" s="164"/>
      <c r="C62" s="166" t="s">
        <v>272</v>
      </c>
      <c r="D62" s="28" t="s">
        <v>273</v>
      </c>
      <c r="E62" s="38" t="s">
        <v>274</v>
      </c>
      <c r="F62" s="27" t="s">
        <v>16</v>
      </c>
      <c r="G62" s="28" t="s">
        <v>275</v>
      </c>
      <c r="H62" s="28" t="s">
        <v>276</v>
      </c>
      <c r="I62" s="91" t="s">
        <v>213</v>
      </c>
      <c r="J62" s="87"/>
      <c r="K62" s="33"/>
    </row>
    <row r="63" spans="1:11" ht="25">
      <c r="A63" s="154"/>
      <c r="B63" s="164"/>
      <c r="C63" s="167"/>
      <c r="D63" s="88" t="s">
        <v>277</v>
      </c>
      <c r="E63" s="89" t="s">
        <v>278</v>
      </c>
      <c r="F63" s="90" t="s">
        <v>16</v>
      </c>
      <c r="G63" s="32" t="s">
        <v>279</v>
      </c>
      <c r="H63" s="32" t="s">
        <v>280</v>
      </c>
      <c r="I63" s="91" t="s">
        <v>26</v>
      </c>
      <c r="J63" s="92"/>
      <c r="K63" s="33"/>
    </row>
    <row r="64" spans="1:11" ht="25">
      <c r="A64" s="154"/>
      <c r="B64" s="164"/>
      <c r="C64" s="167"/>
      <c r="D64" s="93" t="s">
        <v>281</v>
      </c>
      <c r="E64" s="89" t="s">
        <v>282</v>
      </c>
      <c r="F64" s="90" t="s">
        <v>23</v>
      </c>
      <c r="G64" s="32" t="s">
        <v>283</v>
      </c>
      <c r="H64" s="32" t="s">
        <v>284</v>
      </c>
      <c r="I64" s="91" t="s">
        <v>213</v>
      </c>
      <c r="J64" s="92"/>
      <c r="K64" s="33"/>
    </row>
    <row r="65" spans="1:11" ht="25">
      <c r="A65" s="154"/>
      <c r="B65" s="164"/>
      <c r="C65" s="167"/>
      <c r="D65" s="32" t="s">
        <v>285</v>
      </c>
      <c r="E65" s="89" t="s">
        <v>286</v>
      </c>
      <c r="F65" s="90" t="s">
        <v>23</v>
      </c>
      <c r="G65" s="32" t="s">
        <v>287</v>
      </c>
      <c r="H65" s="32" t="s">
        <v>288</v>
      </c>
      <c r="I65" s="91" t="s">
        <v>213</v>
      </c>
      <c r="J65" s="92"/>
      <c r="K65" s="33"/>
    </row>
    <row r="66" spans="1:11" ht="25.5" thickBot="1">
      <c r="A66" s="154"/>
      <c r="B66" s="164"/>
      <c r="C66" s="168"/>
      <c r="D66" s="36" t="s">
        <v>289</v>
      </c>
      <c r="E66" s="94" t="s">
        <v>290</v>
      </c>
      <c r="F66" s="95" t="s">
        <v>23</v>
      </c>
      <c r="G66" s="96" t="s">
        <v>291</v>
      </c>
      <c r="H66" s="96" t="s">
        <v>292</v>
      </c>
      <c r="I66" s="98" t="s">
        <v>206</v>
      </c>
      <c r="J66" s="97"/>
      <c r="K66" s="33"/>
    </row>
    <row r="67" spans="1:11" ht="25">
      <c r="A67" s="154"/>
      <c r="B67" s="164"/>
      <c r="C67" s="166" t="s">
        <v>293</v>
      </c>
      <c r="D67" s="28" t="s">
        <v>294</v>
      </c>
      <c r="E67" s="38" t="s">
        <v>295</v>
      </c>
      <c r="F67" s="27" t="s">
        <v>23</v>
      </c>
      <c r="G67" s="28" t="s">
        <v>296</v>
      </c>
      <c r="H67" s="28" t="s">
        <v>297</v>
      </c>
      <c r="I67" s="86" t="s">
        <v>26</v>
      </c>
      <c r="J67" s="87"/>
      <c r="K67" s="33"/>
    </row>
    <row r="68" spans="1:11" ht="25">
      <c r="A68" s="154"/>
      <c r="B68" s="164"/>
      <c r="C68" s="167"/>
      <c r="D68" s="88" t="s">
        <v>298</v>
      </c>
      <c r="E68" s="89" t="s">
        <v>299</v>
      </c>
      <c r="F68" s="90" t="s">
        <v>23</v>
      </c>
      <c r="G68" s="32" t="s">
        <v>300</v>
      </c>
      <c r="H68" s="32" t="s">
        <v>301</v>
      </c>
      <c r="I68" s="91" t="s">
        <v>26</v>
      </c>
      <c r="J68" s="92"/>
      <c r="K68" s="33"/>
    </row>
    <row r="69" spans="1:11" ht="25">
      <c r="A69" s="154"/>
      <c r="B69" s="164"/>
      <c r="C69" s="167"/>
      <c r="D69" s="93" t="s">
        <v>302</v>
      </c>
      <c r="E69" s="89" t="s">
        <v>303</v>
      </c>
      <c r="F69" s="90" t="s">
        <v>23</v>
      </c>
      <c r="G69" s="32" t="s">
        <v>304</v>
      </c>
      <c r="H69" s="32" t="s">
        <v>305</v>
      </c>
      <c r="I69" s="91" t="s">
        <v>213</v>
      </c>
      <c r="J69" s="92"/>
      <c r="K69" s="33"/>
    </row>
    <row r="70" spans="1:11" ht="25">
      <c r="A70" s="154"/>
      <c r="B70" s="164"/>
      <c r="C70" s="167"/>
      <c r="D70" s="32" t="s">
        <v>306</v>
      </c>
      <c r="E70" s="89" t="s">
        <v>307</v>
      </c>
      <c r="F70" s="90" t="s">
        <v>23</v>
      </c>
      <c r="G70" s="32" t="s">
        <v>308</v>
      </c>
      <c r="H70" s="32" t="s">
        <v>309</v>
      </c>
      <c r="I70" s="91" t="s">
        <v>206</v>
      </c>
      <c r="J70" s="92"/>
      <c r="K70" s="33"/>
    </row>
    <row r="71" spans="1:11" ht="25.5" thickBot="1">
      <c r="A71" s="154"/>
      <c r="B71" s="164"/>
      <c r="C71" s="168"/>
      <c r="D71" s="36" t="s">
        <v>310</v>
      </c>
      <c r="E71" s="94" t="s">
        <v>311</v>
      </c>
      <c r="F71" s="95" t="s">
        <v>23</v>
      </c>
      <c r="G71" s="96" t="s">
        <v>312</v>
      </c>
      <c r="H71" s="96" t="s">
        <v>313</v>
      </c>
      <c r="I71" s="98" t="s">
        <v>26</v>
      </c>
      <c r="J71" s="97"/>
      <c r="K71" s="33"/>
    </row>
    <row r="72" spans="1:11" ht="25">
      <c r="A72" s="154"/>
      <c r="B72" s="164"/>
      <c r="C72" s="166" t="s">
        <v>314</v>
      </c>
      <c r="D72" s="28" t="s">
        <v>315</v>
      </c>
      <c r="E72" s="38" t="s">
        <v>316</v>
      </c>
      <c r="F72" s="27" t="s">
        <v>16</v>
      </c>
      <c r="G72" s="28" t="s">
        <v>317</v>
      </c>
      <c r="H72" s="28" t="s">
        <v>318</v>
      </c>
      <c r="I72" s="86" t="s">
        <v>213</v>
      </c>
      <c r="J72" s="87"/>
      <c r="K72" s="33"/>
    </row>
    <row r="73" spans="1:11" ht="25">
      <c r="A73" s="154"/>
      <c r="B73" s="164"/>
      <c r="C73" s="167"/>
      <c r="D73" s="88" t="s">
        <v>319</v>
      </c>
      <c r="E73" s="89" t="s">
        <v>320</v>
      </c>
      <c r="F73" s="90" t="s">
        <v>16</v>
      </c>
      <c r="G73" s="32" t="s">
        <v>321</v>
      </c>
      <c r="H73" s="32" t="s">
        <v>322</v>
      </c>
      <c r="I73" s="91" t="s">
        <v>26</v>
      </c>
      <c r="J73" s="92"/>
      <c r="K73" s="33"/>
    </row>
    <row r="74" spans="1:11" ht="25">
      <c r="A74" s="154"/>
      <c r="B74" s="164"/>
      <c r="C74" s="167"/>
      <c r="D74" s="93" t="s">
        <v>323</v>
      </c>
      <c r="E74" s="89" t="s">
        <v>324</v>
      </c>
      <c r="F74" s="90" t="s">
        <v>16</v>
      </c>
      <c r="G74" s="32" t="s">
        <v>325</v>
      </c>
      <c r="H74" s="32" t="s">
        <v>326</v>
      </c>
      <c r="I74" s="91" t="s">
        <v>213</v>
      </c>
      <c r="J74" s="92"/>
      <c r="K74" s="33"/>
    </row>
    <row r="75" spans="1:11" ht="25">
      <c r="A75" s="154"/>
      <c r="B75" s="164"/>
      <c r="C75" s="167"/>
      <c r="D75" s="32" t="s">
        <v>327</v>
      </c>
      <c r="E75" s="89" t="s">
        <v>328</v>
      </c>
      <c r="F75" s="90" t="s">
        <v>23</v>
      </c>
      <c r="G75" s="32" t="s">
        <v>329</v>
      </c>
      <c r="H75" s="32" t="s">
        <v>330</v>
      </c>
      <c r="I75" s="91" t="s">
        <v>213</v>
      </c>
      <c r="J75" s="92"/>
      <c r="K75" s="33"/>
    </row>
    <row r="76" spans="1:11" ht="25.5" thickBot="1">
      <c r="A76" s="154"/>
      <c r="B76" s="164"/>
      <c r="C76" s="168"/>
      <c r="D76" s="36" t="s">
        <v>331</v>
      </c>
      <c r="E76" s="94" t="s">
        <v>332</v>
      </c>
      <c r="F76" s="95" t="s">
        <v>23</v>
      </c>
      <c r="G76" s="96" t="s">
        <v>333</v>
      </c>
      <c r="H76" s="96" t="s">
        <v>334</v>
      </c>
      <c r="I76" s="98" t="s">
        <v>206</v>
      </c>
      <c r="J76" s="97"/>
      <c r="K76" s="33"/>
    </row>
    <row r="77" spans="1:11" ht="25">
      <c r="A77" s="154"/>
      <c r="B77" s="164"/>
      <c r="C77" s="166" t="s">
        <v>335</v>
      </c>
      <c r="D77" s="28" t="s">
        <v>336</v>
      </c>
      <c r="E77" s="38" t="s">
        <v>337</v>
      </c>
      <c r="F77" s="27" t="s">
        <v>23</v>
      </c>
      <c r="G77" s="28" t="s">
        <v>338</v>
      </c>
      <c r="H77" s="28" t="s">
        <v>339</v>
      </c>
      <c r="I77" s="86" t="s">
        <v>26</v>
      </c>
      <c r="J77" s="87"/>
      <c r="K77" s="33"/>
    </row>
    <row r="78" spans="1:11" ht="25">
      <c r="A78" s="154"/>
      <c r="B78" s="164"/>
      <c r="C78" s="167"/>
      <c r="D78" s="88" t="s">
        <v>340</v>
      </c>
      <c r="E78" s="89" t="s">
        <v>341</v>
      </c>
      <c r="F78" s="90" t="s">
        <v>23</v>
      </c>
      <c r="G78" s="32" t="s">
        <v>342</v>
      </c>
      <c r="H78" s="32" t="s">
        <v>343</v>
      </c>
      <c r="I78" s="91" t="s">
        <v>26</v>
      </c>
      <c r="J78" s="92"/>
      <c r="K78" s="33"/>
    </row>
    <row r="79" spans="1:11" ht="25">
      <c r="A79" s="154"/>
      <c r="B79" s="164"/>
      <c r="C79" s="167"/>
      <c r="D79" s="93" t="s">
        <v>344</v>
      </c>
      <c r="E79" s="89" t="s">
        <v>345</v>
      </c>
      <c r="F79" s="90" t="s">
        <v>23</v>
      </c>
      <c r="G79" s="32" t="s">
        <v>346</v>
      </c>
      <c r="H79" s="32" t="s">
        <v>347</v>
      </c>
      <c r="I79" s="91" t="s">
        <v>213</v>
      </c>
      <c r="J79" s="92"/>
      <c r="K79" s="33"/>
    </row>
    <row r="80" spans="1:11" ht="25">
      <c r="A80" s="154"/>
      <c r="B80" s="164"/>
      <c r="C80" s="167"/>
      <c r="D80" s="32" t="s">
        <v>348</v>
      </c>
      <c r="E80" s="89" t="s">
        <v>349</v>
      </c>
      <c r="F80" s="90" t="s">
        <v>23</v>
      </c>
      <c r="G80" s="32" t="s">
        <v>350</v>
      </c>
      <c r="H80" s="32" t="s">
        <v>351</v>
      </c>
      <c r="I80" s="91" t="s">
        <v>206</v>
      </c>
      <c r="J80" s="92"/>
      <c r="K80" s="33"/>
    </row>
    <row r="81" spans="1:11" ht="25.5" thickBot="1">
      <c r="A81" s="154"/>
      <c r="B81" s="164"/>
      <c r="C81" s="168"/>
      <c r="D81" s="36" t="s">
        <v>352</v>
      </c>
      <c r="E81" s="94" t="s">
        <v>353</v>
      </c>
      <c r="F81" s="95" t="s">
        <v>58</v>
      </c>
      <c r="G81" s="96" t="s">
        <v>354</v>
      </c>
      <c r="H81" s="96" t="s">
        <v>355</v>
      </c>
      <c r="I81" s="98" t="s">
        <v>26</v>
      </c>
      <c r="J81" s="97"/>
      <c r="K81" s="33"/>
    </row>
    <row r="82" spans="1:11" ht="25">
      <c r="A82" s="154"/>
      <c r="B82" s="164"/>
      <c r="C82" s="166" t="s">
        <v>356</v>
      </c>
      <c r="D82" s="28" t="s">
        <v>357</v>
      </c>
      <c r="E82" s="38" t="s">
        <v>358</v>
      </c>
      <c r="F82" s="27" t="s">
        <v>16</v>
      </c>
      <c r="G82" s="28" t="s">
        <v>359</v>
      </c>
      <c r="H82" s="28" t="s">
        <v>360</v>
      </c>
      <c r="I82" s="86" t="s">
        <v>213</v>
      </c>
      <c r="J82" s="87"/>
      <c r="K82" s="33"/>
    </row>
    <row r="83" spans="1:11" ht="25">
      <c r="A83" s="154"/>
      <c r="B83" s="164"/>
      <c r="C83" s="167"/>
      <c r="D83" s="88" t="s">
        <v>361</v>
      </c>
      <c r="E83" s="89" t="s">
        <v>362</v>
      </c>
      <c r="F83" s="90" t="s">
        <v>23</v>
      </c>
      <c r="G83" s="32" t="s">
        <v>363</v>
      </c>
      <c r="H83" s="32" t="s">
        <v>364</v>
      </c>
      <c r="I83" s="91" t="s">
        <v>26</v>
      </c>
      <c r="J83" s="92"/>
      <c r="K83" s="33"/>
    </row>
    <row r="84" spans="1:11" ht="25">
      <c r="A84" s="154"/>
      <c r="B84" s="164"/>
      <c r="C84" s="167"/>
      <c r="D84" s="93" t="s">
        <v>365</v>
      </c>
      <c r="E84" s="89" t="s">
        <v>366</v>
      </c>
      <c r="F84" s="90" t="s">
        <v>23</v>
      </c>
      <c r="G84" s="32" t="s">
        <v>367</v>
      </c>
      <c r="H84" s="32" t="s">
        <v>368</v>
      </c>
      <c r="I84" s="91" t="s">
        <v>213</v>
      </c>
      <c r="J84" s="92"/>
      <c r="K84" s="33"/>
    </row>
    <row r="85" spans="1:11" ht="25">
      <c r="A85" s="154"/>
      <c r="B85" s="164"/>
      <c r="C85" s="167"/>
      <c r="D85" s="32" t="s">
        <v>369</v>
      </c>
      <c r="E85" s="89" t="s">
        <v>370</v>
      </c>
      <c r="F85" s="90" t="s">
        <v>23</v>
      </c>
      <c r="G85" s="32" t="s">
        <v>371</v>
      </c>
      <c r="H85" s="32" t="s">
        <v>372</v>
      </c>
      <c r="I85" s="91" t="s">
        <v>213</v>
      </c>
      <c r="J85" s="92"/>
      <c r="K85" s="33"/>
    </row>
    <row r="86" spans="1:11" ht="25.5" thickBot="1">
      <c r="A86" s="154"/>
      <c r="B86" s="164"/>
      <c r="C86" s="168"/>
      <c r="D86" s="36" t="s">
        <v>373</v>
      </c>
      <c r="E86" s="94" t="s">
        <v>374</v>
      </c>
      <c r="F86" s="95" t="s">
        <v>16</v>
      </c>
      <c r="G86" s="96" t="s">
        <v>375</v>
      </c>
      <c r="H86" s="96" t="s">
        <v>376</v>
      </c>
      <c r="I86" s="98" t="s">
        <v>206</v>
      </c>
      <c r="J86" s="97"/>
      <c r="K86" s="33"/>
    </row>
    <row r="87" spans="1:11" ht="25">
      <c r="A87" s="154"/>
      <c r="B87" s="164"/>
      <c r="C87" s="166" t="s">
        <v>377</v>
      </c>
      <c r="D87" s="28" t="s">
        <v>378</v>
      </c>
      <c r="E87" s="38" t="s">
        <v>379</v>
      </c>
      <c r="F87" s="27" t="s">
        <v>16</v>
      </c>
      <c r="G87" s="28" t="s">
        <v>380</v>
      </c>
      <c r="H87" s="28" t="s">
        <v>381</v>
      </c>
      <c r="I87" s="86" t="s">
        <v>26</v>
      </c>
      <c r="J87" s="87"/>
      <c r="K87" s="33"/>
    </row>
    <row r="88" spans="1:11" ht="25">
      <c r="A88" s="154"/>
      <c r="B88" s="164"/>
      <c r="C88" s="167"/>
      <c r="D88" s="88" t="s">
        <v>382</v>
      </c>
      <c r="E88" s="89" t="s">
        <v>383</v>
      </c>
      <c r="F88" s="90" t="s">
        <v>23</v>
      </c>
      <c r="G88" s="32" t="s">
        <v>384</v>
      </c>
      <c r="H88" s="32" t="s">
        <v>385</v>
      </c>
      <c r="I88" s="91" t="s">
        <v>26</v>
      </c>
      <c r="J88" s="92"/>
      <c r="K88" s="33"/>
    </row>
    <row r="89" spans="1:11" ht="25">
      <c r="A89" s="154"/>
      <c r="B89" s="164"/>
      <c r="C89" s="167"/>
      <c r="D89" s="93" t="s">
        <v>386</v>
      </c>
      <c r="E89" s="89" t="s">
        <v>387</v>
      </c>
      <c r="F89" s="90" t="s">
        <v>23</v>
      </c>
      <c r="G89" s="32" t="s">
        <v>388</v>
      </c>
      <c r="H89" s="32" t="s">
        <v>389</v>
      </c>
      <c r="I89" s="91" t="s">
        <v>213</v>
      </c>
      <c r="J89" s="92"/>
      <c r="K89" s="33"/>
    </row>
    <row r="90" spans="1:11" ht="25">
      <c r="A90" s="154"/>
      <c r="B90" s="164"/>
      <c r="C90" s="167"/>
      <c r="D90" s="32" t="s">
        <v>390</v>
      </c>
      <c r="E90" s="89" t="s">
        <v>391</v>
      </c>
      <c r="F90" s="90" t="s">
        <v>16</v>
      </c>
      <c r="G90" s="32" t="s">
        <v>392</v>
      </c>
      <c r="H90" s="32" t="s">
        <v>393</v>
      </c>
      <c r="I90" s="91" t="s">
        <v>206</v>
      </c>
      <c r="J90" s="92"/>
      <c r="K90" s="33"/>
    </row>
    <row r="91" spans="1:11" ht="25.5" thickBot="1">
      <c r="A91" s="154"/>
      <c r="B91" s="165"/>
      <c r="C91" s="167"/>
      <c r="D91" s="96" t="s">
        <v>394</v>
      </c>
      <c r="E91" s="99" t="s">
        <v>395</v>
      </c>
      <c r="F91" s="95" t="s">
        <v>23</v>
      </c>
      <c r="G91" s="96" t="s">
        <v>396</v>
      </c>
      <c r="H91" s="96" t="s">
        <v>397</v>
      </c>
      <c r="I91" s="98" t="s">
        <v>26</v>
      </c>
      <c r="J91" s="97"/>
      <c r="K91" s="100"/>
    </row>
    <row r="92" spans="1:11" ht="25">
      <c r="A92" s="154"/>
      <c r="B92" s="156" t="s">
        <v>398</v>
      </c>
      <c r="C92" s="161" t="s">
        <v>399</v>
      </c>
      <c r="D92" s="13" t="s">
        <v>400</v>
      </c>
      <c r="E92" s="25" t="s">
        <v>401</v>
      </c>
      <c r="F92" s="12" t="s">
        <v>16</v>
      </c>
      <c r="G92" s="13" t="s">
        <v>402</v>
      </c>
      <c r="H92" s="13" t="s">
        <v>403</v>
      </c>
      <c r="I92" s="39" t="s">
        <v>26</v>
      </c>
      <c r="J92" s="71"/>
      <c r="K92" s="15"/>
    </row>
    <row r="93" spans="1:11" ht="25">
      <c r="A93" s="154"/>
      <c r="B93" s="157"/>
      <c r="C93" s="162"/>
      <c r="D93" s="69" t="s">
        <v>404</v>
      </c>
      <c r="E93" s="42" t="s">
        <v>405</v>
      </c>
      <c r="F93" s="43" t="s">
        <v>16</v>
      </c>
      <c r="G93" s="17" t="s">
        <v>406</v>
      </c>
      <c r="H93" s="17" t="s">
        <v>407</v>
      </c>
      <c r="I93" s="44" t="s">
        <v>213</v>
      </c>
      <c r="J93" s="72"/>
      <c r="K93" s="19"/>
    </row>
    <row r="94" spans="1:11" ht="25">
      <c r="A94" s="154"/>
      <c r="B94" s="157"/>
      <c r="C94" s="162"/>
      <c r="D94" s="70" t="s">
        <v>408</v>
      </c>
      <c r="E94" s="42" t="s">
        <v>409</v>
      </c>
      <c r="F94" s="43" t="s">
        <v>16</v>
      </c>
      <c r="G94" s="17" t="s">
        <v>410</v>
      </c>
      <c r="H94" s="17" t="s">
        <v>411</v>
      </c>
      <c r="I94" s="44" t="s">
        <v>206</v>
      </c>
      <c r="J94" s="72"/>
      <c r="K94" s="19"/>
    </row>
    <row r="95" spans="1:11" ht="25">
      <c r="A95" s="154"/>
      <c r="B95" s="157"/>
      <c r="C95" s="162"/>
      <c r="D95" s="17" t="s">
        <v>412</v>
      </c>
      <c r="E95" s="42" t="s">
        <v>413</v>
      </c>
      <c r="F95" s="43" t="s">
        <v>23</v>
      </c>
      <c r="G95" s="17" t="s">
        <v>414</v>
      </c>
      <c r="H95" s="17" t="s">
        <v>415</v>
      </c>
      <c r="I95" s="44" t="s">
        <v>26</v>
      </c>
      <c r="J95" s="72"/>
      <c r="K95" s="19"/>
    </row>
    <row r="96" spans="1:11" ht="25.5" thickBot="1">
      <c r="A96" s="154"/>
      <c r="B96" s="157"/>
      <c r="C96" s="163"/>
      <c r="D96" s="21" t="s">
        <v>416</v>
      </c>
      <c r="E96" s="47" t="s">
        <v>417</v>
      </c>
      <c r="F96" s="73" t="s">
        <v>23</v>
      </c>
      <c r="G96" s="21" t="s">
        <v>418</v>
      </c>
      <c r="H96" s="21" t="s">
        <v>419</v>
      </c>
      <c r="I96" s="74" t="s">
        <v>213</v>
      </c>
      <c r="J96" s="75"/>
      <c r="K96" s="23"/>
    </row>
    <row r="97" spans="1:11" ht="25">
      <c r="A97" s="154"/>
      <c r="B97" s="157"/>
      <c r="C97" s="162" t="s">
        <v>420</v>
      </c>
      <c r="D97" s="52" t="s">
        <v>421</v>
      </c>
      <c r="E97" s="76" t="s">
        <v>422</v>
      </c>
      <c r="F97" s="51" t="s">
        <v>16</v>
      </c>
      <c r="G97" s="52" t="s">
        <v>423</v>
      </c>
      <c r="H97" s="52" t="s">
        <v>424</v>
      </c>
      <c r="I97" s="53" t="s">
        <v>19</v>
      </c>
      <c r="J97" s="77"/>
      <c r="K97" s="55"/>
    </row>
    <row r="98" spans="1:11" ht="25">
      <c r="A98" s="154"/>
      <c r="B98" s="157"/>
      <c r="C98" s="162"/>
      <c r="D98" s="70" t="s">
        <v>425</v>
      </c>
      <c r="E98" s="42" t="s">
        <v>426</v>
      </c>
      <c r="F98" s="43" t="s">
        <v>16</v>
      </c>
      <c r="G98" s="17" t="s">
        <v>427</v>
      </c>
      <c r="H98" s="17" t="s">
        <v>428</v>
      </c>
      <c r="I98" s="44" t="s">
        <v>19</v>
      </c>
      <c r="J98" s="72"/>
      <c r="K98" s="18"/>
    </row>
    <row r="99" spans="1:11" ht="25">
      <c r="A99" s="154"/>
      <c r="B99" s="157"/>
      <c r="C99" s="162"/>
      <c r="D99" s="70" t="s">
        <v>429</v>
      </c>
      <c r="E99" s="42" t="s">
        <v>430</v>
      </c>
      <c r="F99" s="43" t="s">
        <v>16</v>
      </c>
      <c r="G99" s="17" t="s">
        <v>431</v>
      </c>
      <c r="H99" s="17" t="s">
        <v>432</v>
      </c>
      <c r="I99" s="44" t="s">
        <v>19</v>
      </c>
      <c r="J99" s="72"/>
      <c r="K99" s="18"/>
    </row>
    <row r="100" spans="1:11" ht="25">
      <c r="A100" s="154"/>
      <c r="B100" s="157"/>
      <c r="C100" s="162"/>
      <c r="D100" s="17" t="s">
        <v>433</v>
      </c>
      <c r="E100" s="42" t="s">
        <v>434</v>
      </c>
      <c r="F100" s="43" t="s">
        <v>16</v>
      </c>
      <c r="G100" s="17" t="s">
        <v>435</v>
      </c>
      <c r="H100" s="17" t="s">
        <v>436</v>
      </c>
      <c r="I100" s="44" t="s">
        <v>19</v>
      </c>
      <c r="J100" s="72"/>
      <c r="K100" s="18"/>
    </row>
    <row r="101" spans="1:11" ht="25.5" thickBot="1">
      <c r="A101" s="154"/>
      <c r="B101" s="157"/>
      <c r="C101" s="163"/>
      <c r="D101" s="21" t="s">
        <v>437</v>
      </c>
      <c r="E101" s="47" t="s">
        <v>438</v>
      </c>
      <c r="F101" s="73" t="s">
        <v>23</v>
      </c>
      <c r="G101" s="21" t="s">
        <v>439</v>
      </c>
      <c r="H101" s="21" t="s">
        <v>440</v>
      </c>
      <c r="I101" s="74" t="s">
        <v>19</v>
      </c>
      <c r="J101" s="75"/>
      <c r="K101" s="18"/>
    </row>
    <row r="102" spans="1:11" ht="25">
      <c r="A102" s="154"/>
      <c r="B102" s="157"/>
      <c r="C102" s="161" t="s">
        <v>441</v>
      </c>
      <c r="D102" s="13" t="s">
        <v>442</v>
      </c>
      <c r="E102" s="25" t="s">
        <v>443</v>
      </c>
      <c r="F102" s="51" t="s">
        <v>23</v>
      </c>
      <c r="G102" s="52" t="s">
        <v>444</v>
      </c>
      <c r="H102" s="52" t="s">
        <v>445</v>
      </c>
      <c r="I102" s="53" t="s">
        <v>26</v>
      </c>
      <c r="J102" s="77"/>
      <c r="K102" s="18"/>
    </row>
    <row r="103" spans="1:11" ht="25">
      <c r="A103" s="154"/>
      <c r="B103" s="157"/>
      <c r="C103" s="162"/>
      <c r="D103" s="70" t="s">
        <v>446</v>
      </c>
      <c r="E103" s="42" t="s">
        <v>447</v>
      </c>
      <c r="F103" s="43" t="s">
        <v>16</v>
      </c>
      <c r="G103" s="17" t="s">
        <v>448</v>
      </c>
      <c r="H103" s="17" t="s">
        <v>449</v>
      </c>
      <c r="I103" s="44" t="s">
        <v>19</v>
      </c>
      <c r="J103" s="72"/>
      <c r="K103" s="18"/>
    </row>
    <row r="104" spans="1:11" ht="25">
      <c r="A104" s="154"/>
      <c r="B104" s="157"/>
      <c r="C104" s="162"/>
      <c r="D104" s="70" t="s">
        <v>450</v>
      </c>
      <c r="E104" s="42" t="s">
        <v>451</v>
      </c>
      <c r="F104" s="43" t="s">
        <v>23</v>
      </c>
      <c r="G104" s="17" t="s">
        <v>452</v>
      </c>
      <c r="H104" s="17" t="s">
        <v>453</v>
      </c>
      <c r="I104" s="44" t="s">
        <v>19</v>
      </c>
      <c r="J104" s="72"/>
      <c r="K104" s="18"/>
    </row>
    <row r="105" spans="1:11" ht="25">
      <c r="A105" s="154"/>
      <c r="B105" s="157"/>
      <c r="C105" s="162"/>
      <c r="D105" s="17" t="s">
        <v>454</v>
      </c>
      <c r="E105" s="42" t="s">
        <v>455</v>
      </c>
      <c r="F105" s="43" t="s">
        <v>58</v>
      </c>
      <c r="G105" s="17" t="s">
        <v>456</v>
      </c>
      <c r="H105" s="17" t="s">
        <v>457</v>
      </c>
      <c r="I105" s="44" t="s">
        <v>26</v>
      </c>
      <c r="J105" s="72"/>
      <c r="K105" s="18"/>
    </row>
    <row r="106" spans="1:11" ht="25.5" thickBot="1">
      <c r="A106" s="154"/>
      <c r="B106" s="157"/>
      <c r="C106" s="163"/>
      <c r="D106" s="21" t="s">
        <v>458</v>
      </c>
      <c r="E106" s="47" t="s">
        <v>459</v>
      </c>
      <c r="F106" s="73" t="s">
        <v>58</v>
      </c>
      <c r="G106" s="21" t="s">
        <v>460</v>
      </c>
      <c r="H106" s="21" t="s">
        <v>461</v>
      </c>
      <c r="I106" s="74" t="s">
        <v>26</v>
      </c>
      <c r="J106" s="75"/>
      <c r="K106" s="18"/>
    </row>
    <row r="107" spans="1:11" ht="25">
      <c r="A107" s="154"/>
      <c r="B107" s="157"/>
      <c r="C107" s="161" t="s">
        <v>462</v>
      </c>
      <c r="D107" s="14" t="s">
        <v>463</v>
      </c>
      <c r="E107" s="25" t="s">
        <v>464</v>
      </c>
      <c r="F107" s="12" t="s">
        <v>16</v>
      </c>
      <c r="G107" s="13" t="s">
        <v>465</v>
      </c>
      <c r="H107" s="13" t="s">
        <v>466</v>
      </c>
      <c r="I107" s="39" t="s">
        <v>26</v>
      </c>
      <c r="J107" s="71"/>
      <c r="K107" s="18"/>
    </row>
    <row r="108" spans="1:11" ht="25">
      <c r="A108" s="154"/>
      <c r="B108" s="157"/>
      <c r="C108" s="162"/>
      <c r="D108" s="70" t="s">
        <v>467</v>
      </c>
      <c r="E108" s="42" t="s">
        <v>468</v>
      </c>
      <c r="F108" s="43" t="s">
        <v>16</v>
      </c>
      <c r="G108" s="17" t="s">
        <v>469</v>
      </c>
      <c r="H108" s="17" t="s">
        <v>457</v>
      </c>
      <c r="I108" s="44" t="s">
        <v>26</v>
      </c>
      <c r="J108" s="72"/>
      <c r="K108" s="18"/>
    </row>
    <row r="109" spans="1:11" ht="25">
      <c r="A109" s="154"/>
      <c r="B109" s="157"/>
      <c r="C109" s="162"/>
      <c r="D109" s="70" t="s">
        <v>470</v>
      </c>
      <c r="E109" s="42" t="s">
        <v>471</v>
      </c>
      <c r="F109" s="43" t="s">
        <v>16</v>
      </c>
      <c r="G109" s="17" t="s">
        <v>472</v>
      </c>
      <c r="H109" s="17" t="s">
        <v>473</v>
      </c>
      <c r="I109" s="44" t="s">
        <v>26</v>
      </c>
      <c r="J109" s="72"/>
      <c r="K109" s="18"/>
    </row>
    <row r="110" spans="1:11" ht="25">
      <c r="A110" s="154"/>
      <c r="B110" s="157"/>
      <c r="C110" s="162"/>
      <c r="D110" s="17" t="s">
        <v>474</v>
      </c>
      <c r="E110" s="42" t="s">
        <v>475</v>
      </c>
      <c r="F110" s="43" t="s">
        <v>23</v>
      </c>
      <c r="G110" s="17" t="s">
        <v>476</v>
      </c>
      <c r="H110" s="17" t="s">
        <v>477</v>
      </c>
      <c r="I110" s="44" t="s">
        <v>19</v>
      </c>
      <c r="J110" s="72"/>
      <c r="K110" s="18"/>
    </row>
    <row r="111" spans="1:11" ht="25.5" thickBot="1">
      <c r="A111" s="154"/>
      <c r="B111" s="157"/>
      <c r="C111" s="163"/>
      <c r="D111" s="21" t="s">
        <v>478</v>
      </c>
      <c r="E111" s="47" t="s">
        <v>479</v>
      </c>
      <c r="F111" s="73" t="s">
        <v>23</v>
      </c>
      <c r="G111" s="21" t="s">
        <v>480</v>
      </c>
      <c r="H111" s="21" t="s">
        <v>481</v>
      </c>
      <c r="I111" s="74" t="s">
        <v>26</v>
      </c>
      <c r="J111" s="75"/>
      <c r="K111" s="18"/>
    </row>
    <row r="112" spans="1:11" ht="25">
      <c r="A112" s="154"/>
      <c r="B112" s="157"/>
      <c r="C112" s="161" t="s">
        <v>482</v>
      </c>
      <c r="D112" s="14" t="s">
        <v>483</v>
      </c>
      <c r="E112" s="25" t="s">
        <v>484</v>
      </c>
      <c r="F112" s="12" t="s">
        <v>23</v>
      </c>
      <c r="G112" s="13" t="s">
        <v>485</v>
      </c>
      <c r="H112" s="13" t="s">
        <v>486</v>
      </c>
      <c r="I112" s="39" t="s">
        <v>19</v>
      </c>
      <c r="J112" s="71"/>
      <c r="K112" s="18"/>
    </row>
    <row r="113" spans="1:11" ht="25">
      <c r="A113" s="154"/>
      <c r="B113" s="157"/>
      <c r="C113" s="162"/>
      <c r="D113" s="70" t="s">
        <v>487</v>
      </c>
      <c r="E113" s="42" t="s">
        <v>488</v>
      </c>
      <c r="F113" s="43" t="s">
        <v>23</v>
      </c>
      <c r="G113" s="17" t="s">
        <v>489</v>
      </c>
      <c r="H113" s="17" t="s">
        <v>490</v>
      </c>
      <c r="I113" s="44" t="s">
        <v>26</v>
      </c>
      <c r="J113" s="72"/>
      <c r="K113" s="18"/>
    </row>
    <row r="114" spans="1:11" ht="25">
      <c r="A114" s="154"/>
      <c r="B114" s="157"/>
      <c r="C114" s="162"/>
      <c r="D114" s="70" t="s">
        <v>491</v>
      </c>
      <c r="E114" s="42" t="s">
        <v>492</v>
      </c>
      <c r="F114" s="43" t="s">
        <v>23</v>
      </c>
      <c r="G114" s="17" t="s">
        <v>493</v>
      </c>
      <c r="H114" s="17" t="s">
        <v>494</v>
      </c>
      <c r="I114" s="44" t="s">
        <v>26</v>
      </c>
      <c r="J114" s="72"/>
      <c r="K114" s="18"/>
    </row>
    <row r="115" spans="1:11" ht="25">
      <c r="A115" s="154"/>
      <c r="B115" s="157"/>
      <c r="C115" s="162"/>
      <c r="D115" s="17" t="s">
        <v>495</v>
      </c>
      <c r="E115" s="42" t="s">
        <v>496</v>
      </c>
      <c r="F115" s="43" t="s">
        <v>23</v>
      </c>
      <c r="G115" s="17" t="s">
        <v>497</v>
      </c>
      <c r="H115" s="17" t="s">
        <v>498</v>
      </c>
      <c r="I115" s="44" t="s">
        <v>19</v>
      </c>
      <c r="J115" s="72"/>
      <c r="K115" s="18"/>
    </row>
    <row r="116" spans="1:11" ht="25.5" thickBot="1">
      <c r="A116" s="154"/>
      <c r="B116" s="157"/>
      <c r="C116" s="163"/>
      <c r="D116" s="21" t="s">
        <v>499</v>
      </c>
      <c r="E116" s="47" t="s">
        <v>500</v>
      </c>
      <c r="F116" s="73" t="s">
        <v>23</v>
      </c>
      <c r="G116" s="21" t="s">
        <v>501</v>
      </c>
      <c r="H116" s="21" t="s">
        <v>502</v>
      </c>
      <c r="I116" s="74" t="s">
        <v>26</v>
      </c>
      <c r="J116" s="75"/>
      <c r="K116" s="18"/>
    </row>
    <row r="117" spans="1:11" ht="25">
      <c r="A117" s="154"/>
      <c r="B117" s="157"/>
      <c r="C117" s="161" t="s">
        <v>503</v>
      </c>
      <c r="D117" s="14" t="s">
        <v>504</v>
      </c>
      <c r="E117" s="25" t="s">
        <v>505</v>
      </c>
      <c r="F117" s="12" t="s">
        <v>23</v>
      </c>
      <c r="G117" s="13" t="s">
        <v>506</v>
      </c>
      <c r="H117" s="13" t="s">
        <v>507</v>
      </c>
      <c r="I117" s="39" t="s">
        <v>26</v>
      </c>
      <c r="J117" s="71"/>
      <c r="K117" s="18"/>
    </row>
    <row r="118" spans="1:11" ht="25">
      <c r="A118" s="154"/>
      <c r="B118" s="157"/>
      <c r="C118" s="162"/>
      <c r="D118" s="70" t="s">
        <v>508</v>
      </c>
      <c r="E118" s="42" t="s">
        <v>509</v>
      </c>
      <c r="F118" s="43" t="s">
        <v>23</v>
      </c>
      <c r="G118" s="17" t="s">
        <v>510</v>
      </c>
      <c r="H118" s="17" t="s">
        <v>511</v>
      </c>
      <c r="I118" s="44" t="s">
        <v>19</v>
      </c>
      <c r="J118" s="72"/>
      <c r="K118" s="18"/>
    </row>
    <row r="119" spans="1:11" ht="25">
      <c r="A119" s="154"/>
      <c r="B119" s="157"/>
      <c r="C119" s="162"/>
      <c r="D119" s="70" t="s">
        <v>512</v>
      </c>
      <c r="E119" s="42" t="s">
        <v>513</v>
      </c>
      <c r="F119" s="43" t="s">
        <v>23</v>
      </c>
      <c r="G119" s="17" t="s">
        <v>514</v>
      </c>
      <c r="H119" s="17" t="s">
        <v>515</v>
      </c>
      <c r="I119" s="44" t="s">
        <v>26</v>
      </c>
      <c r="J119" s="72"/>
      <c r="K119" s="18"/>
    </row>
    <row r="120" spans="1:11" ht="25">
      <c r="A120" s="154"/>
      <c r="B120" s="157"/>
      <c r="C120" s="162"/>
      <c r="D120" s="17" t="s">
        <v>516</v>
      </c>
      <c r="E120" s="42" t="s">
        <v>517</v>
      </c>
      <c r="F120" s="43" t="s">
        <v>23</v>
      </c>
      <c r="G120" s="17" t="s">
        <v>518</v>
      </c>
      <c r="H120" s="17" t="s">
        <v>519</v>
      </c>
      <c r="I120" s="44" t="s">
        <v>26</v>
      </c>
      <c r="J120" s="72"/>
      <c r="K120" s="18"/>
    </row>
    <row r="121" spans="1:11" ht="25.5" thickBot="1">
      <c r="A121" s="154"/>
      <c r="B121" s="157"/>
      <c r="C121" s="163"/>
      <c r="D121" s="21" t="s">
        <v>520</v>
      </c>
      <c r="E121" s="47" t="s">
        <v>521</v>
      </c>
      <c r="F121" s="73" t="s">
        <v>23</v>
      </c>
      <c r="G121" s="21" t="s">
        <v>522</v>
      </c>
      <c r="H121" s="21" t="s">
        <v>523</v>
      </c>
      <c r="I121" s="74" t="s">
        <v>26</v>
      </c>
      <c r="J121" s="75"/>
      <c r="K121" s="18"/>
    </row>
    <row r="122" spans="1:11" ht="25">
      <c r="A122" s="154"/>
      <c r="B122" s="157"/>
      <c r="C122" s="161" t="s">
        <v>524</v>
      </c>
      <c r="D122" s="14" t="s">
        <v>525</v>
      </c>
      <c r="E122" s="25" t="s">
        <v>526</v>
      </c>
      <c r="F122" s="12" t="s">
        <v>23</v>
      </c>
      <c r="G122" s="13" t="s">
        <v>527</v>
      </c>
      <c r="H122" s="13" t="s">
        <v>528</v>
      </c>
      <c r="I122" s="39" t="s">
        <v>26</v>
      </c>
      <c r="J122" s="71"/>
      <c r="K122" s="18"/>
    </row>
    <row r="123" spans="1:11" ht="25">
      <c r="A123" s="154"/>
      <c r="B123" s="157"/>
      <c r="C123" s="162"/>
      <c r="D123" s="70" t="s">
        <v>529</v>
      </c>
      <c r="E123" s="42" t="s">
        <v>530</v>
      </c>
      <c r="F123" s="43" t="s">
        <v>23</v>
      </c>
      <c r="G123" s="17" t="s">
        <v>531</v>
      </c>
      <c r="H123" s="17" t="s">
        <v>532</v>
      </c>
      <c r="I123" s="44" t="s">
        <v>26</v>
      </c>
      <c r="J123" s="72"/>
      <c r="K123" s="18"/>
    </row>
    <row r="124" spans="1:11" ht="25">
      <c r="A124" s="154"/>
      <c r="B124" s="157"/>
      <c r="C124" s="162"/>
      <c r="D124" s="70" t="s">
        <v>533</v>
      </c>
      <c r="E124" s="42" t="s">
        <v>534</v>
      </c>
      <c r="F124" s="43" t="s">
        <v>23</v>
      </c>
      <c r="G124" s="17" t="s">
        <v>535</v>
      </c>
      <c r="H124" s="17" t="s">
        <v>502</v>
      </c>
      <c r="I124" s="44" t="s">
        <v>26</v>
      </c>
      <c r="J124" s="72"/>
      <c r="K124" s="18"/>
    </row>
    <row r="125" spans="1:11" ht="25">
      <c r="A125" s="154"/>
      <c r="B125" s="157"/>
      <c r="C125" s="162"/>
      <c r="D125" s="17" t="s">
        <v>536</v>
      </c>
      <c r="E125" s="42" t="s">
        <v>537</v>
      </c>
      <c r="F125" s="43" t="s">
        <v>23</v>
      </c>
      <c r="G125" s="17" t="s">
        <v>538</v>
      </c>
      <c r="H125" s="17" t="s">
        <v>539</v>
      </c>
      <c r="I125" s="44" t="s">
        <v>19</v>
      </c>
      <c r="J125" s="72"/>
      <c r="K125" s="18"/>
    </row>
    <row r="126" spans="1:11" ht="25.5" thickBot="1">
      <c r="A126" s="154"/>
      <c r="B126" s="157"/>
      <c r="C126" s="163"/>
      <c r="D126" s="21" t="s">
        <v>540</v>
      </c>
      <c r="E126" s="47" t="s">
        <v>541</v>
      </c>
      <c r="F126" s="73" t="s">
        <v>23</v>
      </c>
      <c r="G126" s="21" t="s">
        <v>542</v>
      </c>
      <c r="H126" s="21" t="s">
        <v>543</v>
      </c>
      <c r="I126" s="74" t="s">
        <v>19</v>
      </c>
      <c r="J126" s="75"/>
      <c r="K126" s="18"/>
    </row>
    <row r="127" spans="1:11" ht="25">
      <c r="A127" s="154"/>
      <c r="B127" s="157"/>
      <c r="C127" s="161" t="s">
        <v>544</v>
      </c>
      <c r="D127" s="14" t="s">
        <v>545</v>
      </c>
      <c r="E127" s="25" t="s">
        <v>546</v>
      </c>
      <c r="F127" s="12" t="s">
        <v>23</v>
      </c>
      <c r="G127" s="13" t="s">
        <v>547</v>
      </c>
      <c r="H127" s="13" t="s">
        <v>548</v>
      </c>
      <c r="I127" s="39" t="s">
        <v>19</v>
      </c>
      <c r="J127" s="71"/>
      <c r="K127" s="18"/>
    </row>
    <row r="128" spans="1:11" ht="25">
      <c r="A128" s="154"/>
      <c r="B128" s="157"/>
      <c r="C128" s="162"/>
      <c r="D128" s="70" t="s">
        <v>549</v>
      </c>
      <c r="E128" s="42" t="s">
        <v>550</v>
      </c>
      <c r="F128" s="43" t="s">
        <v>23</v>
      </c>
      <c r="G128" s="17" t="s">
        <v>551</v>
      </c>
      <c r="H128" s="17" t="s">
        <v>552</v>
      </c>
      <c r="I128" s="44" t="s">
        <v>19</v>
      </c>
      <c r="J128" s="72"/>
      <c r="K128" s="18"/>
    </row>
    <row r="129" spans="1:11" ht="25">
      <c r="A129" s="154"/>
      <c r="B129" s="157"/>
      <c r="C129" s="162"/>
      <c r="D129" s="70" t="s">
        <v>553</v>
      </c>
      <c r="E129" s="42" t="s">
        <v>546</v>
      </c>
      <c r="F129" s="43" t="s">
        <v>23</v>
      </c>
      <c r="G129" s="17" t="s">
        <v>547</v>
      </c>
      <c r="H129" s="17" t="s">
        <v>548</v>
      </c>
      <c r="I129" s="44" t="s">
        <v>19</v>
      </c>
      <c r="J129" s="72"/>
      <c r="K129" s="18"/>
    </row>
    <row r="130" spans="1:11" ht="25">
      <c r="A130" s="154"/>
      <c r="B130" s="157"/>
      <c r="C130" s="162"/>
      <c r="D130" s="17" t="s">
        <v>554</v>
      </c>
      <c r="E130" s="42" t="s">
        <v>555</v>
      </c>
      <c r="F130" s="43" t="s">
        <v>23</v>
      </c>
      <c r="G130" s="17" t="s">
        <v>556</v>
      </c>
      <c r="H130" s="17" t="s">
        <v>552</v>
      </c>
      <c r="I130" s="44" t="s">
        <v>19</v>
      </c>
      <c r="J130" s="72"/>
      <c r="K130" s="18"/>
    </row>
    <row r="131" spans="1:11" ht="25.5" thickBot="1">
      <c r="A131" s="154"/>
      <c r="B131" s="157"/>
      <c r="C131" s="163"/>
      <c r="D131" s="21" t="s">
        <v>557</v>
      </c>
      <c r="E131" s="47" t="s">
        <v>558</v>
      </c>
      <c r="F131" s="73" t="s">
        <v>23</v>
      </c>
      <c r="G131" s="21" t="s">
        <v>559</v>
      </c>
      <c r="H131" s="21" t="s">
        <v>560</v>
      </c>
      <c r="I131" s="74" t="s">
        <v>26</v>
      </c>
      <c r="J131" s="75"/>
      <c r="K131" s="18"/>
    </row>
    <row r="132" spans="1:11" ht="25.5" thickBot="1">
      <c r="A132" s="154"/>
      <c r="B132" s="157"/>
      <c r="C132" s="161" t="s">
        <v>561</v>
      </c>
      <c r="D132" s="14" t="s">
        <v>562</v>
      </c>
      <c r="E132" s="25" t="s">
        <v>563</v>
      </c>
      <c r="F132" s="12" t="s">
        <v>16</v>
      </c>
      <c r="G132" s="13" t="s">
        <v>564</v>
      </c>
      <c r="H132" s="13" t="s">
        <v>565</v>
      </c>
      <c r="I132" s="39" t="s">
        <v>26</v>
      </c>
      <c r="J132" s="71"/>
      <c r="K132" s="18"/>
    </row>
    <row r="133" spans="1:11" ht="25.5" thickBot="1">
      <c r="A133" s="154"/>
      <c r="B133" s="157"/>
      <c r="C133" s="162"/>
      <c r="D133" s="70" t="s">
        <v>566</v>
      </c>
      <c r="E133" s="42" t="s">
        <v>567</v>
      </c>
      <c r="F133" s="43" t="s">
        <v>16</v>
      </c>
      <c r="G133" s="17" t="s">
        <v>568</v>
      </c>
      <c r="H133" s="17" t="s">
        <v>569</v>
      </c>
      <c r="I133" s="39" t="s">
        <v>19</v>
      </c>
      <c r="J133" s="72"/>
      <c r="K133" s="18"/>
    </row>
    <row r="134" spans="1:11" ht="25.5" thickBot="1">
      <c r="A134" s="154"/>
      <c r="B134" s="157"/>
      <c r="C134" s="162"/>
      <c r="D134" s="70" t="s">
        <v>570</v>
      </c>
      <c r="E134" s="42" t="s">
        <v>571</v>
      </c>
      <c r="F134" s="43" t="s">
        <v>16</v>
      </c>
      <c r="G134" s="17" t="s">
        <v>572</v>
      </c>
      <c r="H134" s="17" t="s">
        <v>573</v>
      </c>
      <c r="I134" s="39" t="s">
        <v>19</v>
      </c>
      <c r="J134" s="72"/>
      <c r="K134" s="18"/>
    </row>
    <row r="135" spans="1:11" ht="25.5" thickBot="1">
      <c r="A135" s="154"/>
      <c r="B135" s="157"/>
      <c r="C135" s="162"/>
      <c r="D135" s="17" t="s">
        <v>574</v>
      </c>
      <c r="E135" s="42" t="s">
        <v>575</v>
      </c>
      <c r="F135" s="43" t="s">
        <v>16</v>
      </c>
      <c r="G135" s="17" t="s">
        <v>576</v>
      </c>
      <c r="H135" s="17" t="s">
        <v>577</v>
      </c>
      <c r="I135" s="39" t="s">
        <v>26</v>
      </c>
      <c r="J135" s="72"/>
      <c r="K135" s="18"/>
    </row>
    <row r="136" spans="1:11" ht="25.5" thickBot="1">
      <c r="A136" s="154"/>
      <c r="B136" s="157"/>
      <c r="C136" s="163"/>
      <c r="D136" s="21" t="s">
        <v>578</v>
      </c>
      <c r="E136" s="47" t="s">
        <v>579</v>
      </c>
      <c r="F136" s="73" t="s">
        <v>58</v>
      </c>
      <c r="G136" s="21" t="s">
        <v>580</v>
      </c>
      <c r="H136" s="21" t="s">
        <v>581</v>
      </c>
      <c r="I136" s="39" t="s">
        <v>26</v>
      </c>
      <c r="J136" s="75"/>
      <c r="K136" s="18"/>
    </row>
    <row r="137" spans="1:11" ht="25.5" thickBot="1">
      <c r="A137" s="154"/>
      <c r="B137" s="169" t="s">
        <v>582</v>
      </c>
      <c r="C137" s="166" t="s">
        <v>583</v>
      </c>
      <c r="D137" s="28" t="s">
        <v>584</v>
      </c>
      <c r="E137" s="38" t="s">
        <v>585</v>
      </c>
      <c r="F137" s="90" t="s">
        <v>16</v>
      </c>
      <c r="G137" s="28" t="s">
        <v>586</v>
      </c>
      <c r="H137" s="28" t="s">
        <v>587</v>
      </c>
      <c r="I137" s="86" t="s">
        <v>213</v>
      </c>
      <c r="J137" s="87"/>
      <c r="K137" s="101"/>
    </row>
    <row r="138" spans="1:11" ht="25.5" thickBot="1">
      <c r="A138" s="154"/>
      <c r="B138" s="164"/>
      <c r="C138" s="167"/>
      <c r="D138" s="88" t="s">
        <v>588</v>
      </c>
      <c r="E138" s="30" t="s">
        <v>589</v>
      </c>
      <c r="F138" s="31" t="s">
        <v>23</v>
      </c>
      <c r="G138" s="32" t="s">
        <v>586</v>
      </c>
      <c r="H138" s="32" t="s">
        <v>590</v>
      </c>
      <c r="I138" s="86" t="s">
        <v>213</v>
      </c>
      <c r="J138" s="92"/>
      <c r="K138" s="101"/>
    </row>
    <row r="139" spans="1:11" ht="25.5" thickBot="1">
      <c r="A139" s="154"/>
      <c r="B139" s="164"/>
      <c r="C139" s="167"/>
      <c r="D139" s="93" t="s">
        <v>591</v>
      </c>
      <c r="E139" s="30" t="s">
        <v>592</v>
      </c>
      <c r="F139" s="90" t="s">
        <v>16</v>
      </c>
      <c r="G139" s="32" t="s">
        <v>586</v>
      </c>
      <c r="H139" s="32" t="s">
        <v>593</v>
      </c>
      <c r="I139" s="86" t="s">
        <v>213</v>
      </c>
      <c r="J139" s="92"/>
      <c r="K139" s="101"/>
    </row>
    <row r="140" spans="1:11" ht="25.5" thickBot="1">
      <c r="A140" s="154"/>
      <c r="B140" s="164"/>
      <c r="C140" s="167"/>
      <c r="D140" s="93" t="s">
        <v>594</v>
      </c>
      <c r="E140" s="30" t="s">
        <v>595</v>
      </c>
      <c r="F140" s="90" t="s">
        <v>16</v>
      </c>
      <c r="G140" s="32" t="s">
        <v>586</v>
      </c>
      <c r="H140" s="32" t="s">
        <v>596</v>
      </c>
      <c r="I140" s="86" t="s">
        <v>213</v>
      </c>
      <c r="J140" s="92"/>
      <c r="K140" s="101"/>
    </row>
    <row r="141" spans="1:11" ht="25.5" thickBot="1">
      <c r="A141" s="154"/>
      <c r="B141" s="164"/>
      <c r="C141" s="167"/>
      <c r="D141" s="32" t="s">
        <v>597</v>
      </c>
      <c r="E141" s="30" t="s">
        <v>598</v>
      </c>
      <c r="F141" s="102" t="s">
        <v>58</v>
      </c>
      <c r="G141" s="32" t="s">
        <v>599</v>
      </c>
      <c r="H141" s="32" t="s">
        <v>600</v>
      </c>
      <c r="I141" s="86" t="s">
        <v>213</v>
      </c>
      <c r="J141" s="92"/>
      <c r="K141" s="101"/>
    </row>
    <row r="142" spans="1:11" ht="25">
      <c r="A142" s="154"/>
      <c r="B142" s="164"/>
      <c r="C142" s="166" t="s">
        <v>601</v>
      </c>
      <c r="D142" s="28" t="s">
        <v>602</v>
      </c>
      <c r="E142" s="38" t="s">
        <v>603</v>
      </c>
      <c r="F142" s="90" t="s">
        <v>16</v>
      </c>
      <c r="G142" s="28" t="s">
        <v>586</v>
      </c>
      <c r="H142" s="28" t="s">
        <v>604</v>
      </c>
      <c r="I142" s="86" t="s">
        <v>26</v>
      </c>
      <c r="J142" s="87"/>
      <c r="K142" s="101"/>
    </row>
    <row r="143" spans="1:11" ht="25">
      <c r="A143" s="154"/>
      <c r="B143" s="164"/>
      <c r="C143" s="167"/>
      <c r="D143" s="88" t="s">
        <v>605</v>
      </c>
      <c r="E143" s="30" t="s">
        <v>606</v>
      </c>
      <c r="F143" s="90" t="s">
        <v>16</v>
      </c>
      <c r="G143" s="32" t="s">
        <v>586</v>
      </c>
      <c r="H143" s="32" t="s">
        <v>607</v>
      </c>
      <c r="I143" s="91" t="s">
        <v>26</v>
      </c>
      <c r="J143" s="92"/>
      <c r="K143" s="101"/>
    </row>
    <row r="144" spans="1:11" ht="25.5" thickBot="1">
      <c r="A144" s="154"/>
      <c r="B144" s="164"/>
      <c r="C144" s="167"/>
      <c r="D144" s="93" t="s">
        <v>608</v>
      </c>
      <c r="E144" s="30" t="s">
        <v>609</v>
      </c>
      <c r="F144" s="102" t="s">
        <v>58</v>
      </c>
      <c r="G144" s="32" t="s">
        <v>610</v>
      </c>
      <c r="H144" s="32" t="s">
        <v>611</v>
      </c>
      <c r="I144" s="91" t="s">
        <v>26</v>
      </c>
      <c r="J144" s="92"/>
      <c r="K144" s="101"/>
    </row>
    <row r="145" spans="1:11" ht="25">
      <c r="A145" s="154"/>
      <c r="B145" s="164"/>
      <c r="C145" s="167"/>
      <c r="D145" s="32" t="s">
        <v>612</v>
      </c>
      <c r="E145" s="30" t="s">
        <v>613</v>
      </c>
      <c r="F145" s="90" t="s">
        <v>16</v>
      </c>
      <c r="G145" s="32" t="s">
        <v>610</v>
      </c>
      <c r="H145" s="32" t="s">
        <v>614</v>
      </c>
      <c r="I145" s="91" t="s">
        <v>26</v>
      </c>
      <c r="J145" s="92"/>
      <c r="K145" s="101"/>
    </row>
    <row r="146" spans="1:11" ht="25.5" thickBot="1">
      <c r="A146" s="154"/>
      <c r="B146" s="164"/>
      <c r="C146" s="168"/>
      <c r="D146" s="36" t="s">
        <v>615</v>
      </c>
      <c r="E146" s="34" t="s">
        <v>616</v>
      </c>
      <c r="F146" s="90" t="s">
        <v>16</v>
      </c>
      <c r="G146" s="36" t="s">
        <v>610</v>
      </c>
      <c r="H146" s="36" t="s">
        <v>617</v>
      </c>
      <c r="I146" s="103" t="s">
        <v>26</v>
      </c>
      <c r="J146" s="104"/>
      <c r="K146" s="101"/>
    </row>
    <row r="147" spans="1:11" ht="25.5" thickBot="1">
      <c r="A147" s="154"/>
      <c r="B147" s="164"/>
      <c r="C147" s="166" t="s">
        <v>618</v>
      </c>
      <c r="D147" s="28" t="s">
        <v>619</v>
      </c>
      <c r="E147" s="38" t="s">
        <v>620</v>
      </c>
      <c r="F147" s="90" t="s">
        <v>16</v>
      </c>
      <c r="G147" s="28" t="s">
        <v>621</v>
      </c>
      <c r="H147" s="28" t="s">
        <v>622</v>
      </c>
      <c r="I147" s="86" t="s">
        <v>213</v>
      </c>
      <c r="J147" s="87"/>
      <c r="K147" s="101"/>
    </row>
    <row r="148" spans="1:11" ht="25.5" thickBot="1">
      <c r="A148" s="154"/>
      <c r="B148" s="164"/>
      <c r="C148" s="167"/>
      <c r="D148" s="88" t="s">
        <v>623</v>
      </c>
      <c r="E148" s="30" t="s">
        <v>624</v>
      </c>
      <c r="F148" s="90" t="s">
        <v>16</v>
      </c>
      <c r="G148" s="32" t="s">
        <v>621</v>
      </c>
      <c r="H148" s="32" t="s">
        <v>625</v>
      </c>
      <c r="I148" s="86" t="s">
        <v>213</v>
      </c>
      <c r="J148" s="92"/>
      <c r="K148" s="101"/>
    </row>
    <row r="149" spans="1:11" ht="25.5" thickBot="1">
      <c r="A149" s="154"/>
      <c r="B149" s="164"/>
      <c r="C149" s="167"/>
      <c r="D149" s="93" t="s">
        <v>626</v>
      </c>
      <c r="E149" s="30" t="s">
        <v>627</v>
      </c>
      <c r="F149" s="31" t="s">
        <v>23</v>
      </c>
      <c r="G149" s="32" t="s">
        <v>610</v>
      </c>
      <c r="H149" s="32" t="s">
        <v>628</v>
      </c>
      <c r="I149" s="86" t="s">
        <v>213</v>
      </c>
      <c r="J149" s="92"/>
      <c r="K149" s="101"/>
    </row>
    <row r="150" spans="1:11" ht="25.5" thickBot="1">
      <c r="A150" s="154"/>
      <c r="B150" s="164"/>
      <c r="C150" s="167"/>
      <c r="D150" s="32" t="s">
        <v>629</v>
      </c>
      <c r="E150" s="30" t="s">
        <v>630</v>
      </c>
      <c r="F150" s="90" t="s">
        <v>16</v>
      </c>
      <c r="G150" s="32" t="s">
        <v>631</v>
      </c>
      <c r="H150" s="32" t="s">
        <v>632</v>
      </c>
      <c r="I150" s="86" t="s">
        <v>213</v>
      </c>
      <c r="J150" s="92"/>
      <c r="K150" s="101"/>
    </row>
    <row r="151" spans="1:11" ht="25.5" thickBot="1">
      <c r="A151" s="154"/>
      <c r="B151" s="164"/>
      <c r="C151" s="168"/>
      <c r="D151" s="36" t="s">
        <v>633</v>
      </c>
      <c r="E151" s="34" t="s">
        <v>634</v>
      </c>
      <c r="F151" s="90" t="s">
        <v>16</v>
      </c>
      <c r="G151" s="36" t="s">
        <v>610</v>
      </c>
      <c r="H151" s="36" t="s">
        <v>635</v>
      </c>
      <c r="I151" s="86" t="s">
        <v>213</v>
      </c>
      <c r="J151" s="104"/>
      <c r="K151" s="101"/>
    </row>
    <row r="152" spans="1:11" ht="25.5" thickBot="1">
      <c r="A152" s="154"/>
      <c r="B152" s="164"/>
      <c r="C152" s="170" t="s">
        <v>636</v>
      </c>
      <c r="D152" s="29" t="s">
        <v>637</v>
      </c>
      <c r="E152" s="317" t="s">
        <v>638</v>
      </c>
      <c r="F152" s="102" t="s">
        <v>58</v>
      </c>
      <c r="G152" s="28" t="s">
        <v>639</v>
      </c>
      <c r="H152" s="28" t="s">
        <v>640</v>
      </c>
      <c r="I152" s="86" t="s">
        <v>26</v>
      </c>
      <c r="J152" s="87"/>
      <c r="K152" s="101"/>
    </row>
    <row r="153" spans="1:11" ht="25">
      <c r="A153" s="154"/>
      <c r="B153" s="164"/>
      <c r="C153" s="171"/>
      <c r="D153" s="105" t="s">
        <v>641</v>
      </c>
      <c r="E153" s="30" t="s">
        <v>642</v>
      </c>
      <c r="F153" s="90" t="s">
        <v>16</v>
      </c>
      <c r="G153" s="32" t="s">
        <v>639</v>
      </c>
      <c r="H153" s="32" t="s">
        <v>643</v>
      </c>
      <c r="I153" s="91" t="s">
        <v>26</v>
      </c>
      <c r="J153" s="92"/>
      <c r="K153" s="101"/>
    </row>
    <row r="154" spans="1:11" ht="25">
      <c r="A154" s="154"/>
      <c r="B154" s="164"/>
      <c r="C154" s="171"/>
      <c r="D154" s="106" t="s">
        <v>644</v>
      </c>
      <c r="E154" s="30" t="s">
        <v>645</v>
      </c>
      <c r="F154" s="90" t="s">
        <v>16</v>
      </c>
      <c r="G154" s="32" t="s">
        <v>646</v>
      </c>
      <c r="H154" s="32" t="s">
        <v>647</v>
      </c>
      <c r="I154" s="91" t="s">
        <v>26</v>
      </c>
      <c r="J154" s="92"/>
      <c r="K154" s="101"/>
    </row>
    <row r="155" spans="1:11" ht="25">
      <c r="A155" s="154"/>
      <c r="B155" s="164"/>
      <c r="C155" s="171"/>
      <c r="D155" s="33" t="s">
        <v>648</v>
      </c>
      <c r="E155" s="30" t="s">
        <v>649</v>
      </c>
      <c r="F155" s="90" t="s">
        <v>16</v>
      </c>
      <c r="G155" s="32" t="s">
        <v>646</v>
      </c>
      <c r="H155" s="32" t="s">
        <v>650</v>
      </c>
      <c r="I155" s="91" t="s">
        <v>26</v>
      </c>
      <c r="J155" s="92"/>
      <c r="K155" s="101"/>
    </row>
    <row r="156" spans="1:11" ht="25.5" thickBot="1">
      <c r="A156" s="154"/>
      <c r="B156" s="164"/>
      <c r="C156" s="172"/>
      <c r="D156" s="37" t="s">
        <v>651</v>
      </c>
      <c r="E156" s="34" t="s">
        <v>652</v>
      </c>
      <c r="F156" s="90" t="s">
        <v>16</v>
      </c>
      <c r="G156" s="36" t="s">
        <v>653</v>
      </c>
      <c r="H156" s="36" t="s">
        <v>654</v>
      </c>
      <c r="I156" s="103" t="s">
        <v>213</v>
      </c>
      <c r="J156" s="104"/>
      <c r="K156" s="101"/>
    </row>
    <row r="157" spans="1:11" ht="25.5" thickBot="1">
      <c r="A157" s="154"/>
      <c r="B157" s="164"/>
      <c r="C157" s="166" t="s">
        <v>655</v>
      </c>
      <c r="D157" s="28" t="s">
        <v>656</v>
      </c>
      <c r="E157" s="38" t="s">
        <v>657</v>
      </c>
      <c r="F157" s="31" t="s">
        <v>23</v>
      </c>
      <c r="G157" s="28" t="s">
        <v>658</v>
      </c>
      <c r="H157" s="28" t="s">
        <v>659</v>
      </c>
      <c r="I157" s="103" t="s">
        <v>213</v>
      </c>
      <c r="J157" s="87"/>
      <c r="K157" s="101"/>
    </row>
    <row r="158" spans="1:11" ht="25.5" thickBot="1">
      <c r="A158" s="154"/>
      <c r="B158" s="164"/>
      <c r="C158" s="167"/>
      <c r="D158" s="88" t="s">
        <v>660</v>
      </c>
      <c r="E158" s="30" t="s">
        <v>661</v>
      </c>
      <c r="F158" s="90" t="s">
        <v>16</v>
      </c>
      <c r="G158" s="32" t="s">
        <v>658</v>
      </c>
      <c r="H158" s="32" t="s">
        <v>662</v>
      </c>
      <c r="I158" s="103" t="s">
        <v>213</v>
      </c>
      <c r="J158" s="92"/>
      <c r="K158" s="101"/>
    </row>
    <row r="159" spans="1:11" ht="25.5" thickBot="1">
      <c r="A159" s="154"/>
      <c r="B159" s="164"/>
      <c r="C159" s="167"/>
      <c r="D159" s="93" t="s">
        <v>663</v>
      </c>
      <c r="E159" s="30" t="s">
        <v>664</v>
      </c>
      <c r="F159" s="90" t="s">
        <v>16</v>
      </c>
      <c r="G159" s="32" t="s">
        <v>658</v>
      </c>
      <c r="H159" s="32" t="s">
        <v>665</v>
      </c>
      <c r="I159" s="103" t="s">
        <v>213</v>
      </c>
      <c r="J159" s="92"/>
      <c r="K159" s="101"/>
    </row>
    <row r="160" spans="1:11" ht="25.5" thickBot="1">
      <c r="A160" s="154"/>
      <c r="B160" s="164"/>
      <c r="C160" s="167"/>
      <c r="D160" s="32" t="s">
        <v>666</v>
      </c>
      <c r="E160" s="30" t="s">
        <v>667</v>
      </c>
      <c r="F160" s="102" t="s">
        <v>58</v>
      </c>
      <c r="G160" s="32" t="s">
        <v>658</v>
      </c>
      <c r="H160" s="32" t="s">
        <v>668</v>
      </c>
      <c r="I160" s="103" t="s">
        <v>213</v>
      </c>
      <c r="J160" s="92"/>
      <c r="K160" s="101"/>
    </row>
    <row r="161" spans="1:11" ht="25.5" thickBot="1">
      <c r="A161" s="154"/>
      <c r="B161" s="164"/>
      <c r="C161" s="168"/>
      <c r="D161" s="36" t="s">
        <v>669</v>
      </c>
      <c r="E161" s="34" t="s">
        <v>670</v>
      </c>
      <c r="F161" s="90" t="s">
        <v>16</v>
      </c>
      <c r="G161" s="36" t="s">
        <v>671</v>
      </c>
      <c r="H161" s="36" t="s">
        <v>672</v>
      </c>
      <c r="I161" s="103" t="s">
        <v>213</v>
      </c>
      <c r="J161" s="104"/>
      <c r="K161" s="101"/>
    </row>
    <row r="162" spans="1:11" ht="25">
      <c r="A162" s="154"/>
      <c r="B162" s="164"/>
      <c r="C162" s="166" t="s">
        <v>673</v>
      </c>
      <c r="D162" s="28" t="s">
        <v>674</v>
      </c>
      <c r="E162" s="38" t="s">
        <v>675</v>
      </c>
      <c r="F162" s="90" t="s">
        <v>16</v>
      </c>
      <c r="G162" s="28" t="s">
        <v>676</v>
      </c>
      <c r="H162" s="28" t="s">
        <v>677</v>
      </c>
      <c r="I162" s="86" t="s">
        <v>26</v>
      </c>
      <c r="J162" s="87"/>
      <c r="K162" s="101"/>
    </row>
    <row r="163" spans="1:11" ht="25">
      <c r="A163" s="154"/>
      <c r="B163" s="164"/>
      <c r="C163" s="167"/>
      <c r="D163" s="88" t="s">
        <v>678</v>
      </c>
      <c r="E163" s="30" t="s">
        <v>679</v>
      </c>
      <c r="F163" s="31" t="s">
        <v>23</v>
      </c>
      <c r="G163" s="32" t="s">
        <v>676</v>
      </c>
      <c r="H163" s="32" t="s">
        <v>680</v>
      </c>
      <c r="I163" s="91" t="s">
        <v>26</v>
      </c>
      <c r="J163" s="92"/>
      <c r="K163" s="101"/>
    </row>
    <row r="164" spans="1:11" ht="25">
      <c r="A164" s="154"/>
      <c r="B164" s="164"/>
      <c r="C164" s="167"/>
      <c r="D164" s="93" t="s">
        <v>681</v>
      </c>
      <c r="E164" s="30" t="s">
        <v>682</v>
      </c>
      <c r="F164" s="90" t="s">
        <v>16</v>
      </c>
      <c r="G164" s="32" t="s">
        <v>676</v>
      </c>
      <c r="H164" s="32" t="s">
        <v>683</v>
      </c>
      <c r="I164" s="91" t="s">
        <v>26</v>
      </c>
      <c r="J164" s="92"/>
      <c r="K164" s="101"/>
    </row>
    <row r="165" spans="1:11" ht="25">
      <c r="A165" s="154"/>
      <c r="B165" s="164"/>
      <c r="C165" s="167"/>
      <c r="D165" s="32" t="s">
        <v>684</v>
      </c>
      <c r="E165" s="30" t="s">
        <v>685</v>
      </c>
      <c r="F165" s="90" t="s">
        <v>16</v>
      </c>
      <c r="G165" s="32" t="s">
        <v>676</v>
      </c>
      <c r="H165" s="32" t="s">
        <v>686</v>
      </c>
      <c r="I165" s="91" t="s">
        <v>26</v>
      </c>
      <c r="J165" s="92"/>
      <c r="K165" s="101"/>
    </row>
    <row r="166" spans="1:11" ht="25.5" thickBot="1">
      <c r="A166" s="154"/>
      <c r="B166" s="165"/>
      <c r="C166" s="168"/>
      <c r="D166" s="36" t="s">
        <v>687</v>
      </c>
      <c r="E166" s="34" t="s">
        <v>688</v>
      </c>
      <c r="F166" s="102" t="s">
        <v>58</v>
      </c>
      <c r="G166" s="36" t="s">
        <v>676</v>
      </c>
      <c r="H166" s="36" t="s">
        <v>689</v>
      </c>
      <c r="I166" s="103" t="s">
        <v>26</v>
      </c>
      <c r="J166" s="104"/>
      <c r="K166" s="101"/>
    </row>
    <row r="167" spans="1:11" ht="23.5">
      <c r="A167" s="154"/>
      <c r="B167" s="156" t="s">
        <v>690</v>
      </c>
      <c r="C167" s="161" t="s">
        <v>691</v>
      </c>
      <c r="D167" s="13" t="s">
        <v>692</v>
      </c>
      <c r="E167" s="78" t="s">
        <v>693</v>
      </c>
      <c r="F167" s="79" t="s">
        <v>16</v>
      </c>
      <c r="G167" s="13" t="s">
        <v>694</v>
      </c>
      <c r="H167" s="13" t="s">
        <v>695</v>
      </c>
      <c r="I167" s="39" t="s">
        <v>213</v>
      </c>
      <c r="J167" s="71"/>
      <c r="K167" s="18"/>
    </row>
    <row r="168" spans="1:11" ht="23.5">
      <c r="A168" s="154"/>
      <c r="B168" s="157"/>
      <c r="C168" s="162"/>
      <c r="D168" s="69" t="s">
        <v>696</v>
      </c>
      <c r="E168" s="17" t="s">
        <v>697</v>
      </c>
      <c r="F168" s="80" t="s">
        <v>23</v>
      </c>
      <c r="G168" s="17" t="s">
        <v>698</v>
      </c>
      <c r="H168" s="17" t="s">
        <v>699</v>
      </c>
      <c r="I168" s="44" t="s">
        <v>213</v>
      </c>
      <c r="J168" s="72"/>
      <c r="K168" s="18"/>
    </row>
    <row r="169" spans="1:11" ht="23.5">
      <c r="A169" s="154"/>
      <c r="B169" s="157"/>
      <c r="C169" s="162"/>
      <c r="D169" s="70" t="s">
        <v>700</v>
      </c>
      <c r="E169" s="17" t="s">
        <v>701</v>
      </c>
      <c r="F169" s="80" t="s">
        <v>16</v>
      </c>
      <c r="G169" s="17" t="s">
        <v>702</v>
      </c>
      <c r="H169" s="17" t="s">
        <v>703</v>
      </c>
      <c r="I169" s="44" t="s">
        <v>213</v>
      </c>
      <c r="J169" s="72"/>
      <c r="K169" s="18"/>
    </row>
    <row r="170" spans="1:11" ht="23.5">
      <c r="A170" s="154"/>
      <c r="B170" s="157"/>
      <c r="C170" s="162"/>
      <c r="D170" s="17" t="s">
        <v>704</v>
      </c>
      <c r="E170" s="17" t="s">
        <v>705</v>
      </c>
      <c r="F170" s="80" t="s">
        <v>16</v>
      </c>
      <c r="G170" s="17" t="s">
        <v>706</v>
      </c>
      <c r="H170" s="17" t="s">
        <v>707</v>
      </c>
      <c r="I170" s="44" t="s">
        <v>26</v>
      </c>
      <c r="J170" s="72"/>
      <c r="K170" s="18"/>
    </row>
    <row r="171" spans="1:11" ht="24" thickBot="1">
      <c r="A171" s="154"/>
      <c r="B171" s="157"/>
      <c r="C171" s="163"/>
      <c r="D171" s="21" t="s">
        <v>708</v>
      </c>
      <c r="E171" s="21" t="s">
        <v>709</v>
      </c>
      <c r="F171" s="81" t="s">
        <v>58</v>
      </c>
      <c r="G171" s="21" t="s">
        <v>710</v>
      </c>
      <c r="H171" s="21" t="s">
        <v>711</v>
      </c>
      <c r="I171" s="74" t="s">
        <v>213</v>
      </c>
      <c r="J171" s="75"/>
      <c r="K171" s="18"/>
    </row>
    <row r="172" spans="1:11" ht="23.5">
      <c r="A172" s="154"/>
      <c r="B172" s="157"/>
      <c r="C172" s="161" t="s">
        <v>712</v>
      </c>
      <c r="D172" s="13" t="s">
        <v>713</v>
      </c>
      <c r="E172" s="78" t="s">
        <v>714</v>
      </c>
      <c r="F172" s="79" t="s">
        <v>16</v>
      </c>
      <c r="G172" s="13" t="s">
        <v>715</v>
      </c>
      <c r="H172" s="13" t="s">
        <v>716</v>
      </c>
      <c r="I172" s="39" t="s">
        <v>213</v>
      </c>
      <c r="J172" s="71"/>
      <c r="K172" s="18"/>
    </row>
    <row r="173" spans="1:11" ht="23.5">
      <c r="A173" s="154"/>
      <c r="B173" s="157"/>
      <c r="C173" s="162"/>
      <c r="D173" s="69" t="s">
        <v>717</v>
      </c>
      <c r="E173" s="17" t="s">
        <v>718</v>
      </c>
      <c r="F173" s="80" t="s">
        <v>16</v>
      </c>
      <c r="G173" s="17" t="s">
        <v>719</v>
      </c>
      <c r="H173" s="17" t="s">
        <v>720</v>
      </c>
      <c r="I173" s="44" t="s">
        <v>26</v>
      </c>
      <c r="J173" s="72"/>
      <c r="K173" s="18"/>
    </row>
    <row r="174" spans="1:11" ht="23.5">
      <c r="A174" s="154"/>
      <c r="B174" s="157"/>
      <c r="C174" s="162"/>
      <c r="D174" s="70" t="s">
        <v>721</v>
      </c>
      <c r="E174" s="17" t="s">
        <v>722</v>
      </c>
      <c r="F174" s="80" t="s">
        <v>58</v>
      </c>
      <c r="G174" s="17" t="s">
        <v>723</v>
      </c>
      <c r="H174" s="17" t="s">
        <v>724</v>
      </c>
      <c r="I174" s="44" t="s">
        <v>213</v>
      </c>
      <c r="J174" s="72"/>
      <c r="K174" s="18"/>
    </row>
    <row r="175" spans="1:11" ht="23.5">
      <c r="A175" s="154"/>
      <c r="B175" s="157"/>
      <c r="C175" s="162"/>
      <c r="D175" s="17" t="s">
        <v>725</v>
      </c>
      <c r="E175" s="17" t="s">
        <v>726</v>
      </c>
      <c r="F175" s="80" t="s">
        <v>16</v>
      </c>
      <c r="G175" s="17" t="s">
        <v>727</v>
      </c>
      <c r="H175" s="17" t="s">
        <v>728</v>
      </c>
      <c r="I175" s="44" t="s">
        <v>26</v>
      </c>
      <c r="J175" s="72"/>
      <c r="K175" s="18"/>
    </row>
    <row r="176" spans="1:11" ht="24" thickBot="1">
      <c r="A176" s="154"/>
      <c r="B176" s="157"/>
      <c r="C176" s="163"/>
      <c r="D176" s="21" t="s">
        <v>729</v>
      </c>
      <c r="E176" s="21" t="s">
        <v>730</v>
      </c>
      <c r="F176" s="81" t="s">
        <v>16</v>
      </c>
      <c r="G176" s="21" t="s">
        <v>731</v>
      </c>
      <c r="H176" s="21" t="s">
        <v>732</v>
      </c>
      <c r="I176" s="74" t="s">
        <v>213</v>
      </c>
      <c r="J176" s="75"/>
      <c r="K176" s="18"/>
    </row>
    <row r="177" spans="1:11" ht="23.5">
      <c r="A177" s="154"/>
      <c r="B177" s="157"/>
      <c r="C177" s="161" t="s">
        <v>733</v>
      </c>
      <c r="D177" s="13" t="s">
        <v>734</v>
      </c>
      <c r="E177" s="78" t="s">
        <v>735</v>
      </c>
      <c r="F177" s="79" t="s">
        <v>16</v>
      </c>
      <c r="G177" s="13" t="s">
        <v>736</v>
      </c>
      <c r="H177" s="13" t="s">
        <v>737</v>
      </c>
      <c r="I177" s="39" t="s">
        <v>26</v>
      </c>
      <c r="J177" s="71"/>
      <c r="K177" s="18"/>
    </row>
    <row r="178" spans="1:11" ht="23.5">
      <c r="A178" s="154"/>
      <c r="B178" s="157"/>
      <c r="C178" s="162"/>
      <c r="D178" s="70" t="s">
        <v>738</v>
      </c>
      <c r="E178" s="17" t="s">
        <v>739</v>
      </c>
      <c r="F178" s="80" t="s">
        <v>16</v>
      </c>
      <c r="G178" s="17" t="s">
        <v>740</v>
      </c>
      <c r="H178" s="17" t="s">
        <v>741</v>
      </c>
      <c r="I178" s="44" t="s">
        <v>26</v>
      </c>
      <c r="J178" s="72"/>
      <c r="K178" s="18"/>
    </row>
    <row r="179" spans="1:11" ht="23.5">
      <c r="A179" s="154"/>
      <c r="B179" s="157"/>
      <c r="C179" s="162"/>
      <c r="D179" s="70" t="s">
        <v>742</v>
      </c>
      <c r="E179" s="17" t="s">
        <v>743</v>
      </c>
      <c r="F179" s="80" t="s">
        <v>23</v>
      </c>
      <c r="G179" s="17" t="s">
        <v>744</v>
      </c>
      <c r="H179" s="17" t="s">
        <v>745</v>
      </c>
      <c r="I179" s="44" t="s">
        <v>213</v>
      </c>
      <c r="J179" s="72"/>
      <c r="K179" s="18"/>
    </row>
    <row r="180" spans="1:11" ht="23.5">
      <c r="A180" s="154"/>
      <c r="B180" s="157"/>
      <c r="C180" s="162"/>
      <c r="D180" s="17" t="s">
        <v>746</v>
      </c>
      <c r="E180" s="17" t="s">
        <v>747</v>
      </c>
      <c r="F180" s="80" t="s">
        <v>16</v>
      </c>
      <c r="G180" s="17" t="s">
        <v>748</v>
      </c>
      <c r="H180" s="17" t="s">
        <v>749</v>
      </c>
      <c r="I180" s="44" t="s">
        <v>26</v>
      </c>
      <c r="J180" s="72"/>
      <c r="K180" s="18"/>
    </row>
    <row r="181" spans="1:11" ht="24" thickBot="1">
      <c r="A181" s="154"/>
      <c r="B181" s="157"/>
      <c r="C181" s="162"/>
      <c r="D181" s="48" t="s">
        <v>750</v>
      </c>
      <c r="E181" s="48" t="s">
        <v>751</v>
      </c>
      <c r="F181" s="82" t="s">
        <v>16</v>
      </c>
      <c r="G181" s="48" t="s">
        <v>752</v>
      </c>
      <c r="H181" s="48" t="s">
        <v>753</v>
      </c>
      <c r="I181" s="49" t="s">
        <v>26</v>
      </c>
      <c r="J181" s="83"/>
      <c r="K181" s="84"/>
    </row>
    <row r="182" spans="1:11" ht="23.5">
      <c r="A182" s="154"/>
      <c r="B182" s="157"/>
      <c r="C182" s="161" t="s">
        <v>754</v>
      </c>
      <c r="D182" s="13" t="s">
        <v>755</v>
      </c>
      <c r="E182" s="78" t="s">
        <v>756</v>
      </c>
      <c r="F182" s="79" t="s">
        <v>58</v>
      </c>
      <c r="G182" s="13" t="s">
        <v>757</v>
      </c>
      <c r="H182" s="13" t="s">
        <v>758</v>
      </c>
      <c r="I182" s="39" t="s">
        <v>213</v>
      </c>
      <c r="J182" s="71"/>
      <c r="K182" s="15"/>
    </row>
    <row r="183" spans="1:11" ht="23.5">
      <c r="A183" s="154"/>
      <c r="B183" s="157"/>
      <c r="C183" s="162"/>
      <c r="D183" s="69" t="s">
        <v>759</v>
      </c>
      <c r="E183" s="17" t="s">
        <v>760</v>
      </c>
      <c r="F183" s="80" t="s">
        <v>16</v>
      </c>
      <c r="G183" s="17" t="s">
        <v>761</v>
      </c>
      <c r="H183" s="17" t="s">
        <v>762</v>
      </c>
      <c r="I183" s="44" t="s">
        <v>26</v>
      </c>
      <c r="J183" s="72"/>
      <c r="K183" s="19"/>
    </row>
    <row r="184" spans="1:11" ht="23.5">
      <c r="A184" s="154"/>
      <c r="B184" s="157"/>
      <c r="C184" s="162"/>
      <c r="D184" s="70" t="s">
        <v>763</v>
      </c>
      <c r="E184" s="17" t="s">
        <v>764</v>
      </c>
      <c r="F184" s="80" t="s">
        <v>16</v>
      </c>
      <c r="G184" s="17" t="s">
        <v>765</v>
      </c>
      <c r="H184" s="17" t="s">
        <v>766</v>
      </c>
      <c r="I184" s="44" t="s">
        <v>213</v>
      </c>
      <c r="J184" s="72"/>
      <c r="K184" s="19"/>
    </row>
    <row r="185" spans="1:11" ht="23.5">
      <c r="A185" s="154"/>
      <c r="B185" s="157"/>
      <c r="C185" s="162"/>
      <c r="D185" s="17" t="s">
        <v>767</v>
      </c>
      <c r="E185" s="17" t="s">
        <v>768</v>
      </c>
      <c r="F185" s="80" t="s">
        <v>16</v>
      </c>
      <c r="G185" s="17" t="s">
        <v>769</v>
      </c>
      <c r="H185" s="17" t="s">
        <v>770</v>
      </c>
      <c r="I185" s="44" t="s">
        <v>26</v>
      </c>
      <c r="J185" s="72"/>
      <c r="K185" s="19"/>
    </row>
    <row r="186" spans="1:11" ht="24" thickBot="1">
      <c r="A186" s="154"/>
      <c r="B186" s="157"/>
      <c r="C186" s="163"/>
      <c r="D186" s="21" t="s">
        <v>771</v>
      </c>
      <c r="E186" s="21" t="s">
        <v>772</v>
      </c>
      <c r="F186" s="81" t="s">
        <v>16</v>
      </c>
      <c r="G186" s="21" t="s">
        <v>773</v>
      </c>
      <c r="H186" s="21" t="s">
        <v>774</v>
      </c>
      <c r="I186" s="74" t="s">
        <v>213</v>
      </c>
      <c r="J186" s="75"/>
      <c r="K186" s="23"/>
    </row>
    <row r="187" spans="1:11" ht="23.5">
      <c r="A187" s="154"/>
      <c r="B187" s="157"/>
      <c r="C187" s="162" t="s">
        <v>775</v>
      </c>
      <c r="D187" s="52" t="s">
        <v>776</v>
      </c>
      <c r="E187" s="52" t="s">
        <v>777</v>
      </c>
      <c r="F187" s="85" t="s">
        <v>23</v>
      </c>
      <c r="G187" s="52" t="s">
        <v>778</v>
      </c>
      <c r="H187" s="52" t="s">
        <v>779</v>
      </c>
      <c r="I187" s="53" t="s">
        <v>26</v>
      </c>
      <c r="J187" s="77"/>
      <c r="K187" s="55"/>
    </row>
    <row r="188" spans="1:11" ht="23.5">
      <c r="A188" s="154"/>
      <c r="B188" s="157"/>
      <c r="C188" s="162"/>
      <c r="D188" s="17" t="s">
        <v>780</v>
      </c>
      <c r="E188" s="17" t="s">
        <v>781</v>
      </c>
      <c r="F188" s="80" t="s">
        <v>16</v>
      </c>
      <c r="G188" s="17" t="s">
        <v>782</v>
      </c>
      <c r="H188" s="17" t="s">
        <v>783</v>
      </c>
      <c r="I188" s="44" t="s">
        <v>213</v>
      </c>
      <c r="J188" s="72"/>
      <c r="K188" s="18"/>
    </row>
    <row r="189" spans="1:11" ht="23.5">
      <c r="A189" s="154"/>
      <c r="B189" s="157"/>
      <c r="C189" s="162"/>
      <c r="D189" s="17" t="s">
        <v>784</v>
      </c>
      <c r="E189" s="17" t="s">
        <v>785</v>
      </c>
      <c r="F189" s="80" t="s">
        <v>16</v>
      </c>
      <c r="G189" s="17" t="s">
        <v>786</v>
      </c>
      <c r="H189" s="17" t="s">
        <v>787</v>
      </c>
      <c r="I189" s="44" t="s">
        <v>213</v>
      </c>
      <c r="J189" s="72"/>
      <c r="K189" s="18"/>
    </row>
    <row r="190" spans="1:11" ht="23.5">
      <c r="A190" s="154"/>
      <c r="B190" s="157"/>
      <c r="C190" s="162"/>
      <c r="D190" s="17" t="s">
        <v>788</v>
      </c>
      <c r="E190" s="17" t="s">
        <v>789</v>
      </c>
      <c r="F190" s="80" t="s">
        <v>58</v>
      </c>
      <c r="G190" s="17" t="s">
        <v>790</v>
      </c>
      <c r="H190" s="17" t="s">
        <v>791</v>
      </c>
      <c r="I190" s="44" t="s">
        <v>26</v>
      </c>
      <c r="J190" s="72"/>
      <c r="K190" s="18"/>
    </row>
    <row r="191" spans="1:11" ht="24" thickBot="1">
      <c r="A191" s="154"/>
      <c r="B191" s="157"/>
      <c r="C191" s="163"/>
      <c r="D191" s="21" t="s">
        <v>792</v>
      </c>
      <c r="E191" s="21" t="s">
        <v>793</v>
      </c>
      <c r="F191" s="81" t="s">
        <v>16</v>
      </c>
      <c r="G191" s="21" t="s">
        <v>794</v>
      </c>
      <c r="H191" s="21" t="s">
        <v>795</v>
      </c>
      <c r="I191" s="74" t="s">
        <v>26</v>
      </c>
      <c r="J191" s="75"/>
      <c r="K191" s="18"/>
    </row>
    <row r="192" spans="1:11" ht="23.5">
      <c r="A192" s="154"/>
      <c r="B192" s="157"/>
      <c r="C192" s="161" t="s">
        <v>796</v>
      </c>
      <c r="D192" s="13" t="s">
        <v>797</v>
      </c>
      <c r="E192" s="78" t="s">
        <v>798</v>
      </c>
      <c r="F192" s="79" t="s">
        <v>16</v>
      </c>
      <c r="G192" s="13" t="s">
        <v>799</v>
      </c>
      <c r="H192" s="13" t="s">
        <v>800</v>
      </c>
      <c r="I192" s="39" t="s">
        <v>26</v>
      </c>
      <c r="J192" s="71"/>
      <c r="K192" s="18"/>
    </row>
    <row r="193" spans="1:11" ht="23.5">
      <c r="A193" s="154"/>
      <c r="B193" s="157"/>
      <c r="C193" s="162"/>
      <c r="D193" s="69" t="s">
        <v>801</v>
      </c>
      <c r="E193" s="17" t="s">
        <v>802</v>
      </c>
      <c r="F193" s="80" t="s">
        <v>23</v>
      </c>
      <c r="G193" s="17" t="s">
        <v>803</v>
      </c>
      <c r="H193" s="17" t="s">
        <v>804</v>
      </c>
      <c r="I193" s="44" t="s">
        <v>213</v>
      </c>
      <c r="J193" s="72"/>
      <c r="K193" s="18"/>
    </row>
    <row r="194" spans="1:11" ht="23.5">
      <c r="A194" s="154"/>
      <c r="B194" s="157"/>
      <c r="C194" s="162"/>
      <c r="D194" s="70" t="s">
        <v>805</v>
      </c>
      <c r="E194" s="17" t="s">
        <v>806</v>
      </c>
      <c r="F194" s="80" t="s">
        <v>16</v>
      </c>
      <c r="G194" s="17" t="s">
        <v>807</v>
      </c>
      <c r="H194" s="17" t="s">
        <v>808</v>
      </c>
      <c r="I194" s="44" t="s">
        <v>26</v>
      </c>
      <c r="J194" s="72"/>
      <c r="K194" s="18"/>
    </row>
    <row r="195" spans="1:11" ht="23.5">
      <c r="A195" s="154"/>
      <c r="B195" s="157"/>
      <c r="C195" s="162"/>
      <c r="D195" s="17" t="s">
        <v>809</v>
      </c>
      <c r="E195" s="17" t="s">
        <v>810</v>
      </c>
      <c r="F195" s="80" t="s">
        <v>16</v>
      </c>
      <c r="G195" s="17" t="s">
        <v>811</v>
      </c>
      <c r="H195" s="17" t="s">
        <v>812</v>
      </c>
      <c r="I195" s="44" t="s">
        <v>213</v>
      </c>
      <c r="J195" s="72"/>
      <c r="K195" s="18"/>
    </row>
    <row r="196" spans="1:11" ht="24" thickBot="1">
      <c r="A196" s="154"/>
      <c r="B196" s="157"/>
      <c r="C196" s="163"/>
      <c r="D196" s="21" t="s">
        <v>813</v>
      </c>
      <c r="E196" s="21" t="s">
        <v>814</v>
      </c>
      <c r="F196" s="81" t="s">
        <v>58</v>
      </c>
      <c r="G196" s="21" t="s">
        <v>815</v>
      </c>
      <c r="H196" s="21" t="s">
        <v>816</v>
      </c>
      <c r="I196" s="74" t="s">
        <v>26</v>
      </c>
      <c r="J196" s="75"/>
      <c r="K196" s="18"/>
    </row>
    <row r="197" spans="1:11" ht="23.5">
      <c r="A197" s="154"/>
      <c r="B197" s="157"/>
      <c r="C197" s="161" t="s">
        <v>817</v>
      </c>
      <c r="D197" s="13" t="s">
        <v>818</v>
      </c>
      <c r="E197" s="78" t="s">
        <v>819</v>
      </c>
      <c r="F197" s="79" t="s">
        <v>16</v>
      </c>
      <c r="G197" s="13" t="s">
        <v>820</v>
      </c>
      <c r="H197" s="13" t="s">
        <v>821</v>
      </c>
      <c r="I197" s="39" t="s">
        <v>213</v>
      </c>
      <c r="J197" s="71"/>
      <c r="K197" s="18"/>
    </row>
    <row r="198" spans="1:11" ht="23.5">
      <c r="A198" s="154"/>
      <c r="B198" s="157"/>
      <c r="C198" s="162"/>
      <c r="D198" s="70" t="s">
        <v>822</v>
      </c>
      <c r="E198" s="17" t="s">
        <v>823</v>
      </c>
      <c r="F198" s="80" t="s">
        <v>23</v>
      </c>
      <c r="G198" s="17" t="s">
        <v>824</v>
      </c>
      <c r="H198" s="17" t="s">
        <v>825</v>
      </c>
      <c r="I198" s="44" t="s">
        <v>26</v>
      </c>
      <c r="J198" s="72"/>
      <c r="K198" s="18"/>
    </row>
    <row r="199" spans="1:11" ht="23.5">
      <c r="A199" s="154"/>
      <c r="B199" s="157"/>
      <c r="C199" s="162"/>
      <c r="D199" s="70" t="s">
        <v>826</v>
      </c>
      <c r="E199" s="17" t="s">
        <v>827</v>
      </c>
      <c r="F199" s="80" t="s">
        <v>23</v>
      </c>
      <c r="G199" s="17" t="s">
        <v>828</v>
      </c>
      <c r="H199" s="17" t="s">
        <v>829</v>
      </c>
      <c r="I199" s="44" t="s">
        <v>213</v>
      </c>
      <c r="J199" s="72"/>
      <c r="K199" s="18"/>
    </row>
    <row r="200" spans="1:11" ht="23.5">
      <c r="A200" s="154"/>
      <c r="B200" s="157"/>
      <c r="C200" s="162"/>
      <c r="D200" s="17" t="s">
        <v>830</v>
      </c>
      <c r="E200" s="17" t="s">
        <v>831</v>
      </c>
      <c r="F200" s="80" t="s">
        <v>16</v>
      </c>
      <c r="G200" s="17" t="s">
        <v>832</v>
      </c>
      <c r="H200" s="17" t="s">
        <v>833</v>
      </c>
      <c r="I200" s="44" t="s">
        <v>213</v>
      </c>
      <c r="J200" s="72"/>
      <c r="K200" s="18"/>
    </row>
    <row r="201" spans="1:11" ht="24" thickBot="1">
      <c r="A201" s="154"/>
      <c r="B201" s="157"/>
      <c r="C201" s="163"/>
      <c r="D201" s="21" t="s">
        <v>834</v>
      </c>
      <c r="E201" s="21" t="s">
        <v>835</v>
      </c>
      <c r="F201" s="81" t="s">
        <v>16</v>
      </c>
      <c r="G201" s="21" t="s">
        <v>836</v>
      </c>
      <c r="H201" s="21" t="s">
        <v>837</v>
      </c>
      <c r="I201" s="74" t="s">
        <v>26</v>
      </c>
      <c r="J201" s="75"/>
      <c r="K201" s="18"/>
    </row>
    <row r="202" spans="1:11" ht="23.5">
      <c r="A202" s="154"/>
      <c r="B202" s="157"/>
      <c r="C202" s="161" t="s">
        <v>838</v>
      </c>
      <c r="D202" s="13" t="s">
        <v>839</v>
      </c>
      <c r="E202" s="78" t="s">
        <v>840</v>
      </c>
      <c r="F202" s="79" t="s">
        <v>16</v>
      </c>
      <c r="G202" s="13" t="s">
        <v>841</v>
      </c>
      <c r="H202" s="13" t="s">
        <v>842</v>
      </c>
      <c r="I202" s="39" t="s">
        <v>213</v>
      </c>
      <c r="J202" s="71"/>
      <c r="K202" s="18"/>
    </row>
    <row r="203" spans="1:11" ht="23.5">
      <c r="A203" s="154"/>
      <c r="B203" s="157"/>
      <c r="C203" s="162"/>
      <c r="D203" s="70" t="s">
        <v>843</v>
      </c>
      <c r="E203" s="17" t="s">
        <v>844</v>
      </c>
      <c r="F203" s="80" t="s">
        <v>16</v>
      </c>
      <c r="G203" s="17" t="s">
        <v>845</v>
      </c>
      <c r="H203" s="17" t="s">
        <v>846</v>
      </c>
      <c r="I203" s="44" t="s">
        <v>213</v>
      </c>
      <c r="J203" s="72"/>
      <c r="K203" s="18"/>
    </row>
    <row r="204" spans="1:11" ht="23.5">
      <c r="A204" s="154"/>
      <c r="B204" s="157"/>
      <c r="C204" s="162"/>
      <c r="D204" s="70" t="s">
        <v>847</v>
      </c>
      <c r="E204" s="17" t="s">
        <v>848</v>
      </c>
      <c r="F204" s="80" t="s">
        <v>16</v>
      </c>
      <c r="G204" s="17" t="s">
        <v>849</v>
      </c>
      <c r="H204" s="17" t="s">
        <v>850</v>
      </c>
      <c r="I204" s="44" t="s">
        <v>26</v>
      </c>
      <c r="J204" s="72"/>
      <c r="K204" s="18"/>
    </row>
    <row r="205" spans="1:11" ht="23.5">
      <c r="A205" s="154"/>
      <c r="B205" s="157"/>
      <c r="C205" s="162"/>
      <c r="D205" s="17" t="s">
        <v>851</v>
      </c>
      <c r="E205" s="17" t="s">
        <v>852</v>
      </c>
      <c r="F205" s="80" t="s">
        <v>23</v>
      </c>
      <c r="G205" s="17" t="s">
        <v>853</v>
      </c>
      <c r="H205" s="17" t="s">
        <v>854</v>
      </c>
      <c r="I205" s="44" t="s">
        <v>26</v>
      </c>
      <c r="J205" s="72"/>
      <c r="K205" s="18"/>
    </row>
    <row r="206" spans="1:11" ht="24" thickBot="1">
      <c r="A206" s="154"/>
      <c r="B206" s="157"/>
      <c r="C206" s="163"/>
      <c r="D206" s="21" t="s">
        <v>855</v>
      </c>
      <c r="E206" s="21" t="s">
        <v>856</v>
      </c>
      <c r="F206" s="81" t="s">
        <v>58</v>
      </c>
      <c r="G206" s="21" t="s">
        <v>857</v>
      </c>
      <c r="H206" s="21" t="s">
        <v>858</v>
      </c>
      <c r="I206" s="74" t="s">
        <v>26</v>
      </c>
      <c r="J206" s="75"/>
      <c r="K206" s="18"/>
    </row>
    <row r="207" spans="1:11" ht="23.5">
      <c r="A207" s="154"/>
      <c r="B207" s="157"/>
      <c r="C207" s="161" t="s">
        <v>859</v>
      </c>
      <c r="D207" s="13" t="s">
        <v>860</v>
      </c>
      <c r="E207" s="78" t="s">
        <v>861</v>
      </c>
      <c r="F207" s="79" t="s">
        <v>16</v>
      </c>
      <c r="G207" s="13" t="s">
        <v>862</v>
      </c>
      <c r="H207" s="13" t="s">
        <v>863</v>
      </c>
      <c r="I207" s="39" t="s">
        <v>213</v>
      </c>
      <c r="J207" s="71"/>
      <c r="K207" s="18"/>
    </row>
    <row r="208" spans="1:11" ht="23.5">
      <c r="A208" s="154"/>
      <c r="B208" s="157"/>
      <c r="C208" s="162"/>
      <c r="D208" s="70" t="s">
        <v>864</v>
      </c>
      <c r="E208" s="17" t="s">
        <v>865</v>
      </c>
      <c r="F208" s="80" t="s">
        <v>16</v>
      </c>
      <c r="G208" s="17" t="s">
        <v>866</v>
      </c>
      <c r="H208" s="17" t="s">
        <v>867</v>
      </c>
      <c r="I208" s="44" t="s">
        <v>213</v>
      </c>
      <c r="J208" s="72"/>
      <c r="K208" s="18"/>
    </row>
    <row r="209" spans="1:11" ht="23.5">
      <c r="A209" s="154"/>
      <c r="B209" s="157"/>
      <c r="C209" s="162"/>
      <c r="D209" s="70" t="s">
        <v>868</v>
      </c>
      <c r="E209" s="17" t="s">
        <v>869</v>
      </c>
      <c r="F209" s="80" t="s">
        <v>23</v>
      </c>
      <c r="G209" s="17" t="s">
        <v>870</v>
      </c>
      <c r="H209" s="17" t="s">
        <v>871</v>
      </c>
      <c r="I209" s="44" t="s">
        <v>26</v>
      </c>
      <c r="J209" s="72"/>
      <c r="K209" s="18"/>
    </row>
    <row r="210" spans="1:11" ht="23.5">
      <c r="A210" s="154"/>
      <c r="B210" s="157"/>
      <c r="C210" s="162"/>
      <c r="D210" s="17" t="s">
        <v>872</v>
      </c>
      <c r="E210" s="17" t="s">
        <v>873</v>
      </c>
      <c r="F210" s="80" t="s">
        <v>16</v>
      </c>
      <c r="G210" s="17" t="s">
        <v>874</v>
      </c>
      <c r="H210" s="17" t="s">
        <v>875</v>
      </c>
      <c r="I210" s="44" t="s">
        <v>213</v>
      </c>
      <c r="J210" s="72"/>
      <c r="K210" s="18"/>
    </row>
    <row r="211" spans="1:11" ht="24" thickBot="1">
      <c r="A211" s="154"/>
      <c r="B211" s="173"/>
      <c r="C211" s="163"/>
      <c r="D211" s="21" t="s">
        <v>876</v>
      </c>
      <c r="E211" s="21" t="s">
        <v>877</v>
      </c>
      <c r="F211" s="81" t="s">
        <v>58</v>
      </c>
      <c r="G211" s="21" t="s">
        <v>878</v>
      </c>
      <c r="H211" s="21" t="s">
        <v>879</v>
      </c>
      <c r="I211" s="74" t="s">
        <v>26</v>
      </c>
      <c r="J211" s="21"/>
      <c r="K211" s="23"/>
    </row>
    <row r="212" spans="1:11" ht="25">
      <c r="A212" s="154"/>
      <c r="B212" s="169" t="s">
        <v>880</v>
      </c>
      <c r="C212" s="166" t="s">
        <v>881</v>
      </c>
      <c r="D212" s="28" t="s">
        <v>882</v>
      </c>
      <c r="E212" s="38" t="s">
        <v>883</v>
      </c>
      <c r="F212" s="27" t="s">
        <v>16</v>
      </c>
      <c r="G212" s="28" t="s">
        <v>884</v>
      </c>
      <c r="H212" s="28" t="s">
        <v>885</v>
      </c>
      <c r="I212" s="86" t="s">
        <v>19</v>
      </c>
      <c r="J212" s="28"/>
      <c r="K212" s="107"/>
    </row>
    <row r="213" spans="1:11" ht="25">
      <c r="A213" s="154"/>
      <c r="B213" s="164"/>
      <c r="C213" s="167"/>
      <c r="D213" s="311" t="s">
        <v>3817</v>
      </c>
      <c r="E213" s="30" t="s">
        <v>886</v>
      </c>
      <c r="F213" s="31" t="s">
        <v>58</v>
      </c>
      <c r="G213" s="32" t="s">
        <v>887</v>
      </c>
      <c r="H213" s="32" t="s">
        <v>888</v>
      </c>
      <c r="I213" s="91" t="s">
        <v>26</v>
      </c>
      <c r="J213" s="32"/>
      <c r="K213" s="108"/>
    </row>
    <row r="214" spans="1:11" ht="25">
      <c r="A214" s="154"/>
      <c r="B214" s="164"/>
      <c r="C214" s="167"/>
      <c r="D214" s="312" t="s">
        <v>3818</v>
      </c>
      <c r="E214" s="30" t="s">
        <v>889</v>
      </c>
      <c r="F214" s="31" t="s">
        <v>16</v>
      </c>
      <c r="G214" s="32" t="s">
        <v>890</v>
      </c>
      <c r="H214" s="32" t="s">
        <v>891</v>
      </c>
      <c r="I214" s="91" t="s">
        <v>19</v>
      </c>
      <c r="J214" s="32"/>
      <c r="K214" s="108"/>
    </row>
    <row r="215" spans="1:11" ht="25">
      <c r="A215" s="154"/>
      <c r="B215" s="164"/>
      <c r="C215" s="167"/>
      <c r="D215" s="313" t="s">
        <v>3819</v>
      </c>
      <c r="E215" s="30" t="s">
        <v>892</v>
      </c>
      <c r="F215" s="31" t="s">
        <v>23</v>
      </c>
      <c r="G215" s="32" t="s">
        <v>893</v>
      </c>
      <c r="H215" s="32" t="s">
        <v>894</v>
      </c>
      <c r="I215" s="91" t="s">
        <v>26</v>
      </c>
      <c r="J215" s="32"/>
      <c r="K215" s="108"/>
    </row>
    <row r="216" spans="1:11" ht="25.5" thickBot="1">
      <c r="A216" s="154"/>
      <c r="B216" s="164"/>
      <c r="C216" s="168"/>
      <c r="D216" s="314" t="s">
        <v>3820</v>
      </c>
      <c r="E216" s="34" t="s">
        <v>895</v>
      </c>
      <c r="F216" s="35" t="s">
        <v>23</v>
      </c>
      <c r="G216" s="36" t="s">
        <v>896</v>
      </c>
      <c r="H216" s="36" t="s">
        <v>897</v>
      </c>
      <c r="I216" s="103" t="s">
        <v>26</v>
      </c>
      <c r="J216" s="36"/>
      <c r="K216" s="109"/>
    </row>
    <row r="217" spans="1:11" ht="25">
      <c r="A217" s="154"/>
      <c r="B217" s="164"/>
      <c r="C217" s="170" t="s">
        <v>898</v>
      </c>
      <c r="D217" s="315" t="s">
        <v>899</v>
      </c>
      <c r="E217" s="317" t="s">
        <v>900</v>
      </c>
      <c r="F217" s="27" t="s">
        <v>16</v>
      </c>
      <c r="G217" s="28" t="s">
        <v>901</v>
      </c>
      <c r="H217" s="28" t="s">
        <v>902</v>
      </c>
      <c r="I217" s="86" t="s">
        <v>19</v>
      </c>
      <c r="J217" s="28"/>
      <c r="K217" s="107"/>
    </row>
    <row r="218" spans="1:11" ht="25">
      <c r="A218" s="154"/>
      <c r="B218" s="164"/>
      <c r="C218" s="171"/>
      <c r="D218" s="311" t="s">
        <v>3821</v>
      </c>
      <c r="E218" s="30" t="s">
        <v>903</v>
      </c>
      <c r="F218" s="31" t="s">
        <v>16</v>
      </c>
      <c r="G218" s="32" t="s">
        <v>904</v>
      </c>
      <c r="H218" s="32" t="s">
        <v>905</v>
      </c>
      <c r="I218" s="91" t="s">
        <v>26</v>
      </c>
      <c r="J218" s="32"/>
      <c r="K218" s="108"/>
    </row>
    <row r="219" spans="1:11" ht="25">
      <c r="A219" s="154"/>
      <c r="B219" s="164"/>
      <c r="C219" s="171"/>
      <c r="D219" s="312" t="s">
        <v>3822</v>
      </c>
      <c r="E219" s="30" t="s">
        <v>906</v>
      </c>
      <c r="F219" s="31" t="s">
        <v>16</v>
      </c>
      <c r="G219" s="32" t="s">
        <v>907</v>
      </c>
      <c r="H219" s="32" t="s">
        <v>908</v>
      </c>
      <c r="I219" s="91" t="s">
        <v>19</v>
      </c>
      <c r="J219" s="32"/>
      <c r="K219" s="108"/>
    </row>
    <row r="220" spans="1:11" ht="25">
      <c r="A220" s="154"/>
      <c r="B220" s="164"/>
      <c r="C220" s="171"/>
      <c r="D220" s="313" t="s">
        <v>3823</v>
      </c>
      <c r="E220" s="30" t="s">
        <v>909</v>
      </c>
      <c r="F220" s="31" t="s">
        <v>16</v>
      </c>
      <c r="G220" s="32" t="s">
        <v>910</v>
      </c>
      <c r="H220" s="32" t="s">
        <v>911</v>
      </c>
      <c r="I220" s="91" t="s">
        <v>19</v>
      </c>
      <c r="J220" s="32"/>
      <c r="K220" s="108"/>
    </row>
    <row r="221" spans="1:11" ht="25.5" thickBot="1">
      <c r="A221" s="154"/>
      <c r="B221" s="164"/>
      <c r="C221" s="172"/>
      <c r="D221" s="314" t="s">
        <v>3824</v>
      </c>
      <c r="E221" s="34" t="s">
        <v>912</v>
      </c>
      <c r="F221" s="35" t="s">
        <v>16</v>
      </c>
      <c r="G221" s="36" t="s">
        <v>913</v>
      </c>
      <c r="H221" s="36" t="s">
        <v>914</v>
      </c>
      <c r="I221" s="103" t="s">
        <v>26</v>
      </c>
      <c r="J221" s="36"/>
      <c r="K221" s="109"/>
    </row>
    <row r="222" spans="1:11" ht="25">
      <c r="A222" s="154"/>
      <c r="B222" s="164"/>
      <c r="C222" s="166" t="s">
        <v>915</v>
      </c>
      <c r="D222" s="316" t="s">
        <v>916</v>
      </c>
      <c r="E222" s="38" t="s">
        <v>917</v>
      </c>
      <c r="F222" s="27" t="s">
        <v>23</v>
      </c>
      <c r="G222" s="28" t="s">
        <v>918</v>
      </c>
      <c r="H222" s="28" t="s">
        <v>919</v>
      </c>
      <c r="I222" s="86" t="s">
        <v>19</v>
      </c>
      <c r="J222" s="28"/>
      <c r="K222" s="107"/>
    </row>
    <row r="223" spans="1:11" ht="25">
      <c r="A223" s="154"/>
      <c r="B223" s="164"/>
      <c r="C223" s="167"/>
      <c r="D223" s="311" t="s">
        <v>3825</v>
      </c>
      <c r="E223" s="30" t="s">
        <v>920</v>
      </c>
      <c r="F223" s="31" t="s">
        <v>58</v>
      </c>
      <c r="G223" s="32" t="s">
        <v>921</v>
      </c>
      <c r="H223" s="32" t="s">
        <v>922</v>
      </c>
      <c r="I223" s="91" t="s">
        <v>19</v>
      </c>
      <c r="J223" s="32"/>
      <c r="K223" s="108"/>
    </row>
    <row r="224" spans="1:11" ht="25">
      <c r="A224" s="154"/>
      <c r="B224" s="164"/>
      <c r="C224" s="167"/>
      <c r="D224" s="312" t="s">
        <v>3826</v>
      </c>
      <c r="E224" s="30" t="s">
        <v>923</v>
      </c>
      <c r="F224" s="31" t="s">
        <v>16</v>
      </c>
      <c r="G224" s="32" t="s">
        <v>924</v>
      </c>
      <c r="H224" s="32" t="s">
        <v>925</v>
      </c>
      <c r="I224" s="91" t="s">
        <v>26</v>
      </c>
      <c r="J224" s="32"/>
      <c r="K224" s="108"/>
    </row>
    <row r="225" spans="1:11" ht="25">
      <c r="A225" s="154"/>
      <c r="B225" s="164"/>
      <c r="C225" s="167"/>
      <c r="D225" s="313" t="s">
        <v>3827</v>
      </c>
      <c r="E225" s="30" t="s">
        <v>926</v>
      </c>
      <c r="F225" s="31" t="s">
        <v>16</v>
      </c>
      <c r="G225" s="32" t="s">
        <v>927</v>
      </c>
      <c r="H225" s="32" t="s">
        <v>928</v>
      </c>
      <c r="I225" s="91" t="s">
        <v>26</v>
      </c>
      <c r="J225" s="32"/>
      <c r="K225" s="108"/>
    </row>
    <row r="226" spans="1:11" ht="25.5" thickBot="1">
      <c r="A226" s="154"/>
      <c r="B226" s="164"/>
      <c r="C226" s="168"/>
      <c r="D226" s="314" t="s">
        <v>3828</v>
      </c>
      <c r="E226" s="34" t="s">
        <v>929</v>
      </c>
      <c r="F226" s="35" t="s">
        <v>23</v>
      </c>
      <c r="G226" s="36" t="s">
        <v>930</v>
      </c>
      <c r="H226" s="36" t="s">
        <v>931</v>
      </c>
      <c r="I226" s="103" t="s">
        <v>26</v>
      </c>
      <c r="J226" s="36"/>
      <c r="K226" s="109"/>
    </row>
    <row r="227" spans="1:11" ht="25">
      <c r="A227" s="154"/>
      <c r="B227" s="164"/>
      <c r="C227" s="166" t="s">
        <v>932</v>
      </c>
      <c r="D227" s="316" t="s">
        <v>933</v>
      </c>
      <c r="E227" s="38" t="s">
        <v>934</v>
      </c>
      <c r="F227" s="27" t="s">
        <v>16</v>
      </c>
      <c r="G227" s="28" t="s">
        <v>935</v>
      </c>
      <c r="H227" s="28" t="s">
        <v>936</v>
      </c>
      <c r="I227" s="86" t="s">
        <v>19</v>
      </c>
      <c r="J227" s="28"/>
      <c r="K227" s="107"/>
    </row>
    <row r="228" spans="1:11" ht="25">
      <c r="A228" s="154"/>
      <c r="B228" s="164"/>
      <c r="C228" s="167"/>
      <c r="D228" s="311" t="s">
        <v>3829</v>
      </c>
      <c r="E228" s="30" t="s">
        <v>937</v>
      </c>
      <c r="F228" s="31" t="s">
        <v>58</v>
      </c>
      <c r="G228" s="32" t="s">
        <v>938</v>
      </c>
      <c r="H228" s="32" t="s">
        <v>939</v>
      </c>
      <c r="I228" s="91" t="s">
        <v>26</v>
      </c>
      <c r="J228" s="32"/>
      <c r="K228" s="108"/>
    </row>
    <row r="229" spans="1:11" ht="25">
      <c r="A229" s="154"/>
      <c r="B229" s="164"/>
      <c r="C229" s="167"/>
      <c r="D229" s="312" t="s">
        <v>3830</v>
      </c>
      <c r="E229" s="30" t="s">
        <v>940</v>
      </c>
      <c r="F229" s="31" t="s">
        <v>16</v>
      </c>
      <c r="G229" s="32" t="s">
        <v>941</v>
      </c>
      <c r="H229" s="32" t="s">
        <v>942</v>
      </c>
      <c r="I229" s="91" t="s">
        <v>26</v>
      </c>
      <c r="J229" s="32"/>
      <c r="K229" s="108"/>
    </row>
    <row r="230" spans="1:11" ht="25">
      <c r="A230" s="154"/>
      <c r="B230" s="164"/>
      <c r="C230" s="167"/>
      <c r="D230" s="313" t="s">
        <v>3831</v>
      </c>
      <c r="E230" s="30" t="s">
        <v>943</v>
      </c>
      <c r="F230" s="31" t="s">
        <v>58</v>
      </c>
      <c r="G230" s="32" t="s">
        <v>944</v>
      </c>
      <c r="H230" s="32" t="s">
        <v>945</v>
      </c>
      <c r="I230" s="91" t="s">
        <v>19</v>
      </c>
      <c r="J230" s="32"/>
      <c r="K230" s="108"/>
    </row>
    <row r="231" spans="1:11" ht="25.5" thickBot="1">
      <c r="A231" s="154"/>
      <c r="B231" s="164"/>
      <c r="C231" s="168"/>
      <c r="D231" s="314" t="s">
        <v>3832</v>
      </c>
      <c r="E231" s="34" t="s">
        <v>946</v>
      </c>
      <c r="F231" s="35" t="s">
        <v>58</v>
      </c>
      <c r="G231" s="36" t="s">
        <v>947</v>
      </c>
      <c r="H231" s="36" t="s">
        <v>948</v>
      </c>
      <c r="I231" s="103" t="s">
        <v>19</v>
      </c>
      <c r="J231" s="36"/>
      <c r="K231" s="109"/>
    </row>
    <row r="232" spans="1:11" ht="25">
      <c r="A232" s="154"/>
      <c r="B232" s="164"/>
      <c r="C232" s="170" t="s">
        <v>949</v>
      </c>
      <c r="D232" s="315" t="s">
        <v>950</v>
      </c>
      <c r="E232" s="317" t="s">
        <v>951</v>
      </c>
      <c r="F232" s="27" t="s">
        <v>16</v>
      </c>
      <c r="G232" s="28" t="s">
        <v>913</v>
      </c>
      <c r="H232" s="28" t="s">
        <v>952</v>
      </c>
      <c r="I232" s="86" t="s">
        <v>26</v>
      </c>
      <c r="J232" s="28"/>
      <c r="K232" s="107"/>
    </row>
    <row r="233" spans="1:11" ht="25">
      <c r="A233" s="154"/>
      <c r="B233" s="164"/>
      <c r="C233" s="171"/>
      <c r="D233" s="312" t="s">
        <v>3833</v>
      </c>
      <c r="E233" s="30" t="s">
        <v>953</v>
      </c>
      <c r="F233" s="31" t="s">
        <v>16</v>
      </c>
      <c r="G233" s="32" t="s">
        <v>954</v>
      </c>
      <c r="H233" s="32" t="s">
        <v>955</v>
      </c>
      <c r="I233" s="91" t="s">
        <v>26</v>
      </c>
      <c r="J233" s="32"/>
      <c r="K233" s="108"/>
    </row>
    <row r="234" spans="1:11" ht="25">
      <c r="A234" s="154"/>
      <c r="B234" s="164"/>
      <c r="C234" s="171"/>
      <c r="D234" s="312" t="s">
        <v>3838</v>
      </c>
      <c r="E234" s="30" t="s">
        <v>956</v>
      </c>
      <c r="F234" s="31" t="s">
        <v>16</v>
      </c>
      <c r="G234" s="32" t="s">
        <v>957</v>
      </c>
      <c r="H234" s="32" t="s">
        <v>958</v>
      </c>
      <c r="I234" s="91" t="s">
        <v>19</v>
      </c>
      <c r="J234" s="32"/>
      <c r="K234" s="108"/>
    </row>
    <row r="235" spans="1:11" ht="25">
      <c r="A235" s="154"/>
      <c r="B235" s="164"/>
      <c r="C235" s="171"/>
      <c r="D235" s="313" t="s">
        <v>3839</v>
      </c>
      <c r="E235" s="30" t="s">
        <v>959</v>
      </c>
      <c r="F235" s="31" t="s">
        <v>16</v>
      </c>
      <c r="G235" s="32" t="s">
        <v>960</v>
      </c>
      <c r="H235" s="32" t="s">
        <v>961</v>
      </c>
      <c r="I235" s="91" t="s">
        <v>26</v>
      </c>
      <c r="J235" s="32"/>
      <c r="K235" s="108"/>
    </row>
    <row r="236" spans="1:11" ht="25.5" thickBot="1">
      <c r="A236" s="154"/>
      <c r="B236" s="164"/>
      <c r="C236" s="172"/>
      <c r="D236" s="314" t="s">
        <v>3840</v>
      </c>
      <c r="E236" s="34" t="s">
        <v>962</v>
      </c>
      <c r="F236" s="35" t="s">
        <v>23</v>
      </c>
      <c r="G236" s="36" t="s">
        <v>963</v>
      </c>
      <c r="H236" s="36" t="s">
        <v>964</v>
      </c>
      <c r="I236" s="103" t="s">
        <v>26</v>
      </c>
      <c r="J236" s="36"/>
      <c r="K236" s="109"/>
    </row>
    <row r="237" spans="1:11" ht="25">
      <c r="A237" s="154"/>
      <c r="B237" s="164"/>
      <c r="C237" s="166" t="s">
        <v>965</v>
      </c>
      <c r="D237" s="316" t="s">
        <v>966</v>
      </c>
      <c r="E237" s="38" t="s">
        <v>967</v>
      </c>
      <c r="F237" s="27" t="s">
        <v>16</v>
      </c>
      <c r="G237" s="28" t="s">
        <v>968</v>
      </c>
      <c r="H237" s="28" t="s">
        <v>969</v>
      </c>
      <c r="I237" s="86" t="s">
        <v>19</v>
      </c>
      <c r="J237" s="28"/>
      <c r="K237" s="107"/>
    </row>
    <row r="238" spans="1:11" ht="25">
      <c r="A238" s="154"/>
      <c r="B238" s="164"/>
      <c r="C238" s="167"/>
      <c r="D238" s="312" t="s">
        <v>3841</v>
      </c>
      <c r="E238" s="30" t="s">
        <v>970</v>
      </c>
      <c r="F238" s="31" t="s">
        <v>16</v>
      </c>
      <c r="G238" s="32" t="s">
        <v>913</v>
      </c>
      <c r="H238" s="32" t="s">
        <v>971</v>
      </c>
      <c r="I238" s="91" t="s">
        <v>26</v>
      </c>
      <c r="J238" s="32"/>
      <c r="K238" s="108"/>
    </row>
    <row r="239" spans="1:11" ht="25">
      <c r="A239" s="154"/>
      <c r="B239" s="164"/>
      <c r="C239" s="167"/>
      <c r="D239" s="312" t="s">
        <v>3842</v>
      </c>
      <c r="E239" s="30" t="s">
        <v>972</v>
      </c>
      <c r="F239" s="31" t="s">
        <v>58</v>
      </c>
      <c r="G239" s="32" t="s">
        <v>973</v>
      </c>
      <c r="H239" s="32" t="s">
        <v>974</v>
      </c>
      <c r="I239" s="91" t="s">
        <v>26</v>
      </c>
      <c r="J239" s="32"/>
      <c r="K239" s="108"/>
    </row>
    <row r="240" spans="1:11" ht="25">
      <c r="A240" s="154"/>
      <c r="B240" s="164"/>
      <c r="C240" s="167"/>
      <c r="D240" s="313" t="s">
        <v>3843</v>
      </c>
      <c r="E240" s="30" t="s">
        <v>975</v>
      </c>
      <c r="F240" s="31" t="s">
        <v>16</v>
      </c>
      <c r="G240" s="32" t="s">
        <v>976</v>
      </c>
      <c r="H240" s="32" t="s">
        <v>977</v>
      </c>
      <c r="I240" s="91" t="s">
        <v>19</v>
      </c>
      <c r="J240" s="32"/>
      <c r="K240" s="108"/>
    </row>
    <row r="241" spans="1:11" ht="25.5" thickBot="1">
      <c r="A241" s="154"/>
      <c r="B241" s="164"/>
      <c r="C241" s="168"/>
      <c r="D241" s="314" t="s">
        <v>3844</v>
      </c>
      <c r="E241" s="34" t="s">
        <v>978</v>
      </c>
      <c r="F241" s="35" t="s">
        <v>16</v>
      </c>
      <c r="G241" s="36" t="s">
        <v>979</v>
      </c>
      <c r="H241" s="36" t="s">
        <v>980</v>
      </c>
      <c r="I241" s="103" t="s">
        <v>26</v>
      </c>
      <c r="J241" s="36"/>
      <c r="K241" s="109"/>
    </row>
    <row r="242" spans="1:11" ht="25">
      <c r="A242" s="154"/>
      <c r="B242" s="164"/>
      <c r="C242" s="166" t="s">
        <v>981</v>
      </c>
      <c r="D242" s="316" t="s">
        <v>982</v>
      </c>
      <c r="E242" s="38" t="s">
        <v>983</v>
      </c>
      <c r="F242" s="27" t="s">
        <v>23</v>
      </c>
      <c r="G242" s="28" t="s">
        <v>984</v>
      </c>
      <c r="H242" s="28" t="s">
        <v>908</v>
      </c>
      <c r="I242" s="86" t="s">
        <v>19</v>
      </c>
      <c r="J242" s="28"/>
      <c r="K242" s="107"/>
    </row>
    <row r="243" spans="1:11" ht="25">
      <c r="A243" s="154"/>
      <c r="B243" s="164"/>
      <c r="C243" s="167"/>
      <c r="D243" s="311" t="s">
        <v>3845</v>
      </c>
      <c r="E243" s="30" t="s">
        <v>985</v>
      </c>
      <c r="F243" s="31" t="s">
        <v>16</v>
      </c>
      <c r="G243" s="32" t="s">
        <v>986</v>
      </c>
      <c r="H243" s="32" t="s">
        <v>987</v>
      </c>
      <c r="I243" s="91" t="s">
        <v>26</v>
      </c>
      <c r="J243" s="32"/>
      <c r="K243" s="108"/>
    </row>
    <row r="244" spans="1:11" ht="25">
      <c r="A244" s="154"/>
      <c r="B244" s="164"/>
      <c r="C244" s="167"/>
      <c r="D244" s="312" t="s">
        <v>3846</v>
      </c>
      <c r="E244" s="30" t="s">
        <v>988</v>
      </c>
      <c r="F244" s="31" t="s">
        <v>16</v>
      </c>
      <c r="G244" s="32" t="s">
        <v>989</v>
      </c>
      <c r="H244" s="32" t="s">
        <v>990</v>
      </c>
      <c r="I244" s="91" t="s">
        <v>26</v>
      </c>
      <c r="J244" s="32"/>
      <c r="K244" s="108"/>
    </row>
    <row r="245" spans="1:11" ht="25">
      <c r="A245" s="154"/>
      <c r="B245" s="164"/>
      <c r="C245" s="167"/>
      <c r="D245" s="313" t="s">
        <v>3847</v>
      </c>
      <c r="E245" s="30" t="s">
        <v>991</v>
      </c>
      <c r="F245" s="31" t="s">
        <v>58</v>
      </c>
      <c r="G245" s="32" t="s">
        <v>992</v>
      </c>
      <c r="H245" s="32" t="s">
        <v>993</v>
      </c>
      <c r="I245" s="91" t="s">
        <v>19</v>
      </c>
      <c r="J245" s="32"/>
      <c r="K245" s="108"/>
    </row>
    <row r="246" spans="1:11" ht="25.5" thickBot="1">
      <c r="A246" s="154"/>
      <c r="B246" s="164"/>
      <c r="C246" s="168"/>
      <c r="D246" s="314" t="s">
        <v>3848</v>
      </c>
      <c r="E246" s="34" t="s">
        <v>994</v>
      </c>
      <c r="F246" s="35" t="s">
        <v>16</v>
      </c>
      <c r="G246" s="36" t="s">
        <v>995</v>
      </c>
      <c r="H246" s="36" t="s">
        <v>996</v>
      </c>
      <c r="I246" s="103" t="s">
        <v>19</v>
      </c>
      <c r="J246" s="36"/>
      <c r="K246" s="109"/>
    </row>
    <row r="247" spans="1:11" ht="25">
      <c r="A247" s="154"/>
      <c r="B247" s="164"/>
      <c r="C247" s="166" t="s">
        <v>997</v>
      </c>
      <c r="D247" s="316" t="s">
        <v>998</v>
      </c>
      <c r="E247" s="38" t="s">
        <v>999</v>
      </c>
      <c r="F247" s="27" t="s">
        <v>23</v>
      </c>
      <c r="G247" s="28" t="s">
        <v>1000</v>
      </c>
      <c r="H247" s="28" t="s">
        <v>1001</v>
      </c>
      <c r="I247" s="86" t="s">
        <v>26</v>
      </c>
      <c r="J247" s="28"/>
      <c r="K247" s="107"/>
    </row>
    <row r="248" spans="1:11" ht="25">
      <c r="A248" s="154"/>
      <c r="B248" s="164"/>
      <c r="C248" s="167"/>
      <c r="D248" s="311" t="s">
        <v>3849</v>
      </c>
      <c r="E248" s="30" t="s">
        <v>1002</v>
      </c>
      <c r="F248" s="31" t="s">
        <v>23</v>
      </c>
      <c r="G248" s="32" t="s">
        <v>1003</v>
      </c>
      <c r="H248" s="32" t="s">
        <v>1004</v>
      </c>
      <c r="I248" s="91" t="s">
        <v>19</v>
      </c>
      <c r="J248" s="32"/>
      <c r="K248" s="108"/>
    </row>
    <row r="249" spans="1:11" ht="25">
      <c r="A249" s="154"/>
      <c r="B249" s="164"/>
      <c r="C249" s="167"/>
      <c r="D249" s="312" t="s">
        <v>3850</v>
      </c>
      <c r="E249" s="30" t="s">
        <v>1005</v>
      </c>
      <c r="F249" s="31" t="s">
        <v>16</v>
      </c>
      <c r="G249" s="32" t="s">
        <v>1006</v>
      </c>
      <c r="H249" s="32" t="s">
        <v>1007</v>
      </c>
      <c r="I249" s="91" t="s">
        <v>26</v>
      </c>
      <c r="J249" s="32"/>
      <c r="K249" s="108"/>
    </row>
    <row r="250" spans="1:11" ht="25">
      <c r="A250" s="154"/>
      <c r="B250" s="164"/>
      <c r="C250" s="167"/>
      <c r="D250" s="313" t="s">
        <v>3851</v>
      </c>
      <c r="E250" s="30" t="s">
        <v>1008</v>
      </c>
      <c r="F250" s="31" t="s">
        <v>16</v>
      </c>
      <c r="G250" s="32" t="s">
        <v>1009</v>
      </c>
      <c r="H250" s="32" t="s">
        <v>1010</v>
      </c>
      <c r="I250" s="91" t="s">
        <v>19</v>
      </c>
      <c r="J250" s="32"/>
      <c r="K250" s="108"/>
    </row>
    <row r="251" spans="1:11" ht="25.5" thickBot="1">
      <c r="A251" s="154"/>
      <c r="B251" s="164"/>
      <c r="C251" s="168"/>
      <c r="D251" s="314" t="s">
        <v>3837</v>
      </c>
      <c r="E251" s="34" t="s">
        <v>1011</v>
      </c>
      <c r="F251" s="35" t="s">
        <v>16</v>
      </c>
      <c r="G251" s="36" t="s">
        <v>1012</v>
      </c>
      <c r="H251" s="36" t="s">
        <v>1013</v>
      </c>
      <c r="I251" s="103" t="s">
        <v>26</v>
      </c>
      <c r="J251" s="36"/>
      <c r="K251" s="109"/>
    </row>
    <row r="252" spans="1:11" ht="25">
      <c r="A252" s="154"/>
      <c r="B252" s="164"/>
      <c r="C252" s="166" t="s">
        <v>1014</v>
      </c>
      <c r="D252" s="316" t="s">
        <v>1015</v>
      </c>
      <c r="E252" s="38" t="s">
        <v>1016</v>
      </c>
      <c r="F252" s="27" t="s">
        <v>16</v>
      </c>
      <c r="G252" s="28" t="s">
        <v>1017</v>
      </c>
      <c r="H252" s="28" t="s">
        <v>1018</v>
      </c>
      <c r="I252" s="86" t="s">
        <v>19</v>
      </c>
      <c r="J252" s="28"/>
      <c r="K252" s="107"/>
    </row>
    <row r="253" spans="1:11" ht="25">
      <c r="A253" s="154"/>
      <c r="B253" s="164"/>
      <c r="C253" s="167"/>
      <c r="D253" s="311" t="s">
        <v>3836</v>
      </c>
      <c r="E253" s="30" t="s">
        <v>1019</v>
      </c>
      <c r="F253" s="31" t="s">
        <v>16</v>
      </c>
      <c r="G253" s="32" t="s">
        <v>1020</v>
      </c>
      <c r="H253" s="32" t="s">
        <v>1021</v>
      </c>
      <c r="I253" s="91" t="s">
        <v>26</v>
      </c>
      <c r="J253" s="32"/>
      <c r="K253" s="108"/>
    </row>
    <row r="254" spans="1:11" ht="25">
      <c r="A254" s="154"/>
      <c r="B254" s="164"/>
      <c r="C254" s="167"/>
      <c r="D254" s="312" t="s">
        <v>3835</v>
      </c>
      <c r="E254" s="30" t="s">
        <v>1022</v>
      </c>
      <c r="F254" s="31" t="s">
        <v>23</v>
      </c>
      <c r="G254" s="32" t="s">
        <v>1023</v>
      </c>
      <c r="H254" s="32" t="s">
        <v>1024</v>
      </c>
      <c r="I254" s="91" t="s">
        <v>19</v>
      </c>
      <c r="J254" s="32"/>
      <c r="K254" s="108"/>
    </row>
    <row r="255" spans="1:11" ht="25">
      <c r="A255" s="154"/>
      <c r="B255" s="164"/>
      <c r="C255" s="167"/>
      <c r="D255" s="313" t="s">
        <v>1025</v>
      </c>
      <c r="E255" s="30" t="s">
        <v>1026</v>
      </c>
      <c r="F255" s="31" t="s">
        <v>58</v>
      </c>
      <c r="G255" s="32" t="s">
        <v>1027</v>
      </c>
      <c r="H255" s="32" t="s">
        <v>1028</v>
      </c>
      <c r="I255" s="91" t="s">
        <v>26</v>
      </c>
      <c r="J255" s="32"/>
      <c r="K255" s="108"/>
    </row>
    <row r="256" spans="1:11" ht="25.5" thickBot="1">
      <c r="A256" s="155"/>
      <c r="B256" s="165"/>
      <c r="C256" s="168"/>
      <c r="D256" s="314" t="s">
        <v>3834</v>
      </c>
      <c r="E256" s="34" t="s">
        <v>1029</v>
      </c>
      <c r="F256" s="35" t="s">
        <v>16</v>
      </c>
      <c r="G256" s="36" t="s">
        <v>1030</v>
      </c>
      <c r="H256" s="36" t="s">
        <v>1031</v>
      </c>
      <c r="I256" s="103" t="s">
        <v>26</v>
      </c>
      <c r="J256" s="36"/>
      <c r="K256" s="109"/>
    </row>
    <row r="257" spans="1:10" ht="15.5">
      <c r="A257" s="190" t="s">
        <v>1035</v>
      </c>
      <c r="B257" s="193" t="s">
        <v>1036</v>
      </c>
      <c r="C257" s="141" t="s">
        <v>1037</v>
      </c>
      <c r="D257" s="131"/>
      <c r="E257" s="131" t="s">
        <v>3862</v>
      </c>
      <c r="F257" s="131"/>
      <c r="G257" s="131"/>
      <c r="H257" s="132"/>
      <c r="I257" s="131"/>
      <c r="J257" s="133"/>
    </row>
    <row r="258" spans="1:10" ht="15.5">
      <c r="A258" s="191"/>
      <c r="B258" s="194"/>
      <c r="C258" s="141" t="s">
        <v>1038</v>
      </c>
      <c r="D258" s="131"/>
      <c r="E258" s="131" t="s">
        <v>3862</v>
      </c>
      <c r="F258" s="131"/>
      <c r="G258" s="131"/>
      <c r="H258" s="132"/>
      <c r="I258" s="131"/>
      <c r="J258" s="133"/>
    </row>
    <row r="259" spans="1:10" ht="15.5">
      <c r="A259" s="191"/>
      <c r="B259" s="194"/>
      <c r="C259" s="141" t="s">
        <v>1039</v>
      </c>
      <c r="D259" s="131"/>
      <c r="E259" s="131" t="s">
        <v>6036</v>
      </c>
      <c r="F259" s="131"/>
      <c r="G259" s="131"/>
      <c r="H259" s="132"/>
      <c r="I259" s="131"/>
      <c r="J259" s="133"/>
    </row>
    <row r="260" spans="1:10" ht="15.5">
      <c r="A260" s="191"/>
      <c r="B260" s="194"/>
      <c r="C260" s="141" t="s">
        <v>1040</v>
      </c>
      <c r="D260" s="131"/>
      <c r="E260" s="131" t="s">
        <v>6036</v>
      </c>
      <c r="F260" s="131"/>
      <c r="G260" s="131"/>
      <c r="H260" s="132"/>
      <c r="I260" s="131"/>
      <c r="J260" s="133"/>
    </row>
    <row r="261" spans="1:10" ht="15.5">
      <c r="A261" s="191"/>
      <c r="B261" s="195"/>
      <c r="C261" s="141" t="s">
        <v>1041</v>
      </c>
      <c r="D261" s="131"/>
      <c r="E261" s="131" t="s">
        <v>4598</v>
      </c>
      <c r="F261" s="131"/>
      <c r="G261" s="131"/>
      <c r="H261" s="132"/>
      <c r="I261" s="131"/>
      <c r="J261" s="133"/>
    </row>
    <row r="262" spans="1:10" ht="15.5">
      <c r="A262" s="191"/>
      <c r="B262" s="193" t="s">
        <v>1042</v>
      </c>
      <c r="C262" s="141" t="s">
        <v>1043</v>
      </c>
      <c r="D262" s="131"/>
      <c r="E262" s="131" t="s">
        <v>4494</v>
      </c>
      <c r="F262" s="131"/>
      <c r="G262" s="131"/>
      <c r="H262" s="132"/>
      <c r="I262" s="131"/>
      <c r="J262" s="133"/>
    </row>
    <row r="263" spans="1:10" ht="15.5">
      <c r="A263" s="191"/>
      <c r="B263" s="194"/>
      <c r="C263" s="141" t="s">
        <v>1044</v>
      </c>
      <c r="D263" s="131"/>
      <c r="E263" s="131" t="s">
        <v>4598</v>
      </c>
      <c r="F263" s="131"/>
      <c r="G263" s="131"/>
      <c r="H263" s="132"/>
      <c r="I263" s="131"/>
      <c r="J263" s="133"/>
    </row>
    <row r="264" spans="1:10" ht="15.5">
      <c r="A264" s="191"/>
      <c r="B264" s="194"/>
      <c r="C264" s="141" t="s">
        <v>1045</v>
      </c>
      <c r="D264" s="131"/>
      <c r="E264" s="131" t="s">
        <v>6036</v>
      </c>
      <c r="F264" s="131"/>
      <c r="G264" s="131"/>
      <c r="H264" s="132"/>
      <c r="I264" s="131"/>
      <c r="J264" s="133"/>
    </row>
    <row r="265" spans="1:10" ht="15.5">
      <c r="A265" s="191"/>
      <c r="B265" s="194"/>
      <c r="C265" s="141" t="s">
        <v>1046</v>
      </c>
      <c r="D265" s="131"/>
      <c r="E265" s="131" t="s">
        <v>4598</v>
      </c>
      <c r="F265" s="131"/>
      <c r="G265" s="131"/>
      <c r="H265" s="132"/>
      <c r="I265" s="131"/>
      <c r="J265" s="133"/>
    </row>
    <row r="266" spans="1:10" ht="15.5">
      <c r="A266" s="191"/>
      <c r="B266" s="195"/>
      <c r="C266" s="141" t="s">
        <v>1047</v>
      </c>
      <c r="D266" s="131"/>
      <c r="E266" s="131" t="s">
        <v>3862</v>
      </c>
      <c r="F266" s="131"/>
      <c r="G266" s="131"/>
      <c r="H266" s="132"/>
      <c r="I266" s="131"/>
      <c r="J266" s="133"/>
    </row>
    <row r="267" spans="1:10" ht="15.5">
      <c r="A267" s="191"/>
      <c r="B267" s="193" t="s">
        <v>1048</v>
      </c>
      <c r="C267" s="141" t="s">
        <v>1049</v>
      </c>
      <c r="D267" s="131"/>
      <c r="E267" s="131" t="s">
        <v>3862</v>
      </c>
      <c r="F267" s="131"/>
      <c r="G267" s="131"/>
      <c r="H267" s="132"/>
      <c r="I267" s="131"/>
      <c r="J267" s="133"/>
    </row>
    <row r="268" spans="1:10" ht="15.5">
      <c r="A268" s="191"/>
      <c r="B268" s="194"/>
      <c r="C268" s="141" t="s">
        <v>1050</v>
      </c>
      <c r="D268" s="131"/>
      <c r="E268" s="131" t="s">
        <v>6036</v>
      </c>
      <c r="F268" s="131"/>
      <c r="G268" s="131"/>
      <c r="H268" s="132"/>
      <c r="I268" s="131"/>
      <c r="J268" s="133"/>
    </row>
    <row r="269" spans="1:10" ht="15.5">
      <c r="A269" s="191"/>
      <c r="B269" s="194"/>
      <c r="C269" s="141" t="s">
        <v>1051</v>
      </c>
      <c r="D269" s="131"/>
      <c r="E269" s="131" t="s">
        <v>4598</v>
      </c>
      <c r="F269" s="131"/>
      <c r="G269" s="131"/>
      <c r="H269" s="132"/>
      <c r="I269" s="131"/>
      <c r="J269" s="133"/>
    </row>
    <row r="270" spans="1:10" ht="15.5">
      <c r="A270" s="191"/>
      <c r="B270" s="194"/>
      <c r="C270" s="141" t="s">
        <v>1052</v>
      </c>
      <c r="D270" s="131"/>
      <c r="E270" s="131" t="s">
        <v>6036</v>
      </c>
      <c r="F270" s="131"/>
      <c r="G270" s="131"/>
      <c r="H270" s="132"/>
      <c r="I270" s="131"/>
      <c r="J270" s="133"/>
    </row>
    <row r="271" spans="1:10" ht="15.5">
      <c r="A271" s="191"/>
      <c r="B271" s="195"/>
      <c r="C271" s="141" t="s">
        <v>1053</v>
      </c>
      <c r="D271" s="131"/>
      <c r="E271" s="131" t="s">
        <v>3862</v>
      </c>
      <c r="F271" s="131"/>
      <c r="G271" s="131"/>
      <c r="H271" s="132"/>
      <c r="I271" s="131"/>
      <c r="J271" s="133"/>
    </row>
    <row r="272" spans="1:10" ht="15.5">
      <c r="A272" s="191"/>
      <c r="B272" s="193" t="s">
        <v>1054</v>
      </c>
      <c r="C272" s="141" t="s">
        <v>1055</v>
      </c>
      <c r="D272" s="131"/>
      <c r="E272" s="131" t="s">
        <v>3862</v>
      </c>
      <c r="F272" s="131"/>
      <c r="G272" s="131"/>
      <c r="H272" s="132"/>
      <c r="I272" s="131"/>
      <c r="J272" s="133"/>
    </row>
    <row r="273" spans="1:10" ht="15.5">
      <c r="A273" s="191"/>
      <c r="B273" s="194"/>
      <c r="C273" s="141" t="s">
        <v>1056</v>
      </c>
      <c r="D273" s="131"/>
      <c r="E273" s="131" t="s">
        <v>4598</v>
      </c>
      <c r="F273" s="131"/>
      <c r="G273" s="131"/>
      <c r="H273" s="132"/>
      <c r="I273" s="131"/>
      <c r="J273" s="133"/>
    </row>
    <row r="274" spans="1:10" ht="15.5">
      <c r="A274" s="191"/>
      <c r="B274" s="194"/>
      <c r="C274" s="141" t="s">
        <v>1057</v>
      </c>
      <c r="D274" s="131"/>
      <c r="E274" s="131" t="s">
        <v>4598</v>
      </c>
      <c r="F274" s="131"/>
      <c r="G274" s="131"/>
      <c r="H274" s="132"/>
      <c r="I274" s="131"/>
      <c r="J274" s="133"/>
    </row>
    <row r="275" spans="1:10" ht="15.5">
      <c r="A275" s="191"/>
      <c r="B275" s="194"/>
      <c r="C275" s="142" t="s">
        <v>1058</v>
      </c>
      <c r="D275" s="131"/>
      <c r="E275" s="131" t="s">
        <v>6036</v>
      </c>
      <c r="F275" s="131"/>
      <c r="G275" s="131"/>
      <c r="H275" s="132"/>
      <c r="I275" s="131"/>
      <c r="J275" s="133"/>
    </row>
    <row r="276" spans="1:10" ht="15.5">
      <c r="A276" s="191"/>
      <c r="B276" s="195"/>
      <c r="C276" s="141" t="s">
        <v>1059</v>
      </c>
      <c r="D276" s="131"/>
      <c r="E276" s="131" t="s">
        <v>3862</v>
      </c>
      <c r="F276" s="131"/>
      <c r="G276" s="131"/>
      <c r="H276" s="132"/>
      <c r="I276" s="131"/>
      <c r="J276" s="133"/>
    </row>
    <row r="277" spans="1:10" ht="15.5">
      <c r="A277" s="191"/>
      <c r="B277" s="193" t="s">
        <v>1060</v>
      </c>
      <c r="C277" s="143" t="s">
        <v>1061</v>
      </c>
      <c r="D277" s="131"/>
      <c r="E277" s="131" t="s">
        <v>3862</v>
      </c>
      <c r="F277" s="131"/>
      <c r="G277" s="131"/>
      <c r="H277" s="132"/>
      <c r="I277" s="131"/>
      <c r="J277" s="133"/>
    </row>
    <row r="278" spans="1:10" ht="15.5">
      <c r="A278" s="191"/>
      <c r="B278" s="194"/>
      <c r="C278" s="143" t="s">
        <v>1062</v>
      </c>
      <c r="D278" s="131"/>
      <c r="E278" s="131" t="s">
        <v>6036</v>
      </c>
      <c r="F278" s="131"/>
      <c r="G278" s="131"/>
      <c r="H278" s="132"/>
      <c r="I278" s="131"/>
      <c r="J278" s="133"/>
    </row>
    <row r="279" spans="1:10" ht="15.5">
      <c r="A279" s="191"/>
      <c r="B279" s="194"/>
      <c r="C279" s="143" t="s">
        <v>1063</v>
      </c>
      <c r="D279" s="131"/>
      <c r="E279" s="131" t="s">
        <v>4598</v>
      </c>
      <c r="F279" s="131"/>
      <c r="G279" s="131"/>
      <c r="H279" s="132"/>
      <c r="I279" s="131"/>
      <c r="J279" s="133"/>
    </row>
    <row r="280" spans="1:10" ht="15.5">
      <c r="A280" s="191"/>
      <c r="B280" s="194"/>
      <c r="C280" s="143" t="s">
        <v>1064</v>
      </c>
      <c r="D280" s="131"/>
      <c r="E280" s="131" t="s">
        <v>6036</v>
      </c>
      <c r="F280" s="131"/>
      <c r="G280" s="131"/>
      <c r="H280" s="132"/>
      <c r="I280" s="131"/>
      <c r="J280" s="133"/>
    </row>
    <row r="281" spans="1:10" ht="15.5">
      <c r="A281" s="191"/>
      <c r="B281" s="195"/>
      <c r="C281" s="143" t="s">
        <v>1065</v>
      </c>
      <c r="D281" s="131"/>
      <c r="E281" s="131" t="s">
        <v>4598</v>
      </c>
      <c r="F281" s="131"/>
      <c r="G281" s="131"/>
      <c r="H281" s="132"/>
      <c r="I281" s="131"/>
      <c r="J281" s="133"/>
    </row>
    <row r="282" spans="1:10" ht="15.5">
      <c r="A282" s="191"/>
      <c r="B282" s="196" t="s">
        <v>1066</v>
      </c>
      <c r="C282" s="143" t="s">
        <v>1067</v>
      </c>
      <c r="D282" s="131"/>
      <c r="E282" s="131" t="s">
        <v>6036</v>
      </c>
      <c r="F282" s="131"/>
      <c r="G282" s="131"/>
      <c r="H282" s="132"/>
      <c r="I282" s="131"/>
      <c r="J282" s="133"/>
    </row>
    <row r="283" spans="1:10" ht="15.5">
      <c r="A283" s="191"/>
      <c r="B283" s="197"/>
      <c r="C283" s="143" t="s">
        <v>1068</v>
      </c>
      <c r="D283" s="131"/>
      <c r="E283" s="131" t="s">
        <v>6036</v>
      </c>
      <c r="F283" s="131"/>
      <c r="G283" s="131"/>
      <c r="H283" s="132"/>
      <c r="I283" s="131"/>
      <c r="J283" s="133"/>
    </row>
    <row r="284" spans="1:10" ht="15.5">
      <c r="A284" s="191"/>
      <c r="B284" s="197"/>
      <c r="C284" s="143" t="s">
        <v>1069</v>
      </c>
      <c r="D284" s="131"/>
      <c r="E284" s="131" t="s">
        <v>3862</v>
      </c>
      <c r="F284" s="131"/>
      <c r="G284" s="131"/>
      <c r="H284" s="132"/>
      <c r="I284" s="131"/>
      <c r="J284" s="133"/>
    </row>
    <row r="285" spans="1:10" ht="15.5">
      <c r="A285" s="191"/>
      <c r="B285" s="197"/>
      <c r="C285" s="143" t="s">
        <v>1070</v>
      </c>
      <c r="D285" s="131"/>
      <c r="E285" s="131" t="s">
        <v>3862</v>
      </c>
      <c r="F285" s="131"/>
      <c r="G285" s="131"/>
      <c r="H285" s="132"/>
      <c r="I285" s="131"/>
      <c r="J285" s="133"/>
    </row>
    <row r="286" spans="1:10" ht="16" thickBot="1">
      <c r="A286" s="192"/>
      <c r="B286" s="198"/>
      <c r="C286" s="144" t="s">
        <v>1071</v>
      </c>
      <c r="D286" s="10" t="s">
        <v>1072</v>
      </c>
      <c r="E286" s="8" t="s">
        <v>16</v>
      </c>
      <c r="F286" s="10" t="s">
        <v>1073</v>
      </c>
      <c r="G286" s="10" t="s">
        <v>1074</v>
      </c>
      <c r="H286" s="134" t="s">
        <v>213</v>
      </c>
      <c r="I286" s="10" t="s">
        <v>20</v>
      </c>
      <c r="J286" s="4"/>
    </row>
    <row r="287" spans="1:10" ht="15.5">
      <c r="A287" s="183" t="s">
        <v>1075</v>
      </c>
      <c r="B287" s="174" t="s">
        <v>1076</v>
      </c>
      <c r="C287" s="145" t="s">
        <v>1077</v>
      </c>
      <c r="D287" s="10"/>
      <c r="E287" s="8" t="s">
        <v>16</v>
      </c>
      <c r="F287" s="10"/>
      <c r="G287" s="10"/>
      <c r="H287" s="134"/>
      <c r="I287" s="10"/>
      <c r="J287" s="4"/>
    </row>
    <row r="288" spans="1:10" ht="15.5">
      <c r="A288" s="181"/>
      <c r="B288" s="175"/>
      <c r="C288" s="145" t="s">
        <v>1078</v>
      </c>
      <c r="D288" s="10"/>
      <c r="E288" s="8" t="s">
        <v>16</v>
      </c>
      <c r="F288" s="10"/>
      <c r="G288" s="10"/>
      <c r="H288" s="134"/>
      <c r="I288" s="10"/>
      <c r="J288" s="4"/>
    </row>
    <row r="289" spans="1:10" ht="15.5">
      <c r="A289" s="181"/>
      <c r="B289" s="175"/>
      <c r="C289" s="145" t="s">
        <v>1079</v>
      </c>
      <c r="D289" s="10"/>
      <c r="E289" s="8" t="s">
        <v>16</v>
      </c>
      <c r="F289" s="10"/>
      <c r="G289" s="10"/>
      <c r="H289" s="134"/>
      <c r="I289" s="10"/>
      <c r="J289" s="4"/>
    </row>
    <row r="290" spans="1:10" ht="15.5">
      <c r="A290" s="181"/>
      <c r="B290" s="175"/>
      <c r="C290" s="145" t="s">
        <v>1080</v>
      </c>
      <c r="D290" s="10"/>
      <c r="E290" s="8" t="s">
        <v>16</v>
      </c>
      <c r="F290" s="10"/>
      <c r="G290" s="10"/>
      <c r="H290" s="134"/>
      <c r="I290" s="10"/>
      <c r="J290" s="4"/>
    </row>
    <row r="291" spans="1:10" ht="15.5">
      <c r="A291" s="181"/>
      <c r="B291" s="176"/>
      <c r="C291" s="145" t="s">
        <v>1081</v>
      </c>
      <c r="D291" s="10"/>
      <c r="E291" s="8" t="s">
        <v>16</v>
      </c>
      <c r="F291" s="10"/>
      <c r="G291" s="10"/>
      <c r="H291" s="134"/>
      <c r="I291" s="10"/>
      <c r="J291" s="4"/>
    </row>
    <row r="292" spans="1:10" ht="15.5">
      <c r="A292" s="181"/>
      <c r="B292" s="174" t="s">
        <v>1082</v>
      </c>
      <c r="C292" s="145" t="s">
        <v>1083</v>
      </c>
      <c r="D292" s="10"/>
      <c r="E292" s="8" t="s">
        <v>16</v>
      </c>
      <c r="F292" s="10"/>
      <c r="G292" s="10"/>
      <c r="H292" s="134"/>
      <c r="I292" s="10"/>
      <c r="J292" s="4"/>
    </row>
    <row r="293" spans="1:10" ht="15.5">
      <c r="A293" s="181"/>
      <c r="B293" s="175"/>
      <c r="C293" s="145" t="s">
        <v>1084</v>
      </c>
      <c r="D293" s="10"/>
      <c r="E293" s="8" t="s">
        <v>16</v>
      </c>
      <c r="F293" s="10"/>
      <c r="G293" s="10"/>
      <c r="H293" s="134"/>
      <c r="I293" s="10"/>
      <c r="J293" s="4"/>
    </row>
    <row r="294" spans="1:10" ht="15.5">
      <c r="A294" s="181"/>
      <c r="B294" s="175"/>
      <c r="C294" s="145" t="s">
        <v>1085</v>
      </c>
      <c r="D294" s="10"/>
      <c r="E294" s="8" t="s">
        <v>16</v>
      </c>
      <c r="F294" s="10"/>
      <c r="G294" s="10"/>
      <c r="H294" s="134"/>
      <c r="I294" s="10"/>
      <c r="J294" s="4"/>
    </row>
    <row r="295" spans="1:10" ht="15.5">
      <c r="A295" s="181"/>
      <c r="B295" s="175"/>
      <c r="C295" s="145" t="s">
        <v>1086</v>
      </c>
      <c r="D295" s="10"/>
      <c r="E295" s="8" t="s">
        <v>16</v>
      </c>
      <c r="F295" s="10"/>
      <c r="G295" s="10"/>
      <c r="H295" s="134"/>
      <c r="I295" s="10"/>
      <c r="J295" s="4"/>
    </row>
    <row r="296" spans="1:10" ht="15.5">
      <c r="A296" s="181"/>
      <c r="B296" s="176"/>
      <c r="C296" s="145" t="s">
        <v>1087</v>
      </c>
      <c r="D296" s="10"/>
      <c r="E296" s="8" t="s">
        <v>23</v>
      </c>
      <c r="F296" s="10"/>
      <c r="G296" s="10"/>
      <c r="H296" s="134"/>
      <c r="I296" s="10"/>
      <c r="J296" s="4"/>
    </row>
    <row r="297" spans="1:10" ht="15.5">
      <c r="A297" s="181"/>
      <c r="B297" s="174" t="s">
        <v>1088</v>
      </c>
      <c r="C297" s="145" t="s">
        <v>1089</v>
      </c>
      <c r="D297" s="10"/>
      <c r="E297" s="8" t="s">
        <v>58</v>
      </c>
      <c r="F297" s="10"/>
      <c r="G297" s="10"/>
      <c r="H297" s="134"/>
      <c r="I297" s="10"/>
      <c r="J297" s="4"/>
    </row>
    <row r="298" spans="1:10" ht="15.5">
      <c r="A298" s="181"/>
      <c r="B298" s="175"/>
      <c r="C298" s="145" t="s">
        <v>1090</v>
      </c>
      <c r="D298" s="10"/>
      <c r="E298" s="8" t="s">
        <v>58</v>
      </c>
      <c r="F298" s="10"/>
      <c r="G298" s="10"/>
      <c r="H298" s="134"/>
      <c r="I298" s="10"/>
      <c r="J298" s="4"/>
    </row>
    <row r="299" spans="1:10" ht="15.5">
      <c r="A299" s="181"/>
      <c r="B299" s="175"/>
      <c r="C299" s="145" t="s">
        <v>1091</v>
      </c>
      <c r="D299" s="10"/>
      <c r="E299" s="8" t="s">
        <v>58</v>
      </c>
      <c r="F299" s="10"/>
      <c r="G299" s="10"/>
      <c r="H299" s="134"/>
      <c r="I299" s="10"/>
      <c r="J299" s="4"/>
    </row>
    <row r="300" spans="1:10" ht="15.5">
      <c r="A300" s="181"/>
      <c r="B300" s="175"/>
      <c r="C300" s="145" t="s">
        <v>1092</v>
      </c>
      <c r="D300" s="10"/>
      <c r="E300" s="8" t="s">
        <v>58</v>
      </c>
      <c r="F300" s="10"/>
      <c r="G300" s="10"/>
      <c r="H300" s="134"/>
      <c r="I300" s="10"/>
      <c r="J300" s="4"/>
    </row>
    <row r="301" spans="1:10" ht="15.5">
      <c r="A301" s="181"/>
      <c r="B301" s="176"/>
      <c r="C301" s="145" t="s">
        <v>1093</v>
      </c>
      <c r="D301" s="10"/>
      <c r="E301" s="8" t="s">
        <v>58</v>
      </c>
      <c r="F301" s="10"/>
      <c r="G301" s="10"/>
      <c r="H301" s="134"/>
      <c r="I301" s="10"/>
      <c r="J301" s="4"/>
    </row>
    <row r="302" spans="1:10" ht="15.5">
      <c r="A302" s="181"/>
      <c r="B302" s="174" t="s">
        <v>1094</v>
      </c>
      <c r="C302" s="145" t="s">
        <v>1095</v>
      </c>
      <c r="D302" s="10"/>
      <c r="E302" s="8" t="s">
        <v>23</v>
      </c>
      <c r="F302" s="10"/>
      <c r="G302" s="10"/>
      <c r="H302" s="134"/>
      <c r="I302" s="10"/>
      <c r="J302" s="4"/>
    </row>
    <row r="303" spans="1:10" ht="15.5">
      <c r="A303" s="181"/>
      <c r="B303" s="175"/>
      <c r="C303" s="145" t="s">
        <v>1096</v>
      </c>
      <c r="D303" s="10"/>
      <c r="E303" s="8" t="s">
        <v>23</v>
      </c>
      <c r="F303" s="10"/>
      <c r="G303" s="10"/>
      <c r="H303" s="134"/>
      <c r="I303" s="10"/>
      <c r="J303" s="4"/>
    </row>
    <row r="304" spans="1:10" ht="15.5">
      <c r="A304" s="181"/>
      <c r="B304" s="175"/>
      <c r="C304" s="145" t="s">
        <v>1097</v>
      </c>
      <c r="D304" s="10"/>
      <c r="E304" s="8" t="s">
        <v>16</v>
      </c>
      <c r="F304" s="10"/>
      <c r="G304" s="10"/>
      <c r="H304" s="134"/>
      <c r="I304" s="10"/>
      <c r="J304" s="4"/>
    </row>
    <row r="305" spans="1:10" ht="15.5">
      <c r="A305" s="181"/>
      <c r="B305" s="175"/>
      <c r="C305" s="145" t="s">
        <v>1098</v>
      </c>
      <c r="D305" s="10"/>
      <c r="E305" s="8" t="s">
        <v>16</v>
      </c>
      <c r="F305" s="10"/>
      <c r="G305" s="10"/>
      <c r="H305" s="134"/>
      <c r="I305" s="10"/>
      <c r="J305" s="4"/>
    </row>
    <row r="306" spans="1:10" ht="15.5">
      <c r="A306" s="181"/>
      <c r="B306" s="176"/>
      <c r="C306" s="145" t="s">
        <v>1099</v>
      </c>
      <c r="D306" s="10"/>
      <c r="E306" s="8" t="s">
        <v>16</v>
      </c>
      <c r="F306" s="10"/>
      <c r="G306" s="10"/>
      <c r="H306" s="134"/>
      <c r="I306" s="10"/>
      <c r="J306" s="4"/>
    </row>
    <row r="307" spans="1:10" ht="15.5">
      <c r="A307" s="181"/>
      <c r="B307" s="174" t="s">
        <v>1100</v>
      </c>
      <c r="C307" s="145" t="s">
        <v>1101</v>
      </c>
      <c r="D307" s="10"/>
      <c r="E307" s="8" t="s">
        <v>16</v>
      </c>
      <c r="F307" s="10"/>
      <c r="G307" s="10"/>
      <c r="H307" s="134"/>
      <c r="I307" s="10"/>
      <c r="J307" s="4"/>
    </row>
    <row r="308" spans="1:10" ht="15.5">
      <c r="A308" s="181"/>
      <c r="B308" s="175"/>
      <c r="C308" s="145" t="s">
        <v>1102</v>
      </c>
      <c r="D308" s="10"/>
      <c r="E308" s="8" t="s">
        <v>16</v>
      </c>
      <c r="F308" s="10"/>
      <c r="G308" s="10"/>
      <c r="H308" s="134"/>
      <c r="I308" s="10"/>
      <c r="J308" s="4"/>
    </row>
    <row r="309" spans="1:10" ht="15.5">
      <c r="A309" s="181"/>
      <c r="B309" s="175"/>
      <c r="C309" s="145" t="s">
        <v>1103</v>
      </c>
      <c r="D309" s="10"/>
      <c r="E309" s="8" t="s">
        <v>16</v>
      </c>
      <c r="F309" s="10"/>
      <c r="G309" s="10"/>
      <c r="H309" s="134"/>
      <c r="I309" s="10"/>
      <c r="J309" s="4"/>
    </row>
    <row r="310" spans="1:10" ht="15.5">
      <c r="A310" s="181"/>
      <c r="B310" s="175"/>
      <c r="C310" s="145" t="s">
        <v>1104</v>
      </c>
      <c r="D310" s="10"/>
      <c r="E310" s="8" t="s">
        <v>16</v>
      </c>
      <c r="F310" s="10"/>
      <c r="G310" s="10"/>
      <c r="H310" s="134"/>
      <c r="I310" s="10"/>
      <c r="J310" s="4"/>
    </row>
    <row r="311" spans="1:10" ht="15.5">
      <c r="A311" s="181"/>
      <c r="B311" s="176"/>
      <c r="C311" s="145" t="s">
        <v>1105</v>
      </c>
      <c r="D311" s="10"/>
      <c r="E311" s="8" t="s">
        <v>16</v>
      </c>
      <c r="F311" s="10"/>
      <c r="G311" s="10"/>
      <c r="H311" s="134"/>
      <c r="I311" s="10"/>
      <c r="J311" s="4"/>
    </row>
    <row r="312" spans="1:10" ht="15.5">
      <c r="A312" s="181"/>
      <c r="B312" s="174" t="s">
        <v>1106</v>
      </c>
      <c r="C312" s="145" t="s">
        <v>1107</v>
      </c>
      <c r="D312" s="10"/>
      <c r="E312" s="8" t="s">
        <v>16</v>
      </c>
      <c r="F312" s="10"/>
      <c r="G312" s="10"/>
      <c r="H312" s="134"/>
      <c r="I312" s="10"/>
      <c r="J312" s="4"/>
    </row>
    <row r="313" spans="1:10" ht="15.5">
      <c r="A313" s="181"/>
      <c r="B313" s="175"/>
      <c r="C313" s="145" t="s">
        <v>1108</v>
      </c>
      <c r="D313" s="10"/>
      <c r="E313" s="8" t="s">
        <v>16</v>
      </c>
      <c r="F313" s="10"/>
      <c r="G313" s="10"/>
      <c r="H313" s="134"/>
      <c r="I313" s="10"/>
      <c r="J313" s="4"/>
    </row>
    <row r="314" spans="1:10" ht="15.5">
      <c r="A314" s="181"/>
      <c r="B314" s="175"/>
      <c r="C314" s="145" t="s">
        <v>1109</v>
      </c>
      <c r="D314" s="10"/>
      <c r="E314" s="8" t="s">
        <v>16</v>
      </c>
      <c r="F314" s="10"/>
      <c r="G314" s="10"/>
      <c r="H314" s="134"/>
      <c r="I314" s="10"/>
      <c r="J314" s="4"/>
    </row>
    <row r="315" spans="1:10" ht="15.5">
      <c r="A315" s="181"/>
      <c r="B315" s="175"/>
      <c r="C315" s="145" t="s">
        <v>1110</v>
      </c>
      <c r="D315" s="10"/>
      <c r="E315" s="8" t="s">
        <v>16</v>
      </c>
      <c r="F315" s="10"/>
      <c r="G315" s="10"/>
      <c r="H315" s="134"/>
      <c r="I315" s="10"/>
      <c r="J315" s="4"/>
    </row>
    <row r="316" spans="1:10" ht="16" thickBot="1">
      <c r="A316" s="182"/>
      <c r="B316" s="176"/>
      <c r="C316" s="144" t="s">
        <v>1111</v>
      </c>
      <c r="D316" s="10" t="s">
        <v>1112</v>
      </c>
      <c r="E316" s="8" t="s">
        <v>16</v>
      </c>
      <c r="F316" s="10" t="s">
        <v>1113</v>
      </c>
      <c r="G316" s="10" t="s">
        <v>1114</v>
      </c>
      <c r="H316" s="134" t="s">
        <v>26</v>
      </c>
      <c r="I316" s="10" t="s">
        <v>1115</v>
      </c>
      <c r="J316" s="2"/>
    </row>
    <row r="317" spans="1:10" ht="15.5">
      <c r="A317" s="183" t="s">
        <v>1116</v>
      </c>
      <c r="B317" s="174" t="s">
        <v>1117</v>
      </c>
      <c r="C317" s="145" t="s">
        <v>1118</v>
      </c>
      <c r="D317" s="10"/>
      <c r="E317" s="8" t="s">
        <v>16</v>
      </c>
      <c r="F317" s="10"/>
      <c r="G317" s="10"/>
      <c r="H317" s="134"/>
      <c r="I317" s="10"/>
      <c r="J317" s="2"/>
    </row>
    <row r="318" spans="1:10" ht="15.5">
      <c r="A318" s="181"/>
      <c r="B318" s="175"/>
      <c r="C318" s="145" t="s">
        <v>1119</v>
      </c>
      <c r="D318" s="10"/>
      <c r="E318" s="8" t="s">
        <v>16</v>
      </c>
      <c r="F318" s="10"/>
      <c r="G318" s="10"/>
      <c r="H318" s="134"/>
      <c r="I318" s="10"/>
      <c r="J318" s="2"/>
    </row>
    <row r="319" spans="1:10" ht="15.5">
      <c r="A319" s="181"/>
      <c r="B319" s="175"/>
      <c r="C319" s="145" t="s">
        <v>1120</v>
      </c>
      <c r="D319" s="10"/>
      <c r="E319" s="8" t="s">
        <v>16</v>
      </c>
      <c r="F319" s="10"/>
      <c r="G319" s="10"/>
      <c r="H319" s="134"/>
      <c r="I319" s="10"/>
      <c r="J319" s="2"/>
    </row>
    <row r="320" spans="1:10" ht="15.5">
      <c r="A320" s="181"/>
      <c r="B320" s="175"/>
      <c r="C320" s="145" t="s">
        <v>1121</v>
      </c>
      <c r="D320" s="10"/>
      <c r="E320" s="8" t="s">
        <v>16</v>
      </c>
      <c r="F320" s="10"/>
      <c r="G320" s="10"/>
      <c r="H320" s="134"/>
      <c r="I320" s="10"/>
      <c r="J320" s="2"/>
    </row>
    <row r="321" spans="1:10" ht="15.5">
      <c r="A321" s="181"/>
      <c r="B321" s="176"/>
      <c r="C321" s="145" t="s">
        <v>1122</v>
      </c>
      <c r="D321" s="10"/>
      <c r="E321" s="8" t="s">
        <v>16</v>
      </c>
      <c r="F321" s="10"/>
      <c r="G321" s="10"/>
      <c r="H321" s="134"/>
      <c r="I321" s="10"/>
      <c r="J321" s="2"/>
    </row>
    <row r="322" spans="1:10" ht="15.5">
      <c r="A322" s="181"/>
      <c r="B322" s="174" t="s">
        <v>1123</v>
      </c>
      <c r="C322" s="145" t="s">
        <v>1124</v>
      </c>
      <c r="D322" s="10"/>
      <c r="E322" s="8" t="s">
        <v>16</v>
      </c>
      <c r="F322" s="10"/>
      <c r="G322" s="10"/>
      <c r="H322" s="134"/>
      <c r="I322" s="10"/>
      <c r="J322" s="2"/>
    </row>
    <row r="323" spans="1:10" ht="15.5">
      <c r="A323" s="181"/>
      <c r="B323" s="175"/>
      <c r="C323" s="145" t="s">
        <v>1125</v>
      </c>
      <c r="D323" s="10"/>
      <c r="E323" s="8" t="s">
        <v>16</v>
      </c>
      <c r="F323" s="10"/>
      <c r="G323" s="10"/>
      <c r="H323" s="134"/>
      <c r="I323" s="10"/>
      <c r="J323" s="2"/>
    </row>
    <row r="324" spans="1:10" ht="15.5">
      <c r="A324" s="181"/>
      <c r="B324" s="175"/>
      <c r="C324" s="145" t="s">
        <v>1126</v>
      </c>
      <c r="D324" s="10"/>
      <c r="E324" s="8" t="s">
        <v>16</v>
      </c>
      <c r="F324" s="10"/>
      <c r="G324" s="10"/>
      <c r="H324" s="134"/>
      <c r="I324" s="10"/>
      <c r="J324" s="2"/>
    </row>
    <row r="325" spans="1:10" ht="15.5">
      <c r="A325" s="181"/>
      <c r="B325" s="175"/>
      <c r="C325" s="145" t="s">
        <v>1127</v>
      </c>
      <c r="D325" s="10"/>
      <c r="E325" s="8" t="s">
        <v>16</v>
      </c>
      <c r="F325" s="10"/>
      <c r="G325" s="10"/>
      <c r="H325" s="134"/>
      <c r="I325" s="10"/>
      <c r="J325" s="2"/>
    </row>
    <row r="326" spans="1:10" ht="15.5">
      <c r="A326" s="181"/>
      <c r="B326" s="176"/>
      <c r="C326" s="145" t="s">
        <v>1128</v>
      </c>
      <c r="D326" s="10"/>
      <c r="E326" s="8" t="s">
        <v>16</v>
      </c>
      <c r="F326" s="10"/>
      <c r="G326" s="10"/>
      <c r="H326" s="134"/>
      <c r="I326" s="10"/>
      <c r="J326" s="2"/>
    </row>
    <row r="327" spans="1:10" ht="15.5">
      <c r="A327" s="181"/>
      <c r="B327" s="174" t="s">
        <v>1129</v>
      </c>
      <c r="C327" s="145" t="s">
        <v>1130</v>
      </c>
      <c r="D327" s="10"/>
      <c r="E327" s="8" t="s">
        <v>16</v>
      </c>
      <c r="F327" s="10"/>
      <c r="G327" s="10"/>
      <c r="H327" s="134"/>
      <c r="I327" s="10"/>
      <c r="J327" s="2"/>
    </row>
    <row r="328" spans="1:10" ht="15.5">
      <c r="A328" s="181"/>
      <c r="B328" s="175"/>
      <c r="C328" s="145" t="s">
        <v>1131</v>
      </c>
      <c r="D328" s="10"/>
      <c r="E328" s="8" t="s">
        <v>16</v>
      </c>
      <c r="F328" s="10"/>
      <c r="G328" s="10"/>
      <c r="H328" s="134"/>
      <c r="I328" s="10"/>
      <c r="J328" s="2"/>
    </row>
    <row r="329" spans="1:10" ht="15.5">
      <c r="A329" s="181"/>
      <c r="B329" s="175"/>
      <c r="C329" s="145" t="s">
        <v>1132</v>
      </c>
      <c r="D329" s="10"/>
      <c r="E329" s="8" t="s">
        <v>16</v>
      </c>
      <c r="F329" s="10"/>
      <c r="G329" s="10"/>
      <c r="H329" s="134"/>
      <c r="I329" s="10"/>
      <c r="J329" s="2"/>
    </row>
    <row r="330" spans="1:10" ht="15.5">
      <c r="A330" s="181"/>
      <c r="B330" s="175"/>
      <c r="C330" s="145" t="s">
        <v>1133</v>
      </c>
      <c r="D330" s="10"/>
      <c r="E330" s="8" t="s">
        <v>16</v>
      </c>
      <c r="F330" s="10"/>
      <c r="G330" s="10"/>
      <c r="H330" s="134"/>
      <c r="I330" s="10"/>
      <c r="J330" s="2"/>
    </row>
    <row r="331" spans="1:10" ht="15.5">
      <c r="A331" s="181"/>
      <c r="B331" s="176"/>
      <c r="C331" s="145" t="s">
        <v>1134</v>
      </c>
      <c r="D331" s="10"/>
      <c r="E331" s="8" t="s">
        <v>16</v>
      </c>
      <c r="F331" s="10"/>
      <c r="G331" s="10"/>
      <c r="H331" s="134"/>
      <c r="I331" s="10"/>
      <c r="J331" s="2"/>
    </row>
    <row r="332" spans="1:10" ht="15.5">
      <c r="A332" s="181"/>
      <c r="B332" s="174" t="s">
        <v>1135</v>
      </c>
      <c r="C332" s="145" t="s">
        <v>1136</v>
      </c>
      <c r="D332" s="10"/>
      <c r="E332" s="8" t="s">
        <v>16</v>
      </c>
      <c r="F332" s="10"/>
      <c r="G332" s="10"/>
      <c r="H332" s="134"/>
      <c r="I332" s="10"/>
      <c r="J332" s="2"/>
    </row>
    <row r="333" spans="1:10" ht="15.5">
      <c r="A333" s="181"/>
      <c r="B333" s="175"/>
      <c r="C333" s="145" t="s">
        <v>1137</v>
      </c>
      <c r="D333" s="10"/>
      <c r="E333" s="8" t="s">
        <v>16</v>
      </c>
      <c r="F333" s="10"/>
      <c r="G333" s="10"/>
      <c r="H333" s="134"/>
      <c r="I333" s="10"/>
      <c r="J333" s="2"/>
    </row>
    <row r="334" spans="1:10" ht="15.5">
      <c r="A334" s="181"/>
      <c r="B334" s="175"/>
      <c r="C334" s="145" t="s">
        <v>1138</v>
      </c>
      <c r="D334" s="10"/>
      <c r="E334" s="8" t="s">
        <v>16</v>
      </c>
      <c r="F334" s="10"/>
      <c r="G334" s="10"/>
      <c r="H334" s="134"/>
      <c r="I334" s="10"/>
      <c r="J334" s="2"/>
    </row>
    <row r="335" spans="1:10" ht="15.5">
      <c r="A335" s="181"/>
      <c r="B335" s="175"/>
      <c r="C335" s="145" t="s">
        <v>1139</v>
      </c>
      <c r="D335" s="10"/>
      <c r="E335" s="8" t="s">
        <v>16</v>
      </c>
      <c r="F335" s="10"/>
      <c r="G335" s="10"/>
      <c r="H335" s="134"/>
      <c r="I335" s="10"/>
      <c r="J335" s="2"/>
    </row>
    <row r="336" spans="1:10" ht="15.5">
      <c r="A336" s="181"/>
      <c r="B336" s="176"/>
      <c r="C336" s="145" t="s">
        <v>1140</v>
      </c>
      <c r="D336" s="10"/>
      <c r="E336" s="8" t="s">
        <v>16</v>
      </c>
      <c r="F336" s="10"/>
      <c r="G336" s="10"/>
      <c r="H336" s="134"/>
      <c r="I336" s="10"/>
      <c r="J336" s="2"/>
    </row>
    <row r="337" spans="1:10" ht="15.5">
      <c r="A337" s="181"/>
      <c r="B337" s="174" t="s">
        <v>1141</v>
      </c>
      <c r="C337" s="145" t="s">
        <v>1142</v>
      </c>
      <c r="D337" s="10"/>
      <c r="E337" s="8" t="s">
        <v>16</v>
      </c>
      <c r="F337" s="10"/>
      <c r="G337" s="10"/>
      <c r="H337" s="134"/>
      <c r="I337" s="10"/>
      <c r="J337" s="2"/>
    </row>
    <row r="338" spans="1:10" ht="15.5">
      <c r="A338" s="181"/>
      <c r="B338" s="175"/>
      <c r="C338" s="145" t="s">
        <v>1143</v>
      </c>
      <c r="D338" s="10"/>
      <c r="E338" s="8" t="s">
        <v>16</v>
      </c>
      <c r="F338" s="10"/>
      <c r="G338" s="10"/>
      <c r="H338" s="134"/>
      <c r="I338" s="10"/>
      <c r="J338" s="2"/>
    </row>
    <row r="339" spans="1:10" ht="15.5">
      <c r="A339" s="181"/>
      <c r="B339" s="175"/>
      <c r="C339" s="145" t="s">
        <v>1144</v>
      </c>
      <c r="D339" s="10"/>
      <c r="E339" s="8" t="s">
        <v>16</v>
      </c>
      <c r="F339" s="10"/>
      <c r="G339" s="10"/>
      <c r="H339" s="134"/>
      <c r="I339" s="10"/>
      <c r="J339" s="2"/>
    </row>
    <row r="340" spans="1:10" ht="15.5">
      <c r="A340" s="181"/>
      <c r="B340" s="175"/>
      <c r="C340" s="145" t="s">
        <v>1145</v>
      </c>
      <c r="D340" s="10"/>
      <c r="E340" s="8" t="s">
        <v>16</v>
      </c>
      <c r="F340" s="10"/>
      <c r="G340" s="10"/>
      <c r="H340" s="134"/>
      <c r="I340" s="10"/>
      <c r="J340" s="2"/>
    </row>
    <row r="341" spans="1:10" ht="15.5">
      <c r="A341" s="181"/>
      <c r="B341" s="176"/>
      <c r="C341" s="145" t="s">
        <v>1146</v>
      </c>
      <c r="D341" s="10"/>
      <c r="E341" s="8" t="s">
        <v>16</v>
      </c>
      <c r="F341" s="10"/>
      <c r="G341" s="10"/>
      <c r="H341" s="134"/>
      <c r="I341" s="10"/>
      <c r="J341" s="2"/>
    </row>
    <row r="342" spans="1:10" ht="15.5">
      <c r="A342" s="181"/>
      <c r="B342" s="174" t="s">
        <v>1147</v>
      </c>
      <c r="C342" s="145" t="s">
        <v>1148</v>
      </c>
      <c r="D342" s="10"/>
      <c r="E342" s="8" t="s">
        <v>16</v>
      </c>
      <c r="F342" s="10"/>
      <c r="G342" s="10"/>
      <c r="H342" s="134"/>
      <c r="I342" s="10"/>
      <c r="J342" s="2"/>
    </row>
    <row r="343" spans="1:10" ht="15.5">
      <c r="A343" s="181"/>
      <c r="B343" s="175"/>
      <c r="C343" s="145" t="s">
        <v>1149</v>
      </c>
      <c r="D343" s="10"/>
      <c r="E343" s="8" t="s">
        <v>16</v>
      </c>
      <c r="F343" s="10"/>
      <c r="G343" s="10"/>
      <c r="H343" s="134"/>
      <c r="I343" s="10"/>
      <c r="J343" s="2"/>
    </row>
    <row r="344" spans="1:10" ht="15.5">
      <c r="A344" s="181"/>
      <c r="B344" s="175"/>
      <c r="C344" s="145" t="s">
        <v>1150</v>
      </c>
      <c r="D344" s="10"/>
      <c r="E344" s="8" t="s">
        <v>16</v>
      </c>
      <c r="F344" s="10"/>
      <c r="G344" s="10"/>
      <c r="H344" s="134"/>
      <c r="I344" s="10"/>
      <c r="J344" s="2"/>
    </row>
    <row r="345" spans="1:10" ht="15.5">
      <c r="A345" s="181"/>
      <c r="B345" s="175"/>
      <c r="C345" s="145" t="s">
        <v>1151</v>
      </c>
      <c r="D345" s="10"/>
      <c r="E345" s="8" t="s">
        <v>16</v>
      </c>
      <c r="F345" s="10"/>
      <c r="G345" s="10"/>
      <c r="H345" s="134"/>
      <c r="I345" s="10"/>
      <c r="J345" s="2"/>
    </row>
    <row r="346" spans="1:10" ht="16" thickBot="1">
      <c r="A346" s="182"/>
      <c r="B346" s="176"/>
      <c r="C346" s="144" t="s">
        <v>1152</v>
      </c>
      <c r="D346" s="10" t="s">
        <v>1153</v>
      </c>
      <c r="E346" s="8" t="s">
        <v>16</v>
      </c>
      <c r="F346" s="10" t="s">
        <v>1154</v>
      </c>
      <c r="G346" s="10" t="s">
        <v>1155</v>
      </c>
      <c r="H346" s="134" t="s">
        <v>26</v>
      </c>
      <c r="I346" s="10" t="s">
        <v>1156</v>
      </c>
      <c r="J346" s="2"/>
    </row>
    <row r="347" spans="1:10" ht="15.5">
      <c r="A347" s="183" t="s">
        <v>1158</v>
      </c>
      <c r="B347" s="174" t="s">
        <v>1159</v>
      </c>
      <c r="C347" s="145" t="s">
        <v>1160</v>
      </c>
      <c r="D347" s="10"/>
      <c r="E347" s="8" t="s">
        <v>58</v>
      </c>
      <c r="F347" s="10"/>
      <c r="G347" s="10"/>
      <c r="H347" s="134"/>
      <c r="I347" s="10"/>
      <c r="J347" s="2"/>
    </row>
    <row r="348" spans="1:10" ht="15.5">
      <c r="A348" s="181"/>
      <c r="B348" s="175"/>
      <c r="C348" s="145" t="s">
        <v>1161</v>
      </c>
      <c r="D348" s="10"/>
      <c r="E348" s="8" t="s">
        <v>58</v>
      </c>
      <c r="F348" s="10"/>
      <c r="G348" s="10"/>
      <c r="H348" s="134"/>
      <c r="I348" s="10"/>
      <c r="J348" s="2"/>
    </row>
    <row r="349" spans="1:10" ht="15.5">
      <c r="A349" s="181"/>
      <c r="B349" s="175"/>
      <c r="C349" s="145" t="s">
        <v>1162</v>
      </c>
      <c r="D349" s="10"/>
      <c r="E349" s="8" t="s">
        <v>58</v>
      </c>
      <c r="F349" s="10"/>
      <c r="G349" s="10"/>
      <c r="H349" s="134"/>
      <c r="I349" s="10"/>
      <c r="J349" s="2"/>
    </row>
    <row r="350" spans="1:10" ht="15.5">
      <c r="A350" s="181"/>
      <c r="B350" s="175"/>
      <c r="C350" s="145" t="s">
        <v>1163</v>
      </c>
      <c r="D350" s="10"/>
      <c r="E350" s="8" t="s">
        <v>58</v>
      </c>
      <c r="F350" s="10"/>
      <c r="G350" s="10"/>
      <c r="H350" s="134"/>
      <c r="I350" s="10"/>
      <c r="J350" s="2"/>
    </row>
    <row r="351" spans="1:10" ht="15.5">
      <c r="A351" s="181"/>
      <c r="B351" s="176"/>
      <c r="C351" s="145" t="s">
        <v>1164</v>
      </c>
      <c r="D351" s="10"/>
      <c r="E351" s="8" t="s">
        <v>58</v>
      </c>
      <c r="F351" s="10"/>
      <c r="G351" s="10"/>
      <c r="H351" s="134"/>
      <c r="I351" s="10"/>
      <c r="J351" s="2"/>
    </row>
    <row r="352" spans="1:10" ht="15.5">
      <c r="A352" s="181"/>
      <c r="B352" s="174" t="s">
        <v>1165</v>
      </c>
      <c r="C352" s="145" t="s">
        <v>1166</v>
      </c>
      <c r="D352" s="10"/>
      <c r="E352" s="8" t="s">
        <v>58</v>
      </c>
      <c r="F352" s="10"/>
      <c r="G352" s="10"/>
      <c r="H352" s="134"/>
      <c r="I352" s="10"/>
      <c r="J352" s="2"/>
    </row>
    <row r="353" spans="1:10" ht="15.5">
      <c r="A353" s="181"/>
      <c r="B353" s="175"/>
      <c r="C353" s="145" t="s">
        <v>1167</v>
      </c>
      <c r="D353" s="10"/>
      <c r="E353" s="8" t="s">
        <v>58</v>
      </c>
      <c r="F353" s="10"/>
      <c r="G353" s="10"/>
      <c r="H353" s="134"/>
      <c r="I353" s="10"/>
      <c r="J353" s="2"/>
    </row>
    <row r="354" spans="1:10" ht="15.5">
      <c r="A354" s="181"/>
      <c r="B354" s="175"/>
      <c r="C354" s="145" t="s">
        <v>1168</v>
      </c>
      <c r="D354" s="10"/>
      <c r="E354" s="8" t="s">
        <v>58</v>
      </c>
      <c r="F354" s="10"/>
      <c r="G354" s="10"/>
      <c r="H354" s="134"/>
      <c r="I354" s="10"/>
      <c r="J354" s="2"/>
    </row>
    <row r="355" spans="1:10" ht="15.5">
      <c r="A355" s="181"/>
      <c r="B355" s="175"/>
      <c r="C355" s="145" t="s">
        <v>1169</v>
      </c>
      <c r="D355" s="10"/>
      <c r="E355" s="8" t="s">
        <v>16</v>
      </c>
      <c r="F355" s="10"/>
      <c r="G355" s="10"/>
      <c r="H355" s="134"/>
      <c r="I355" s="10"/>
      <c r="J355" s="2"/>
    </row>
    <row r="356" spans="1:10" ht="15.5">
      <c r="A356" s="181"/>
      <c r="B356" s="176"/>
      <c r="C356" s="145" t="s">
        <v>1170</v>
      </c>
      <c r="D356" s="10"/>
      <c r="E356" s="8" t="s">
        <v>16</v>
      </c>
      <c r="F356" s="10"/>
      <c r="G356" s="10"/>
      <c r="H356" s="134"/>
      <c r="I356" s="10"/>
      <c r="J356" s="2"/>
    </row>
    <row r="357" spans="1:10" ht="15.5">
      <c r="A357" s="181"/>
      <c r="B357" s="174" t="s">
        <v>1171</v>
      </c>
      <c r="C357" s="145" t="s">
        <v>1172</v>
      </c>
      <c r="D357" s="10"/>
      <c r="E357" s="8" t="s">
        <v>16</v>
      </c>
      <c r="F357" s="10"/>
      <c r="G357" s="10"/>
      <c r="H357" s="134"/>
      <c r="I357" s="10"/>
      <c r="J357" s="2"/>
    </row>
    <row r="358" spans="1:10" ht="15.5">
      <c r="A358" s="181"/>
      <c r="B358" s="175"/>
      <c r="C358" s="145" t="s">
        <v>1173</v>
      </c>
      <c r="D358" s="10"/>
      <c r="E358" s="8" t="s">
        <v>16</v>
      </c>
      <c r="F358" s="10"/>
      <c r="G358" s="10"/>
      <c r="H358" s="134"/>
      <c r="I358" s="10"/>
      <c r="J358" s="2"/>
    </row>
    <row r="359" spans="1:10" ht="15.5">
      <c r="A359" s="181"/>
      <c r="B359" s="175"/>
      <c r="C359" s="145" t="s">
        <v>1174</v>
      </c>
      <c r="D359" s="10"/>
      <c r="E359" s="8" t="s">
        <v>16</v>
      </c>
      <c r="F359" s="10"/>
      <c r="G359" s="10"/>
      <c r="H359" s="134"/>
      <c r="I359" s="10"/>
      <c r="J359" s="2"/>
    </row>
    <row r="360" spans="1:10" ht="15.5">
      <c r="A360" s="181"/>
      <c r="B360" s="175"/>
      <c r="C360" s="145" t="s">
        <v>1175</v>
      </c>
      <c r="D360" s="10"/>
      <c r="E360" s="8" t="s">
        <v>16</v>
      </c>
      <c r="F360" s="10"/>
      <c r="G360" s="10"/>
      <c r="H360" s="134"/>
      <c r="I360" s="10"/>
      <c r="J360" s="2"/>
    </row>
    <row r="361" spans="1:10" ht="15.5">
      <c r="A361" s="181"/>
      <c r="B361" s="176"/>
      <c r="C361" s="145" t="s">
        <v>1176</v>
      </c>
      <c r="D361" s="10"/>
      <c r="E361" s="8" t="s">
        <v>16</v>
      </c>
      <c r="F361" s="10"/>
      <c r="G361" s="10"/>
      <c r="H361" s="134"/>
      <c r="I361" s="10"/>
      <c r="J361" s="2"/>
    </row>
    <row r="362" spans="1:10" ht="15.5">
      <c r="A362" s="181"/>
      <c r="B362" s="174" t="s">
        <v>1177</v>
      </c>
      <c r="C362" s="145" t="s">
        <v>1178</v>
      </c>
      <c r="D362" s="10"/>
      <c r="E362" s="8" t="s">
        <v>16</v>
      </c>
      <c r="F362" s="10"/>
      <c r="G362" s="10"/>
      <c r="H362" s="134"/>
      <c r="I362" s="10"/>
      <c r="J362" s="2"/>
    </row>
    <row r="363" spans="1:10" ht="15.5">
      <c r="A363" s="181"/>
      <c r="B363" s="175"/>
      <c r="C363" s="145" t="s">
        <v>1179</v>
      </c>
      <c r="D363" s="10"/>
      <c r="E363" s="8" t="s">
        <v>16</v>
      </c>
      <c r="F363" s="10"/>
      <c r="G363" s="10"/>
      <c r="H363" s="134"/>
      <c r="I363" s="10"/>
      <c r="J363" s="2"/>
    </row>
    <row r="364" spans="1:10" ht="15.5">
      <c r="A364" s="181"/>
      <c r="B364" s="175"/>
      <c r="C364" s="145" t="s">
        <v>1180</v>
      </c>
      <c r="D364" s="10"/>
      <c r="E364" s="8" t="s">
        <v>16</v>
      </c>
      <c r="F364" s="10"/>
      <c r="G364" s="10"/>
      <c r="H364" s="134"/>
      <c r="I364" s="10"/>
      <c r="J364" s="2"/>
    </row>
    <row r="365" spans="1:10" ht="15.5">
      <c r="A365" s="181"/>
      <c r="B365" s="175"/>
      <c r="C365" s="145" t="s">
        <v>1181</v>
      </c>
      <c r="D365" s="10"/>
      <c r="E365" s="8" t="s">
        <v>16</v>
      </c>
      <c r="F365" s="10"/>
      <c r="G365" s="10"/>
      <c r="H365" s="134"/>
      <c r="I365" s="10"/>
      <c r="J365" s="2"/>
    </row>
    <row r="366" spans="1:10" ht="15.5">
      <c r="A366" s="181"/>
      <c r="B366" s="176"/>
      <c r="C366" s="145" t="s">
        <v>1182</v>
      </c>
      <c r="D366" s="10"/>
      <c r="E366" s="8" t="s">
        <v>16</v>
      </c>
      <c r="F366" s="10"/>
      <c r="G366" s="10"/>
      <c r="H366" s="134"/>
      <c r="I366" s="10"/>
      <c r="J366" s="2"/>
    </row>
    <row r="367" spans="1:10" ht="15.5">
      <c r="A367" s="181"/>
      <c r="B367" s="174" t="s">
        <v>1183</v>
      </c>
      <c r="C367" s="145" t="s">
        <v>1184</v>
      </c>
      <c r="D367" s="10"/>
      <c r="E367" s="8" t="s">
        <v>16</v>
      </c>
      <c r="F367" s="10"/>
      <c r="G367" s="10"/>
      <c r="H367" s="134"/>
      <c r="I367" s="10"/>
      <c r="J367" s="2"/>
    </row>
    <row r="368" spans="1:10" ht="15.5">
      <c r="A368" s="181"/>
      <c r="B368" s="175"/>
      <c r="C368" s="145" t="s">
        <v>1185</v>
      </c>
      <c r="D368" s="10"/>
      <c r="E368" s="8" t="s">
        <v>16</v>
      </c>
      <c r="F368" s="10"/>
      <c r="G368" s="10"/>
      <c r="H368" s="134"/>
      <c r="I368" s="10"/>
      <c r="J368" s="2"/>
    </row>
    <row r="369" spans="1:10" ht="15.5">
      <c r="A369" s="181"/>
      <c r="B369" s="175"/>
      <c r="C369" s="145" t="s">
        <v>1186</v>
      </c>
      <c r="D369" s="10"/>
      <c r="E369" s="8" t="s">
        <v>16</v>
      </c>
      <c r="F369" s="10"/>
      <c r="G369" s="10"/>
      <c r="H369" s="134"/>
      <c r="I369" s="10"/>
      <c r="J369" s="2"/>
    </row>
    <row r="370" spans="1:10" ht="15.5">
      <c r="A370" s="181"/>
      <c r="B370" s="175"/>
      <c r="C370" s="145" t="s">
        <v>1187</v>
      </c>
      <c r="D370" s="10"/>
      <c r="E370" s="8" t="s">
        <v>16</v>
      </c>
      <c r="F370" s="10"/>
      <c r="G370" s="10"/>
      <c r="H370" s="134"/>
      <c r="I370" s="10"/>
      <c r="J370" s="2"/>
    </row>
    <row r="371" spans="1:10" ht="15.5">
      <c r="A371" s="181"/>
      <c r="B371" s="176"/>
      <c r="C371" s="145" t="s">
        <v>1188</v>
      </c>
      <c r="D371" s="10"/>
      <c r="E371" s="8" t="s">
        <v>16</v>
      </c>
      <c r="F371" s="10"/>
      <c r="G371" s="10"/>
      <c r="H371" s="134"/>
      <c r="I371" s="10"/>
      <c r="J371" s="2"/>
    </row>
    <row r="372" spans="1:10" ht="15.5">
      <c r="A372" s="181"/>
      <c r="B372" s="174" t="s">
        <v>1189</v>
      </c>
      <c r="C372" s="145" t="s">
        <v>1190</v>
      </c>
      <c r="D372" s="10"/>
      <c r="E372" s="8" t="s">
        <v>16</v>
      </c>
      <c r="F372" s="10"/>
      <c r="G372" s="10"/>
      <c r="H372" s="134"/>
      <c r="I372" s="10"/>
      <c r="J372" s="2"/>
    </row>
    <row r="373" spans="1:10" ht="15.5">
      <c r="A373" s="181"/>
      <c r="B373" s="175"/>
      <c r="C373" s="145" t="s">
        <v>1191</v>
      </c>
      <c r="D373" s="10"/>
      <c r="E373" s="8" t="s">
        <v>16</v>
      </c>
      <c r="F373" s="10"/>
      <c r="G373" s="10"/>
      <c r="H373" s="134"/>
      <c r="I373" s="10"/>
      <c r="J373" s="2"/>
    </row>
    <row r="374" spans="1:10" ht="15.5">
      <c r="A374" s="181"/>
      <c r="B374" s="175"/>
      <c r="C374" s="145" t="s">
        <v>1192</v>
      </c>
      <c r="D374" s="10"/>
      <c r="E374" s="8" t="s">
        <v>16</v>
      </c>
      <c r="F374" s="10"/>
      <c r="G374" s="10"/>
      <c r="H374" s="134"/>
      <c r="I374" s="10"/>
      <c r="J374" s="2"/>
    </row>
    <row r="375" spans="1:10" ht="15.5">
      <c r="A375" s="181"/>
      <c r="B375" s="175"/>
      <c r="C375" s="145" t="s">
        <v>1193</v>
      </c>
      <c r="D375" s="10"/>
      <c r="E375" s="8" t="s">
        <v>16</v>
      </c>
      <c r="F375" s="10"/>
      <c r="G375" s="10"/>
      <c r="H375" s="134"/>
      <c r="I375" s="10"/>
      <c r="J375" s="2"/>
    </row>
    <row r="376" spans="1:10" ht="16" thickBot="1">
      <c r="A376" s="182"/>
      <c r="B376" s="176"/>
      <c r="C376" s="144" t="s">
        <v>1194</v>
      </c>
      <c r="D376" s="10" t="s">
        <v>1195</v>
      </c>
      <c r="E376" s="8" t="s">
        <v>23</v>
      </c>
      <c r="F376" s="135" t="s">
        <v>1196</v>
      </c>
      <c r="G376" s="135" t="s">
        <v>1197</v>
      </c>
      <c r="H376" s="134" t="s">
        <v>213</v>
      </c>
      <c r="I376" s="135" t="s">
        <v>1198</v>
      </c>
      <c r="J376" s="2"/>
    </row>
    <row r="377" spans="1:10" ht="15.5">
      <c r="A377" s="181" t="s">
        <v>1199</v>
      </c>
      <c r="B377" s="174" t="s">
        <v>1200</v>
      </c>
      <c r="C377" s="145" t="s">
        <v>1201</v>
      </c>
      <c r="D377" s="10"/>
      <c r="E377" s="8" t="s">
        <v>58</v>
      </c>
      <c r="F377" s="135"/>
      <c r="G377" s="135"/>
      <c r="H377" s="134"/>
      <c r="I377" s="135"/>
      <c r="J377" s="2"/>
    </row>
    <row r="378" spans="1:10" ht="15.5">
      <c r="A378" s="181"/>
      <c r="B378" s="175"/>
      <c r="C378" s="145" t="s">
        <v>1202</v>
      </c>
      <c r="D378" s="10"/>
      <c r="E378" s="8" t="s">
        <v>23</v>
      </c>
      <c r="F378" s="135"/>
      <c r="G378" s="135"/>
      <c r="H378" s="134"/>
      <c r="I378" s="135"/>
      <c r="J378" s="2"/>
    </row>
    <row r="379" spans="1:10" ht="15.5">
      <c r="A379" s="181"/>
      <c r="B379" s="175"/>
      <c r="C379" s="145" t="s">
        <v>1203</v>
      </c>
      <c r="D379" s="10"/>
      <c r="E379" s="8" t="s">
        <v>16</v>
      </c>
      <c r="F379" s="135"/>
      <c r="G379" s="135"/>
      <c r="H379" s="134"/>
      <c r="I379" s="135"/>
      <c r="J379" s="2"/>
    </row>
    <row r="380" spans="1:10" ht="15.5">
      <c r="A380" s="181"/>
      <c r="B380" s="175"/>
      <c r="C380" s="145" t="s">
        <v>1204</v>
      </c>
      <c r="D380" s="10"/>
      <c r="E380" s="8" t="s">
        <v>16</v>
      </c>
      <c r="F380" s="135"/>
      <c r="G380" s="135"/>
      <c r="H380" s="134"/>
      <c r="I380" s="135"/>
      <c r="J380" s="2"/>
    </row>
    <row r="381" spans="1:10" ht="15.5">
      <c r="A381" s="181"/>
      <c r="B381" s="176"/>
      <c r="C381" s="145" t="s">
        <v>1205</v>
      </c>
      <c r="D381" s="10"/>
      <c r="E381" s="8" t="s">
        <v>16</v>
      </c>
      <c r="F381" s="135"/>
      <c r="G381" s="135"/>
      <c r="H381" s="134"/>
      <c r="I381" s="135"/>
      <c r="J381" s="2"/>
    </row>
    <row r="382" spans="1:10" ht="15.5">
      <c r="A382" s="181"/>
      <c r="B382" s="174" t="s">
        <v>1206</v>
      </c>
      <c r="C382" s="145" t="s">
        <v>1207</v>
      </c>
      <c r="D382" s="10"/>
      <c r="E382" s="8" t="s">
        <v>58</v>
      </c>
      <c r="F382" s="135"/>
      <c r="G382" s="135"/>
      <c r="H382" s="134"/>
      <c r="I382" s="135"/>
      <c r="J382" s="2"/>
    </row>
    <row r="383" spans="1:10" ht="15.5">
      <c r="A383" s="181"/>
      <c r="B383" s="175"/>
      <c r="C383" s="145" t="s">
        <v>1208</v>
      </c>
      <c r="D383" s="10"/>
      <c r="E383" s="8" t="s">
        <v>58</v>
      </c>
      <c r="F383" s="135"/>
      <c r="G383" s="135"/>
      <c r="H383" s="134"/>
      <c r="I383" s="135"/>
      <c r="J383" s="2"/>
    </row>
    <row r="384" spans="1:10" ht="15.5">
      <c r="A384" s="181"/>
      <c r="B384" s="175"/>
      <c r="C384" s="145" t="s">
        <v>1209</v>
      </c>
      <c r="D384" s="10"/>
      <c r="E384" s="8" t="s">
        <v>23</v>
      </c>
      <c r="F384" s="135"/>
      <c r="G384" s="135"/>
      <c r="H384" s="134"/>
      <c r="I384" s="135"/>
      <c r="J384" s="2"/>
    </row>
    <row r="385" spans="1:10" ht="15.5">
      <c r="A385" s="181"/>
      <c r="B385" s="175"/>
      <c r="C385" s="145" t="s">
        <v>1210</v>
      </c>
      <c r="D385" s="10"/>
      <c r="E385" s="8" t="s">
        <v>16</v>
      </c>
      <c r="F385" s="135"/>
      <c r="G385" s="135"/>
      <c r="H385" s="134"/>
      <c r="I385" s="135"/>
      <c r="J385" s="2"/>
    </row>
    <row r="386" spans="1:10" ht="15.5">
      <c r="A386" s="181"/>
      <c r="B386" s="176"/>
      <c r="C386" s="145" t="s">
        <v>1211</v>
      </c>
      <c r="D386" s="10"/>
      <c r="E386" s="8" t="s">
        <v>16</v>
      </c>
      <c r="F386" s="135"/>
      <c r="G386" s="135"/>
      <c r="H386" s="134"/>
      <c r="I386" s="135"/>
      <c r="J386" s="2"/>
    </row>
    <row r="387" spans="1:10" ht="15.5">
      <c r="A387" s="181"/>
      <c r="B387" s="174" t="s">
        <v>1212</v>
      </c>
      <c r="C387" s="145" t="s">
        <v>1213</v>
      </c>
      <c r="D387" s="10"/>
      <c r="E387" s="8" t="s">
        <v>16</v>
      </c>
      <c r="F387" s="135"/>
      <c r="G387" s="135"/>
      <c r="H387" s="134"/>
      <c r="I387" s="135"/>
      <c r="J387" s="2"/>
    </row>
    <row r="388" spans="1:10" ht="15.5">
      <c r="A388" s="181"/>
      <c r="B388" s="175"/>
      <c r="C388" s="145" t="s">
        <v>1214</v>
      </c>
      <c r="D388" s="10"/>
      <c r="E388" s="8" t="s">
        <v>23</v>
      </c>
      <c r="F388" s="135"/>
      <c r="G388" s="135"/>
      <c r="H388" s="134"/>
      <c r="I388" s="135"/>
      <c r="J388" s="2"/>
    </row>
    <row r="389" spans="1:10" ht="15.5">
      <c r="A389" s="181"/>
      <c r="B389" s="175"/>
      <c r="C389" s="145" t="s">
        <v>1215</v>
      </c>
      <c r="D389" s="10"/>
      <c r="E389" s="8" t="s">
        <v>16</v>
      </c>
      <c r="F389" s="135"/>
      <c r="G389" s="135"/>
      <c r="H389" s="134"/>
      <c r="I389" s="135"/>
      <c r="J389" s="2"/>
    </row>
    <row r="390" spans="1:10" ht="15.5">
      <c r="A390" s="181"/>
      <c r="B390" s="175"/>
      <c r="C390" s="145" t="s">
        <v>1216</v>
      </c>
      <c r="D390" s="10"/>
      <c r="E390" s="8" t="s">
        <v>16</v>
      </c>
      <c r="F390" s="135"/>
      <c r="G390" s="135"/>
      <c r="H390" s="134"/>
      <c r="I390" s="135"/>
      <c r="J390" s="2"/>
    </row>
    <row r="391" spans="1:10" ht="15.5">
      <c r="A391" s="181"/>
      <c r="B391" s="176"/>
      <c r="C391" s="145" t="s">
        <v>1217</v>
      </c>
      <c r="D391" s="10"/>
      <c r="E391" s="8" t="s">
        <v>16</v>
      </c>
      <c r="F391" s="135"/>
      <c r="G391" s="135"/>
      <c r="H391" s="134"/>
      <c r="I391" s="135"/>
      <c r="J391" s="2"/>
    </row>
    <row r="392" spans="1:10" ht="15.5">
      <c r="A392" s="181"/>
      <c r="B392" s="174" t="s">
        <v>1218</v>
      </c>
      <c r="C392" s="145" t="s">
        <v>1219</v>
      </c>
      <c r="D392" s="10"/>
      <c r="E392" s="8" t="s">
        <v>16</v>
      </c>
      <c r="F392" s="135"/>
      <c r="G392" s="135"/>
      <c r="H392" s="134"/>
      <c r="I392" s="135"/>
      <c r="J392" s="2"/>
    </row>
    <row r="393" spans="1:10" ht="15.5">
      <c r="A393" s="181"/>
      <c r="B393" s="175"/>
      <c r="C393" s="145" t="s">
        <v>1220</v>
      </c>
      <c r="D393" s="10"/>
      <c r="E393" s="8" t="s">
        <v>16</v>
      </c>
      <c r="F393" s="135"/>
      <c r="G393" s="135"/>
      <c r="H393" s="134"/>
      <c r="I393" s="135"/>
      <c r="J393" s="2"/>
    </row>
    <row r="394" spans="1:10" ht="15.5">
      <c r="A394" s="181"/>
      <c r="B394" s="175"/>
      <c r="C394" s="145" t="s">
        <v>1221</v>
      </c>
      <c r="D394" s="10"/>
      <c r="E394" s="8" t="s">
        <v>16</v>
      </c>
      <c r="F394" s="135"/>
      <c r="G394" s="135"/>
      <c r="H394" s="134"/>
      <c r="I394" s="135"/>
      <c r="J394" s="2"/>
    </row>
    <row r="395" spans="1:10" ht="15.5">
      <c r="A395" s="181"/>
      <c r="B395" s="175"/>
      <c r="C395" s="145" t="s">
        <v>1222</v>
      </c>
      <c r="D395" s="10"/>
      <c r="E395" s="8" t="s">
        <v>16</v>
      </c>
      <c r="F395" s="135"/>
      <c r="G395" s="135"/>
      <c r="H395" s="134"/>
      <c r="I395" s="135"/>
      <c r="J395" s="2"/>
    </row>
    <row r="396" spans="1:10" ht="15.5">
      <c r="A396" s="181"/>
      <c r="B396" s="176"/>
      <c r="C396" s="145" t="s">
        <v>1223</v>
      </c>
      <c r="D396" s="10"/>
      <c r="E396" s="8" t="s">
        <v>58</v>
      </c>
      <c r="F396" s="135"/>
      <c r="G396" s="135"/>
      <c r="H396" s="134"/>
      <c r="I396" s="135"/>
      <c r="J396" s="2"/>
    </row>
    <row r="397" spans="1:10" ht="15.5">
      <c r="A397" s="181"/>
      <c r="B397" s="174" t="s">
        <v>1224</v>
      </c>
      <c r="C397" s="145" t="s">
        <v>1225</v>
      </c>
      <c r="D397" s="10"/>
      <c r="E397" s="8" t="s">
        <v>16</v>
      </c>
      <c r="F397" s="135"/>
      <c r="G397" s="135"/>
      <c r="H397" s="134"/>
      <c r="I397" s="135"/>
      <c r="J397" s="2"/>
    </row>
    <row r="398" spans="1:10" ht="15.5">
      <c r="A398" s="181"/>
      <c r="B398" s="175"/>
      <c r="C398" s="145" t="s">
        <v>1226</v>
      </c>
      <c r="D398" s="10"/>
      <c r="E398" s="8" t="s">
        <v>16</v>
      </c>
      <c r="F398" s="135"/>
      <c r="G398" s="135"/>
      <c r="H398" s="134"/>
      <c r="I398" s="135"/>
      <c r="J398" s="2"/>
    </row>
    <row r="399" spans="1:10" ht="15.5">
      <c r="A399" s="181"/>
      <c r="B399" s="175"/>
      <c r="C399" s="145" t="s">
        <v>1227</v>
      </c>
      <c r="D399" s="10"/>
      <c r="E399" s="8" t="s">
        <v>16</v>
      </c>
      <c r="F399" s="135"/>
      <c r="G399" s="135"/>
      <c r="H399" s="134"/>
      <c r="I399" s="135"/>
      <c r="J399" s="2"/>
    </row>
    <row r="400" spans="1:10" ht="15.5">
      <c r="A400" s="181"/>
      <c r="B400" s="175"/>
      <c r="C400" s="145" t="s">
        <v>1228</v>
      </c>
      <c r="D400" s="10"/>
      <c r="E400" s="8" t="s">
        <v>16</v>
      </c>
      <c r="F400" s="135"/>
      <c r="G400" s="135"/>
      <c r="H400" s="134"/>
      <c r="I400" s="135"/>
      <c r="J400" s="2"/>
    </row>
    <row r="401" spans="1:10" ht="15.5">
      <c r="A401" s="181"/>
      <c r="B401" s="176"/>
      <c r="C401" s="145" t="s">
        <v>1229</v>
      </c>
      <c r="D401" s="10"/>
      <c r="E401" s="8" t="s">
        <v>23</v>
      </c>
      <c r="F401" s="135"/>
      <c r="G401" s="135"/>
      <c r="H401" s="134"/>
      <c r="I401" s="135"/>
      <c r="J401" s="2"/>
    </row>
    <row r="402" spans="1:10" ht="15.5">
      <c r="A402" s="181"/>
      <c r="B402" s="174" t="s">
        <v>1230</v>
      </c>
      <c r="C402" s="145" t="s">
        <v>1231</v>
      </c>
      <c r="D402" s="10"/>
      <c r="E402" s="8" t="s">
        <v>16</v>
      </c>
      <c r="F402" s="135"/>
      <c r="G402" s="135"/>
      <c r="H402" s="134"/>
      <c r="I402" s="135"/>
      <c r="J402" s="2"/>
    </row>
    <row r="403" spans="1:10" ht="15.5">
      <c r="A403" s="181"/>
      <c r="B403" s="175"/>
      <c r="C403" s="145" t="s">
        <v>1232</v>
      </c>
      <c r="D403" s="10"/>
      <c r="E403" s="8" t="s">
        <v>16</v>
      </c>
      <c r="F403" s="135"/>
      <c r="G403" s="135"/>
      <c r="H403" s="134"/>
      <c r="I403" s="135"/>
      <c r="J403" s="2"/>
    </row>
    <row r="404" spans="1:10" ht="15.5">
      <c r="A404" s="181"/>
      <c r="B404" s="175"/>
      <c r="C404" s="145" t="s">
        <v>1233</v>
      </c>
      <c r="D404" s="10"/>
      <c r="E404" s="8" t="s">
        <v>16</v>
      </c>
      <c r="F404" s="135"/>
      <c r="G404" s="135"/>
      <c r="H404" s="134"/>
      <c r="I404" s="135"/>
      <c r="J404" s="2"/>
    </row>
    <row r="405" spans="1:10" ht="15.5">
      <c r="A405" s="181"/>
      <c r="B405" s="175"/>
      <c r="C405" s="145" t="s">
        <v>1234</v>
      </c>
      <c r="D405" s="10"/>
      <c r="E405" s="8" t="s">
        <v>16</v>
      </c>
      <c r="F405" s="135"/>
      <c r="G405" s="135"/>
      <c r="H405" s="134"/>
      <c r="I405" s="135"/>
      <c r="J405" s="2"/>
    </row>
    <row r="406" spans="1:10" ht="16" thickBot="1">
      <c r="A406" s="181"/>
      <c r="B406" s="176"/>
      <c r="C406" s="146" t="s">
        <v>1235</v>
      </c>
      <c r="D406" s="10" t="s">
        <v>1236</v>
      </c>
      <c r="E406" s="8" t="s">
        <v>16</v>
      </c>
      <c r="F406" s="135"/>
      <c r="G406" s="135"/>
      <c r="H406" s="134"/>
      <c r="I406" s="135"/>
      <c r="J406" s="2"/>
    </row>
    <row r="407" spans="1:10" ht="15.5">
      <c r="A407" s="183" t="s">
        <v>1116</v>
      </c>
      <c r="B407" s="174" t="s">
        <v>1237</v>
      </c>
      <c r="C407" s="147" t="s">
        <v>1238</v>
      </c>
      <c r="D407" s="10"/>
      <c r="E407" s="8" t="s">
        <v>16</v>
      </c>
      <c r="F407" s="135" t="s">
        <v>1239</v>
      </c>
      <c r="G407" s="135" t="s">
        <v>1240</v>
      </c>
      <c r="H407" s="134" t="s">
        <v>26</v>
      </c>
      <c r="I407" s="135" t="s">
        <v>1241</v>
      </c>
      <c r="J407" s="2"/>
    </row>
    <row r="408" spans="1:10" ht="15.5">
      <c r="A408" s="181"/>
      <c r="B408" s="175"/>
      <c r="C408" s="147" t="s">
        <v>1242</v>
      </c>
      <c r="D408" s="10"/>
      <c r="E408" s="8" t="s">
        <v>16</v>
      </c>
      <c r="F408" s="135"/>
      <c r="G408" s="135"/>
      <c r="H408" s="134"/>
      <c r="I408" s="135"/>
      <c r="J408" s="2"/>
    </row>
    <row r="409" spans="1:10" ht="15.5">
      <c r="A409" s="181"/>
      <c r="B409" s="175"/>
      <c r="C409" s="147" t="s">
        <v>1243</v>
      </c>
      <c r="D409" s="10"/>
      <c r="E409" s="8" t="s">
        <v>16</v>
      </c>
      <c r="F409" s="135"/>
      <c r="G409" s="135"/>
      <c r="H409" s="134"/>
      <c r="I409" s="135"/>
      <c r="J409" s="2"/>
    </row>
    <row r="410" spans="1:10" ht="15.5">
      <c r="A410" s="181"/>
      <c r="B410" s="175"/>
      <c r="C410" s="147" t="s">
        <v>1244</v>
      </c>
      <c r="D410" s="10"/>
      <c r="E410" s="8" t="s">
        <v>16</v>
      </c>
      <c r="F410" s="135"/>
      <c r="G410" s="135"/>
      <c r="H410" s="134"/>
      <c r="I410" s="135"/>
      <c r="J410" s="2"/>
    </row>
    <row r="411" spans="1:10" ht="15.5">
      <c r="A411" s="181"/>
      <c r="B411" s="176"/>
      <c r="C411" s="148" t="s">
        <v>1245</v>
      </c>
      <c r="D411" s="10"/>
      <c r="E411" s="8" t="s">
        <v>16</v>
      </c>
      <c r="F411" s="135"/>
      <c r="G411" s="135"/>
      <c r="H411" s="134"/>
      <c r="I411" s="135"/>
      <c r="J411" s="2"/>
    </row>
    <row r="412" spans="1:10" ht="15.5">
      <c r="A412" s="181"/>
      <c r="B412" s="174" t="s">
        <v>1246</v>
      </c>
      <c r="C412" s="147" t="s">
        <v>1247</v>
      </c>
      <c r="D412" s="10"/>
      <c r="E412" s="8" t="s">
        <v>16</v>
      </c>
      <c r="F412" s="135"/>
      <c r="G412" s="135"/>
      <c r="H412" s="134"/>
      <c r="I412" s="135"/>
      <c r="J412" s="2"/>
    </row>
    <row r="413" spans="1:10" ht="15.5">
      <c r="A413" s="181"/>
      <c r="B413" s="175"/>
      <c r="C413" s="147" t="s">
        <v>1248</v>
      </c>
      <c r="D413" s="10"/>
      <c r="E413" s="8" t="s">
        <v>16</v>
      </c>
      <c r="F413" s="135"/>
      <c r="G413" s="135"/>
      <c r="H413" s="134"/>
      <c r="I413" s="135"/>
      <c r="J413" s="2"/>
    </row>
    <row r="414" spans="1:10" ht="15.5">
      <c r="A414" s="181"/>
      <c r="B414" s="175"/>
      <c r="C414" s="147" t="s">
        <v>1249</v>
      </c>
      <c r="D414" s="10"/>
      <c r="E414" s="8" t="s">
        <v>16</v>
      </c>
      <c r="F414" s="135"/>
      <c r="G414" s="135"/>
      <c r="H414" s="134"/>
      <c r="I414" s="135"/>
      <c r="J414" s="2"/>
    </row>
    <row r="415" spans="1:10" ht="15.5">
      <c r="A415" s="181"/>
      <c r="B415" s="175"/>
      <c r="C415" s="147" t="s">
        <v>1250</v>
      </c>
      <c r="D415" s="10"/>
      <c r="E415" s="8" t="s">
        <v>16</v>
      </c>
      <c r="F415" s="135"/>
      <c r="G415" s="135"/>
      <c r="H415" s="134"/>
      <c r="I415" s="135"/>
      <c r="J415" s="2"/>
    </row>
    <row r="416" spans="1:10" ht="15.5">
      <c r="A416" s="181"/>
      <c r="B416" s="176"/>
      <c r="C416" s="148" t="s">
        <v>1251</v>
      </c>
      <c r="D416" s="10"/>
      <c r="E416" s="8" t="s">
        <v>16</v>
      </c>
      <c r="F416" s="135"/>
      <c r="G416" s="135"/>
      <c r="H416" s="134"/>
      <c r="I416" s="135"/>
      <c r="J416" s="2"/>
    </row>
    <row r="417" spans="1:10" ht="15.5">
      <c r="A417" s="181"/>
      <c r="B417" s="174" t="s">
        <v>1252</v>
      </c>
      <c r="C417" s="147" t="s">
        <v>1253</v>
      </c>
      <c r="D417" s="10"/>
      <c r="E417" s="8" t="s">
        <v>16</v>
      </c>
      <c r="F417" s="135"/>
      <c r="G417" s="135"/>
      <c r="H417" s="134"/>
      <c r="I417" s="135"/>
      <c r="J417" s="2"/>
    </row>
    <row r="418" spans="1:10" ht="15.5">
      <c r="A418" s="181"/>
      <c r="B418" s="175"/>
      <c r="C418" s="147" t="s">
        <v>1254</v>
      </c>
      <c r="D418" s="10"/>
      <c r="E418" s="8" t="s">
        <v>16</v>
      </c>
      <c r="F418" s="135"/>
      <c r="G418" s="135"/>
      <c r="H418" s="134"/>
      <c r="I418" s="135"/>
      <c r="J418" s="2"/>
    </row>
    <row r="419" spans="1:10" ht="15.5">
      <c r="A419" s="181"/>
      <c r="B419" s="175"/>
      <c r="C419" s="147" t="s">
        <v>1255</v>
      </c>
      <c r="D419" s="10"/>
      <c r="E419" s="8" t="s">
        <v>16</v>
      </c>
      <c r="F419" s="135"/>
      <c r="G419" s="135"/>
      <c r="H419" s="134"/>
      <c r="I419" s="135"/>
      <c r="J419" s="2"/>
    </row>
    <row r="420" spans="1:10" ht="15.5">
      <c r="A420" s="181"/>
      <c r="B420" s="175"/>
      <c r="C420" s="147" t="s">
        <v>1256</v>
      </c>
      <c r="D420" s="10"/>
      <c r="E420" s="8" t="s">
        <v>16</v>
      </c>
      <c r="F420" s="135"/>
      <c r="G420" s="135"/>
      <c r="H420" s="134"/>
      <c r="I420" s="135"/>
      <c r="J420" s="2"/>
    </row>
    <row r="421" spans="1:10" ht="15.5">
      <c r="A421" s="181"/>
      <c r="B421" s="176"/>
      <c r="C421" s="147" t="s">
        <v>1257</v>
      </c>
      <c r="D421" s="10"/>
      <c r="E421" s="8" t="s">
        <v>16</v>
      </c>
      <c r="F421" s="135"/>
      <c r="G421" s="135"/>
      <c r="H421" s="134"/>
      <c r="I421" s="135"/>
      <c r="J421" s="2"/>
    </row>
    <row r="422" spans="1:10" ht="15.5">
      <c r="A422" s="181"/>
      <c r="B422" s="174" t="s">
        <v>1258</v>
      </c>
      <c r="C422" s="147" t="s">
        <v>1259</v>
      </c>
      <c r="D422" s="10"/>
      <c r="E422" s="8" t="s">
        <v>16</v>
      </c>
      <c r="F422" s="135"/>
      <c r="G422" s="135"/>
      <c r="H422" s="134"/>
      <c r="I422" s="135"/>
      <c r="J422" s="2"/>
    </row>
    <row r="423" spans="1:10" ht="15.5">
      <c r="A423" s="181"/>
      <c r="B423" s="175"/>
      <c r="C423" s="147" t="s">
        <v>1260</v>
      </c>
      <c r="D423" s="10"/>
      <c r="E423" s="8" t="s">
        <v>16</v>
      </c>
      <c r="F423" s="135"/>
      <c r="G423" s="135"/>
      <c r="H423" s="134"/>
      <c r="I423" s="135"/>
      <c r="J423" s="2"/>
    </row>
    <row r="424" spans="1:10" ht="15.5">
      <c r="A424" s="181"/>
      <c r="B424" s="175"/>
      <c r="C424" s="147" t="s">
        <v>1261</v>
      </c>
      <c r="D424" s="10"/>
      <c r="E424" s="8" t="s">
        <v>16</v>
      </c>
      <c r="F424" s="135"/>
      <c r="G424" s="135"/>
      <c r="H424" s="134"/>
      <c r="I424" s="135"/>
      <c r="J424" s="2"/>
    </row>
    <row r="425" spans="1:10" ht="15.5">
      <c r="A425" s="181"/>
      <c r="B425" s="175"/>
      <c r="C425" s="147" t="s">
        <v>1262</v>
      </c>
      <c r="D425" s="10"/>
      <c r="E425" s="8" t="s">
        <v>16</v>
      </c>
      <c r="F425" s="135"/>
      <c r="G425" s="135"/>
      <c r="H425" s="134"/>
      <c r="I425" s="135"/>
      <c r="J425" s="2"/>
    </row>
    <row r="426" spans="1:10" ht="15.5">
      <c r="A426" s="181"/>
      <c r="B426" s="176"/>
      <c r="C426" s="147" t="s">
        <v>1263</v>
      </c>
      <c r="D426" s="10"/>
      <c r="E426" s="8" t="s">
        <v>16</v>
      </c>
      <c r="F426" s="135"/>
      <c r="G426" s="135"/>
      <c r="H426" s="134"/>
      <c r="I426" s="135"/>
      <c r="J426" s="2"/>
    </row>
    <row r="427" spans="1:10" ht="15.5">
      <c r="A427" s="181"/>
      <c r="B427" s="174" t="s">
        <v>1264</v>
      </c>
      <c r="C427" s="147" t="s">
        <v>1265</v>
      </c>
      <c r="D427" s="10"/>
      <c r="E427" s="8" t="s">
        <v>16</v>
      </c>
      <c r="F427" s="135"/>
      <c r="G427" s="135"/>
      <c r="H427" s="134"/>
      <c r="I427" s="135"/>
      <c r="J427" s="2"/>
    </row>
    <row r="428" spans="1:10" ht="15.5">
      <c r="A428" s="181"/>
      <c r="B428" s="175"/>
      <c r="C428" s="147" t="s">
        <v>1266</v>
      </c>
      <c r="D428" s="10"/>
      <c r="E428" s="8" t="s">
        <v>16</v>
      </c>
      <c r="F428" s="135"/>
      <c r="G428" s="135"/>
      <c r="H428" s="134"/>
      <c r="I428" s="135"/>
      <c r="J428" s="2"/>
    </row>
    <row r="429" spans="1:10" ht="15.5">
      <c r="A429" s="181"/>
      <c r="B429" s="175"/>
      <c r="C429" s="147" t="s">
        <v>1267</v>
      </c>
      <c r="D429" s="10"/>
      <c r="E429" s="8" t="s">
        <v>16</v>
      </c>
      <c r="F429" s="135"/>
      <c r="G429" s="135"/>
      <c r="H429" s="134"/>
      <c r="I429" s="135"/>
      <c r="J429" s="2"/>
    </row>
    <row r="430" spans="1:10" ht="15.5">
      <c r="A430" s="181"/>
      <c r="B430" s="175"/>
      <c r="C430" s="147" t="s">
        <v>1268</v>
      </c>
      <c r="D430" s="10"/>
      <c r="E430" s="8" t="s">
        <v>16</v>
      </c>
      <c r="F430" s="135"/>
      <c r="G430" s="135"/>
      <c r="H430" s="134"/>
      <c r="I430" s="135"/>
      <c r="J430" s="2"/>
    </row>
    <row r="431" spans="1:10" ht="15.5">
      <c r="A431" s="181"/>
      <c r="B431" s="176"/>
      <c r="C431" s="147" t="s">
        <v>1269</v>
      </c>
      <c r="D431" s="10"/>
      <c r="E431" s="8" t="s">
        <v>16</v>
      </c>
      <c r="F431" s="135"/>
      <c r="G431" s="135"/>
      <c r="H431" s="134"/>
      <c r="I431" s="135"/>
      <c r="J431" s="2"/>
    </row>
    <row r="432" spans="1:10" ht="15.5">
      <c r="A432" s="181"/>
      <c r="B432" s="174" t="s">
        <v>1270</v>
      </c>
      <c r="C432" s="147" t="s">
        <v>1271</v>
      </c>
      <c r="D432" s="10"/>
      <c r="E432" s="8" t="s">
        <v>16</v>
      </c>
      <c r="F432" s="135"/>
      <c r="G432" s="135"/>
      <c r="H432" s="134"/>
      <c r="I432" s="135"/>
      <c r="J432" s="2"/>
    </row>
    <row r="433" spans="1:10" ht="15.5">
      <c r="A433" s="181"/>
      <c r="B433" s="175"/>
      <c r="C433" s="147" t="s">
        <v>1272</v>
      </c>
      <c r="D433" s="10"/>
      <c r="E433" s="8" t="s">
        <v>16</v>
      </c>
      <c r="F433" s="135"/>
      <c r="G433" s="135"/>
      <c r="H433" s="134"/>
      <c r="I433" s="135"/>
      <c r="J433" s="2"/>
    </row>
    <row r="434" spans="1:10" ht="15.5">
      <c r="A434" s="181"/>
      <c r="B434" s="175"/>
      <c r="C434" s="147" t="s">
        <v>1273</v>
      </c>
      <c r="D434" s="10"/>
      <c r="E434" s="8" t="s">
        <v>16</v>
      </c>
      <c r="F434" s="135"/>
      <c r="G434" s="135"/>
      <c r="H434" s="134"/>
      <c r="I434" s="135"/>
      <c r="J434" s="2"/>
    </row>
    <row r="435" spans="1:10" ht="15.5">
      <c r="A435" s="181"/>
      <c r="B435" s="175"/>
      <c r="C435" s="147" t="s">
        <v>1274</v>
      </c>
      <c r="D435" s="10"/>
      <c r="E435" s="8" t="s">
        <v>16</v>
      </c>
      <c r="F435" s="135"/>
      <c r="G435" s="135"/>
      <c r="H435" s="134"/>
      <c r="I435" s="135"/>
      <c r="J435" s="2"/>
    </row>
    <row r="436" spans="1:10" ht="16" thickBot="1">
      <c r="A436" s="182"/>
      <c r="B436" s="176"/>
      <c r="C436" s="146" t="s">
        <v>1275</v>
      </c>
      <c r="D436" s="10" t="s">
        <v>1276</v>
      </c>
      <c r="E436" s="8" t="s">
        <v>23</v>
      </c>
      <c r="F436" s="135"/>
      <c r="G436" s="135"/>
      <c r="H436" s="134"/>
      <c r="I436" s="135"/>
      <c r="J436" s="2"/>
    </row>
    <row r="437" spans="1:10" ht="15.5">
      <c r="A437" s="183" t="s">
        <v>1277</v>
      </c>
      <c r="B437" s="174" t="s">
        <v>1278</v>
      </c>
      <c r="C437" s="147" t="s">
        <v>1279</v>
      </c>
      <c r="D437" s="10"/>
      <c r="E437" s="8" t="s">
        <v>58</v>
      </c>
      <c r="F437" s="135" t="s">
        <v>1280</v>
      </c>
      <c r="G437" s="135" t="s">
        <v>1281</v>
      </c>
      <c r="H437" s="134" t="s">
        <v>213</v>
      </c>
      <c r="I437" s="135" t="s">
        <v>1282</v>
      </c>
      <c r="J437" s="2"/>
    </row>
    <row r="438" spans="1:10" ht="15.5">
      <c r="A438" s="181"/>
      <c r="B438" s="175"/>
      <c r="C438" s="147" t="s">
        <v>1284</v>
      </c>
      <c r="D438" s="10"/>
      <c r="E438" s="8" t="s">
        <v>58</v>
      </c>
      <c r="F438" s="135"/>
      <c r="G438" s="135"/>
      <c r="H438" s="134"/>
      <c r="I438" s="135"/>
      <c r="J438" s="2"/>
    </row>
    <row r="439" spans="1:10" ht="15.5">
      <c r="A439" s="181"/>
      <c r="B439" s="175"/>
      <c r="C439" s="147" t="s">
        <v>1285</v>
      </c>
      <c r="D439" s="10"/>
      <c r="E439" s="8" t="s">
        <v>58</v>
      </c>
      <c r="F439" s="135"/>
      <c r="G439" s="135"/>
      <c r="H439" s="134"/>
      <c r="I439" s="135"/>
      <c r="J439" s="2"/>
    </row>
    <row r="440" spans="1:10" ht="15.5">
      <c r="A440" s="181"/>
      <c r="B440" s="175"/>
      <c r="C440" s="147" t="s">
        <v>1286</v>
      </c>
      <c r="D440" s="10"/>
      <c r="E440" s="8" t="s">
        <v>58</v>
      </c>
      <c r="F440" s="135"/>
      <c r="G440" s="135"/>
      <c r="H440" s="134"/>
      <c r="I440" s="135"/>
      <c r="J440" s="2"/>
    </row>
    <row r="441" spans="1:10" ht="15.5">
      <c r="A441" s="181"/>
      <c r="B441" s="176"/>
      <c r="C441" s="147" t="s">
        <v>1287</v>
      </c>
      <c r="D441" s="10"/>
      <c r="E441" s="8" t="s">
        <v>58</v>
      </c>
      <c r="F441" s="135"/>
      <c r="G441" s="135"/>
      <c r="H441" s="134"/>
      <c r="I441" s="135"/>
      <c r="J441" s="2"/>
    </row>
    <row r="442" spans="1:10" ht="15.5">
      <c r="A442" s="181"/>
      <c r="B442" s="174" t="s">
        <v>1288</v>
      </c>
      <c r="C442" s="147" t="s">
        <v>1289</v>
      </c>
      <c r="D442" s="10"/>
      <c r="E442" s="8" t="s">
        <v>16</v>
      </c>
      <c r="F442" s="135"/>
      <c r="G442" s="135"/>
      <c r="H442" s="134"/>
      <c r="I442" s="135"/>
      <c r="J442" s="2"/>
    </row>
    <row r="443" spans="1:10" ht="15.5">
      <c r="A443" s="181"/>
      <c r="B443" s="175"/>
      <c r="C443" s="147" t="s">
        <v>1290</v>
      </c>
      <c r="D443" s="10"/>
      <c r="E443" s="8" t="s">
        <v>16</v>
      </c>
      <c r="F443" s="135"/>
      <c r="G443" s="135"/>
      <c r="H443" s="134"/>
      <c r="I443" s="135"/>
      <c r="J443" s="2"/>
    </row>
    <row r="444" spans="1:10" ht="15.5">
      <c r="A444" s="181"/>
      <c r="B444" s="175"/>
      <c r="C444" s="147" t="s">
        <v>1291</v>
      </c>
      <c r="D444" s="10"/>
      <c r="E444" s="8" t="s">
        <v>16</v>
      </c>
      <c r="F444" s="135"/>
      <c r="G444" s="135"/>
      <c r="H444" s="134"/>
      <c r="I444" s="135"/>
      <c r="J444" s="2"/>
    </row>
    <row r="445" spans="1:10" ht="15.5">
      <c r="A445" s="181"/>
      <c r="B445" s="175"/>
      <c r="C445" s="147" t="s">
        <v>1292</v>
      </c>
      <c r="D445" s="10"/>
      <c r="E445" s="8" t="s">
        <v>23</v>
      </c>
      <c r="F445" s="135"/>
      <c r="G445" s="135"/>
      <c r="H445" s="134"/>
      <c r="I445" s="135"/>
      <c r="J445" s="2"/>
    </row>
    <row r="446" spans="1:10" ht="15.5">
      <c r="A446" s="181"/>
      <c r="B446" s="176"/>
      <c r="C446" s="147" t="s">
        <v>1293</v>
      </c>
      <c r="D446" s="10"/>
      <c r="E446" s="8" t="s">
        <v>23</v>
      </c>
      <c r="F446" s="135"/>
      <c r="G446" s="135"/>
      <c r="H446" s="134"/>
      <c r="I446" s="135"/>
      <c r="J446" s="2"/>
    </row>
    <row r="447" spans="1:10" ht="15.5">
      <c r="A447" s="181"/>
      <c r="B447" s="174" t="s">
        <v>1294</v>
      </c>
      <c r="C447" s="147" t="s">
        <v>1295</v>
      </c>
      <c r="D447" s="10"/>
      <c r="E447" s="8" t="s">
        <v>16</v>
      </c>
      <c r="F447" s="135"/>
      <c r="G447" s="135"/>
      <c r="H447" s="134"/>
      <c r="I447" s="135"/>
      <c r="J447" s="2"/>
    </row>
    <row r="448" spans="1:10" ht="15.5">
      <c r="A448" s="181"/>
      <c r="B448" s="175"/>
      <c r="C448" s="147" t="s">
        <v>1296</v>
      </c>
      <c r="D448" s="10"/>
      <c r="E448" s="8" t="s">
        <v>58</v>
      </c>
      <c r="F448" s="135"/>
      <c r="G448" s="135"/>
      <c r="H448" s="134"/>
      <c r="I448" s="135"/>
      <c r="J448" s="2"/>
    </row>
    <row r="449" spans="1:10" ht="15.5">
      <c r="A449" s="181"/>
      <c r="B449" s="175"/>
      <c r="C449" s="147" t="s">
        <v>1297</v>
      </c>
      <c r="D449" s="10"/>
      <c r="E449" s="8" t="s">
        <v>16</v>
      </c>
      <c r="F449" s="135"/>
      <c r="G449" s="135"/>
      <c r="H449" s="134"/>
      <c r="I449" s="135"/>
      <c r="J449" s="2"/>
    </row>
    <row r="450" spans="1:10" ht="15.5">
      <c r="A450" s="181"/>
      <c r="B450" s="175"/>
      <c r="C450" s="147" t="s">
        <v>1298</v>
      </c>
      <c r="D450" s="10"/>
      <c r="E450" s="8" t="s">
        <v>58</v>
      </c>
      <c r="F450" s="135"/>
      <c r="G450" s="135"/>
      <c r="H450" s="134"/>
      <c r="I450" s="135"/>
      <c r="J450" s="2"/>
    </row>
    <row r="451" spans="1:10" ht="15.5">
      <c r="A451" s="181"/>
      <c r="B451" s="176"/>
      <c r="C451" s="147" t="s">
        <v>1299</v>
      </c>
      <c r="D451" s="10"/>
      <c r="E451" s="8" t="s">
        <v>16</v>
      </c>
      <c r="F451" s="135"/>
      <c r="G451" s="135"/>
      <c r="H451" s="134"/>
      <c r="I451" s="135"/>
      <c r="J451" s="2"/>
    </row>
    <row r="452" spans="1:10" ht="15.5">
      <c r="A452" s="181"/>
      <c r="B452" s="174" t="s">
        <v>1300</v>
      </c>
      <c r="C452" s="147" t="s">
        <v>1301</v>
      </c>
      <c r="D452" s="10"/>
      <c r="E452" s="8" t="s">
        <v>16</v>
      </c>
      <c r="F452" s="135"/>
      <c r="G452" s="135"/>
      <c r="H452" s="134"/>
      <c r="I452" s="135"/>
      <c r="J452" s="2"/>
    </row>
    <row r="453" spans="1:10" ht="15.5">
      <c r="A453" s="181"/>
      <c r="B453" s="175"/>
      <c r="C453" s="147" t="s">
        <v>1302</v>
      </c>
      <c r="D453" s="10"/>
      <c r="E453" s="8" t="s">
        <v>16</v>
      </c>
      <c r="F453" s="135"/>
      <c r="G453" s="135"/>
      <c r="H453" s="134"/>
      <c r="I453" s="135"/>
      <c r="J453" s="2"/>
    </row>
    <row r="454" spans="1:10" ht="15.5">
      <c r="A454" s="181"/>
      <c r="B454" s="175"/>
      <c r="C454" s="147" t="s">
        <v>1303</v>
      </c>
      <c r="D454" s="10"/>
      <c r="E454" s="8" t="s">
        <v>58</v>
      </c>
      <c r="F454" s="135"/>
      <c r="G454" s="135"/>
      <c r="H454" s="134"/>
      <c r="I454" s="135"/>
      <c r="J454" s="2"/>
    </row>
    <row r="455" spans="1:10" ht="15.5">
      <c r="A455" s="181"/>
      <c r="B455" s="175"/>
      <c r="C455" s="147" t="s">
        <v>1304</v>
      </c>
      <c r="D455" s="10"/>
      <c r="E455" s="8" t="s">
        <v>23</v>
      </c>
      <c r="F455" s="135"/>
      <c r="G455" s="135"/>
      <c r="H455" s="134"/>
      <c r="I455" s="135"/>
      <c r="J455" s="2"/>
    </row>
    <row r="456" spans="1:10" ht="15.5">
      <c r="A456" s="181"/>
      <c r="B456" s="176"/>
      <c r="C456" s="147" t="s">
        <v>1305</v>
      </c>
      <c r="D456" s="10"/>
      <c r="E456" s="8" t="s">
        <v>23</v>
      </c>
      <c r="F456" s="135"/>
      <c r="G456" s="135"/>
      <c r="H456" s="134"/>
      <c r="I456" s="135"/>
      <c r="J456" s="2"/>
    </row>
    <row r="457" spans="1:10" ht="15.5">
      <c r="A457" s="181"/>
      <c r="B457" s="174" t="s">
        <v>1306</v>
      </c>
      <c r="C457" s="147" t="s">
        <v>1307</v>
      </c>
      <c r="D457" s="10"/>
      <c r="E457" s="8" t="s">
        <v>58</v>
      </c>
      <c r="F457" s="135"/>
      <c r="G457" s="135"/>
      <c r="H457" s="134"/>
      <c r="I457" s="135"/>
      <c r="J457" s="2"/>
    </row>
    <row r="458" spans="1:10" ht="15.5">
      <c r="A458" s="181"/>
      <c r="B458" s="175"/>
      <c r="C458" s="147" t="s">
        <v>1308</v>
      </c>
      <c r="D458" s="10"/>
      <c r="E458" s="8" t="s">
        <v>23</v>
      </c>
      <c r="F458" s="135"/>
      <c r="G458" s="135"/>
      <c r="H458" s="134"/>
      <c r="I458" s="135"/>
      <c r="J458" s="2"/>
    </row>
    <row r="459" spans="1:10" ht="15.5">
      <c r="A459" s="181"/>
      <c r="B459" s="175"/>
      <c r="C459" s="147" t="s">
        <v>1309</v>
      </c>
      <c r="D459" s="10"/>
      <c r="E459" s="8" t="s">
        <v>16</v>
      </c>
      <c r="F459" s="135"/>
      <c r="G459" s="135"/>
      <c r="H459" s="134"/>
      <c r="I459" s="135"/>
      <c r="J459" s="2"/>
    </row>
    <row r="460" spans="1:10" ht="15.5">
      <c r="A460" s="181"/>
      <c r="B460" s="175"/>
      <c r="C460" s="147" t="s">
        <v>1310</v>
      </c>
      <c r="D460" s="10"/>
      <c r="E460" s="8" t="s">
        <v>16</v>
      </c>
      <c r="F460" s="135"/>
      <c r="G460" s="135"/>
      <c r="H460" s="134"/>
      <c r="I460" s="135"/>
      <c r="J460" s="2"/>
    </row>
    <row r="461" spans="1:10" ht="15.5">
      <c r="A461" s="181"/>
      <c r="B461" s="176"/>
      <c r="C461" s="147" t="s">
        <v>1311</v>
      </c>
      <c r="D461" s="10"/>
      <c r="E461" s="8" t="s">
        <v>16</v>
      </c>
      <c r="F461" s="135"/>
      <c r="G461" s="135"/>
      <c r="H461" s="134"/>
      <c r="I461" s="135"/>
      <c r="J461" s="2"/>
    </row>
    <row r="462" spans="1:10" ht="15.5">
      <c r="A462" s="181"/>
      <c r="B462" s="174" t="s">
        <v>1312</v>
      </c>
      <c r="C462" s="147" t="s">
        <v>1313</v>
      </c>
      <c r="D462" s="10"/>
      <c r="E462" s="8" t="s">
        <v>16</v>
      </c>
      <c r="F462" s="135"/>
      <c r="G462" s="135"/>
      <c r="H462" s="134"/>
      <c r="I462" s="135"/>
      <c r="J462" s="2"/>
    </row>
    <row r="463" spans="1:10" ht="15.5">
      <c r="A463" s="181"/>
      <c r="B463" s="175"/>
      <c r="C463" s="147" t="s">
        <v>1314</v>
      </c>
      <c r="D463" s="10"/>
      <c r="E463" s="8" t="s">
        <v>16</v>
      </c>
      <c r="F463" s="135"/>
      <c r="G463" s="135"/>
      <c r="H463" s="134"/>
      <c r="I463" s="135"/>
      <c r="J463" s="2"/>
    </row>
    <row r="464" spans="1:10" ht="15.5">
      <c r="A464" s="181"/>
      <c r="B464" s="175"/>
      <c r="C464" s="147" t="s">
        <v>1315</v>
      </c>
      <c r="D464" s="10"/>
      <c r="E464" s="8" t="s">
        <v>16</v>
      </c>
      <c r="F464" s="135"/>
      <c r="G464" s="135"/>
      <c r="H464" s="134"/>
      <c r="I464" s="135"/>
      <c r="J464" s="2"/>
    </row>
    <row r="465" spans="1:10" ht="15.5">
      <c r="A465" s="181"/>
      <c r="B465" s="175"/>
      <c r="C465" s="147" t="s">
        <v>1316</v>
      </c>
      <c r="D465" s="10"/>
      <c r="E465" s="8" t="s">
        <v>16</v>
      </c>
      <c r="F465" s="135"/>
      <c r="G465" s="135"/>
      <c r="H465" s="134"/>
      <c r="I465" s="135"/>
      <c r="J465" s="2"/>
    </row>
    <row r="466" spans="1:10" ht="16" thickBot="1">
      <c r="A466" s="182"/>
      <c r="B466" s="176"/>
      <c r="C466" s="146" t="s">
        <v>1317</v>
      </c>
      <c r="D466" s="10" t="s">
        <v>1318</v>
      </c>
      <c r="E466" s="8" t="s">
        <v>16</v>
      </c>
      <c r="F466" s="135"/>
      <c r="G466" s="135"/>
      <c r="H466" s="134"/>
      <c r="I466" s="135"/>
      <c r="J466" s="2"/>
    </row>
    <row r="467" spans="1:10" ht="15.5">
      <c r="A467" s="181" t="s">
        <v>1319</v>
      </c>
      <c r="B467" s="174" t="s">
        <v>1320</v>
      </c>
      <c r="C467" s="147" t="s">
        <v>1321</v>
      </c>
      <c r="D467" s="10"/>
      <c r="E467" s="8" t="s">
        <v>16</v>
      </c>
      <c r="F467" s="135" t="s">
        <v>1322</v>
      </c>
      <c r="G467" s="135" t="s">
        <v>1323</v>
      </c>
      <c r="H467" s="134" t="s">
        <v>26</v>
      </c>
      <c r="I467" s="135" t="s">
        <v>1324</v>
      </c>
      <c r="J467" s="2"/>
    </row>
    <row r="468" spans="1:10" ht="15.5">
      <c r="A468" s="181"/>
      <c r="B468" s="175"/>
      <c r="C468" s="147" t="s">
        <v>1325</v>
      </c>
      <c r="D468" s="10"/>
      <c r="E468" s="8" t="s">
        <v>16</v>
      </c>
      <c r="F468" s="135"/>
      <c r="G468" s="135"/>
      <c r="H468" s="134"/>
      <c r="I468" s="135"/>
      <c r="J468" s="2"/>
    </row>
    <row r="469" spans="1:10" ht="15.5">
      <c r="A469" s="181"/>
      <c r="B469" s="175"/>
      <c r="C469" s="147" t="s">
        <v>1326</v>
      </c>
      <c r="D469" s="10"/>
      <c r="E469" s="8" t="s">
        <v>16</v>
      </c>
      <c r="F469" s="135"/>
      <c r="G469" s="135"/>
      <c r="H469" s="134"/>
      <c r="I469" s="135"/>
      <c r="J469" s="2"/>
    </row>
    <row r="470" spans="1:10" ht="15.5">
      <c r="A470" s="181"/>
      <c r="B470" s="175"/>
      <c r="C470" s="147" t="s">
        <v>1327</v>
      </c>
      <c r="D470" s="10"/>
      <c r="E470" s="8" t="s">
        <v>16</v>
      </c>
      <c r="F470" s="135"/>
      <c r="G470" s="135"/>
      <c r="H470" s="134"/>
      <c r="I470" s="135"/>
      <c r="J470" s="2"/>
    </row>
    <row r="471" spans="1:10" ht="15.5">
      <c r="A471" s="181"/>
      <c r="B471" s="176"/>
      <c r="C471" s="147" t="s">
        <v>1328</v>
      </c>
      <c r="D471" s="10"/>
      <c r="E471" s="8" t="s">
        <v>16</v>
      </c>
      <c r="F471" s="135"/>
      <c r="G471" s="135"/>
      <c r="H471" s="134"/>
      <c r="I471" s="135"/>
      <c r="J471" s="2"/>
    </row>
    <row r="472" spans="1:10" ht="15.5">
      <c r="A472" s="181"/>
      <c r="B472" s="174" t="s">
        <v>1329</v>
      </c>
      <c r="C472" s="147" t="s">
        <v>1330</v>
      </c>
      <c r="D472" s="10"/>
      <c r="E472" s="8" t="s">
        <v>16</v>
      </c>
      <c r="F472" s="135"/>
      <c r="G472" s="135"/>
      <c r="H472" s="134"/>
      <c r="I472" s="135"/>
      <c r="J472" s="2"/>
    </row>
    <row r="473" spans="1:10" ht="15.5">
      <c r="A473" s="181"/>
      <c r="B473" s="175"/>
      <c r="C473" s="147" t="s">
        <v>1331</v>
      </c>
      <c r="D473" s="10"/>
      <c r="E473" s="8" t="s">
        <v>16</v>
      </c>
      <c r="F473" s="135"/>
      <c r="G473" s="135"/>
      <c r="H473" s="134"/>
      <c r="I473" s="135"/>
      <c r="J473" s="2"/>
    </row>
    <row r="474" spans="1:10" ht="15.5">
      <c r="A474" s="181"/>
      <c r="B474" s="175"/>
      <c r="C474" s="147" t="s">
        <v>1332</v>
      </c>
      <c r="D474" s="10"/>
      <c r="E474" s="8" t="s">
        <v>16</v>
      </c>
      <c r="F474" s="135"/>
      <c r="G474" s="135"/>
      <c r="H474" s="134"/>
      <c r="I474" s="135"/>
      <c r="J474" s="2"/>
    </row>
    <row r="475" spans="1:10" ht="15.5">
      <c r="A475" s="181"/>
      <c r="B475" s="175"/>
      <c r="C475" s="147" t="s">
        <v>1333</v>
      </c>
      <c r="D475" s="10"/>
      <c r="E475" s="8" t="s">
        <v>16</v>
      </c>
      <c r="F475" s="135"/>
      <c r="G475" s="135"/>
      <c r="H475" s="134"/>
      <c r="I475" s="135"/>
      <c r="J475" s="2"/>
    </row>
    <row r="476" spans="1:10" ht="15.5">
      <c r="A476" s="181"/>
      <c r="B476" s="176"/>
      <c r="C476" s="147" t="s">
        <v>1334</v>
      </c>
      <c r="D476" s="10"/>
      <c r="E476" s="8" t="s">
        <v>16</v>
      </c>
      <c r="F476" s="135"/>
      <c r="G476" s="135"/>
      <c r="H476" s="134"/>
      <c r="I476" s="135"/>
      <c r="J476" s="2"/>
    </row>
    <row r="477" spans="1:10" ht="15.5">
      <c r="A477" s="181"/>
      <c r="B477" s="174" t="s">
        <v>1335</v>
      </c>
      <c r="C477" s="147" t="s">
        <v>1336</v>
      </c>
      <c r="D477" s="10"/>
      <c r="E477" s="8" t="s">
        <v>16</v>
      </c>
      <c r="F477" s="135"/>
      <c r="G477" s="135"/>
      <c r="H477" s="134"/>
      <c r="I477" s="135"/>
      <c r="J477" s="2"/>
    </row>
    <row r="478" spans="1:10" ht="15.5">
      <c r="A478" s="181"/>
      <c r="B478" s="175"/>
      <c r="C478" s="147" t="s">
        <v>1337</v>
      </c>
      <c r="D478" s="10"/>
      <c r="E478" s="8" t="s">
        <v>16</v>
      </c>
      <c r="F478" s="135"/>
      <c r="G478" s="135"/>
      <c r="H478" s="134"/>
      <c r="I478" s="135"/>
      <c r="J478" s="2"/>
    </row>
    <row r="479" spans="1:10" ht="15.5">
      <c r="A479" s="181"/>
      <c r="B479" s="175"/>
      <c r="C479" s="147" t="s">
        <v>1338</v>
      </c>
      <c r="D479" s="10"/>
      <c r="E479" s="8" t="s">
        <v>16</v>
      </c>
      <c r="F479" s="135"/>
      <c r="G479" s="135"/>
      <c r="H479" s="134"/>
      <c r="I479" s="135"/>
      <c r="J479" s="2"/>
    </row>
    <row r="480" spans="1:10" ht="15.5">
      <c r="A480" s="181"/>
      <c r="B480" s="175"/>
      <c r="C480" s="147" t="s">
        <v>1339</v>
      </c>
      <c r="D480" s="10"/>
      <c r="E480" s="8" t="s">
        <v>16</v>
      </c>
      <c r="F480" s="135"/>
      <c r="G480" s="135"/>
      <c r="H480" s="134"/>
      <c r="I480" s="135"/>
      <c r="J480" s="2"/>
    </row>
    <row r="481" spans="1:10" ht="15.5">
      <c r="A481" s="181"/>
      <c r="B481" s="176"/>
      <c r="C481" s="147" t="s">
        <v>1340</v>
      </c>
      <c r="D481" s="10"/>
      <c r="E481" s="8" t="s">
        <v>16</v>
      </c>
      <c r="F481" s="135"/>
      <c r="G481" s="135"/>
      <c r="H481" s="134"/>
      <c r="I481" s="135"/>
      <c r="J481" s="2"/>
    </row>
    <row r="482" spans="1:10" ht="15.5">
      <c r="A482" s="181"/>
      <c r="B482" s="174" t="s">
        <v>1341</v>
      </c>
      <c r="C482" s="147" t="s">
        <v>1342</v>
      </c>
      <c r="D482" s="10"/>
      <c r="E482" s="8" t="s">
        <v>16</v>
      </c>
      <c r="F482" s="135"/>
      <c r="G482" s="135"/>
      <c r="H482" s="134"/>
      <c r="I482" s="135"/>
      <c r="J482" s="2"/>
    </row>
    <row r="483" spans="1:10" ht="15.5">
      <c r="A483" s="181"/>
      <c r="B483" s="175"/>
      <c r="C483" s="147" t="s">
        <v>1343</v>
      </c>
      <c r="D483" s="10"/>
      <c r="E483" s="8" t="s">
        <v>16</v>
      </c>
      <c r="F483" s="135"/>
      <c r="G483" s="135"/>
      <c r="H483" s="134"/>
      <c r="I483" s="135"/>
      <c r="J483" s="2"/>
    </row>
    <row r="484" spans="1:10" ht="15.5">
      <c r="A484" s="181"/>
      <c r="B484" s="175"/>
      <c r="C484" s="147" t="s">
        <v>1344</v>
      </c>
      <c r="D484" s="10"/>
      <c r="E484" s="8" t="s">
        <v>16</v>
      </c>
      <c r="F484" s="135"/>
      <c r="G484" s="135"/>
      <c r="H484" s="134"/>
      <c r="I484" s="135"/>
      <c r="J484" s="2"/>
    </row>
    <row r="485" spans="1:10" ht="15.5">
      <c r="A485" s="181"/>
      <c r="B485" s="175"/>
      <c r="C485" s="147" t="s">
        <v>1345</v>
      </c>
      <c r="D485" s="10"/>
      <c r="E485" s="8" t="s">
        <v>16</v>
      </c>
      <c r="F485" s="135"/>
      <c r="G485" s="135"/>
      <c r="H485" s="134"/>
      <c r="I485" s="135"/>
      <c r="J485" s="2"/>
    </row>
    <row r="486" spans="1:10" ht="15.5">
      <c r="A486" s="181"/>
      <c r="B486" s="176"/>
      <c r="C486" s="147" t="s">
        <v>1346</v>
      </c>
      <c r="D486" s="10"/>
      <c r="E486" s="8" t="s">
        <v>16</v>
      </c>
      <c r="F486" s="135"/>
      <c r="G486" s="135"/>
      <c r="H486" s="134"/>
      <c r="I486" s="135"/>
      <c r="J486" s="2"/>
    </row>
    <row r="487" spans="1:10" ht="15.5">
      <c r="A487" s="181"/>
      <c r="B487" s="174" t="s">
        <v>1347</v>
      </c>
      <c r="C487" s="147" t="s">
        <v>1348</v>
      </c>
      <c r="D487" s="10"/>
      <c r="E487" s="8" t="s">
        <v>16</v>
      </c>
      <c r="F487" s="135"/>
      <c r="G487" s="135"/>
      <c r="H487" s="134"/>
      <c r="I487" s="135"/>
      <c r="J487" s="2"/>
    </row>
    <row r="488" spans="1:10" ht="15.5">
      <c r="A488" s="181"/>
      <c r="B488" s="175"/>
      <c r="C488" s="147" t="s">
        <v>1349</v>
      </c>
      <c r="D488" s="10"/>
      <c r="E488" s="8" t="s">
        <v>16</v>
      </c>
      <c r="F488" s="135"/>
      <c r="G488" s="135"/>
      <c r="H488" s="134"/>
      <c r="I488" s="135"/>
      <c r="J488" s="2"/>
    </row>
    <row r="489" spans="1:10" ht="15.5">
      <c r="A489" s="181"/>
      <c r="B489" s="175"/>
      <c r="C489" s="147" t="s">
        <v>1350</v>
      </c>
      <c r="D489" s="10"/>
      <c r="E489" s="8" t="s">
        <v>16</v>
      </c>
      <c r="F489" s="135"/>
      <c r="G489" s="135"/>
      <c r="H489" s="134"/>
      <c r="I489" s="135"/>
      <c r="J489" s="2"/>
    </row>
    <row r="490" spans="1:10" ht="15.5">
      <c r="A490" s="181"/>
      <c r="B490" s="175"/>
      <c r="C490" s="147" t="s">
        <v>1351</v>
      </c>
      <c r="D490" s="10"/>
      <c r="E490" s="8" t="s">
        <v>16</v>
      </c>
      <c r="F490" s="135"/>
      <c r="G490" s="135"/>
      <c r="H490" s="134"/>
      <c r="I490" s="135"/>
      <c r="J490" s="2"/>
    </row>
    <row r="491" spans="1:10" ht="15.5">
      <c r="A491" s="181"/>
      <c r="B491" s="176"/>
      <c r="C491" s="147" t="s">
        <v>1352</v>
      </c>
      <c r="D491" s="10"/>
      <c r="E491" s="8" t="s">
        <v>23</v>
      </c>
      <c r="F491" s="135"/>
      <c r="G491" s="135"/>
      <c r="H491" s="134"/>
      <c r="I491" s="135"/>
      <c r="J491" s="2"/>
    </row>
    <row r="492" spans="1:10" ht="15.5">
      <c r="A492" s="181"/>
      <c r="B492" s="174" t="s">
        <v>1353</v>
      </c>
      <c r="C492" s="149" t="s">
        <v>1354</v>
      </c>
      <c r="D492" s="10"/>
      <c r="E492" s="8" t="s">
        <v>23</v>
      </c>
      <c r="F492" s="135"/>
      <c r="G492" s="135"/>
      <c r="H492" s="134"/>
      <c r="I492" s="135"/>
      <c r="J492" s="2"/>
    </row>
    <row r="493" spans="1:10" ht="15.5">
      <c r="A493" s="181"/>
      <c r="B493" s="175"/>
      <c r="C493" s="149" t="s">
        <v>1355</v>
      </c>
      <c r="D493" s="10"/>
      <c r="E493" s="8" t="s">
        <v>58</v>
      </c>
      <c r="F493" s="135"/>
      <c r="G493" s="135"/>
      <c r="H493" s="134"/>
      <c r="I493" s="135"/>
      <c r="J493" s="2"/>
    </row>
    <row r="494" spans="1:10" ht="15.5">
      <c r="A494" s="181"/>
      <c r="B494" s="175"/>
      <c r="C494" s="149" t="s">
        <v>1356</v>
      </c>
      <c r="D494" s="10"/>
      <c r="E494" s="8" t="s">
        <v>16</v>
      </c>
      <c r="F494" s="135"/>
      <c r="G494" s="135"/>
      <c r="H494" s="134"/>
      <c r="I494" s="135"/>
      <c r="J494" s="2"/>
    </row>
    <row r="495" spans="1:10" ht="15.5">
      <c r="A495" s="181"/>
      <c r="B495" s="175"/>
      <c r="C495" s="150" t="s">
        <v>1357</v>
      </c>
      <c r="D495" s="10"/>
      <c r="E495" s="8" t="s">
        <v>16</v>
      </c>
      <c r="F495" s="135"/>
      <c r="G495" s="135"/>
      <c r="H495" s="134"/>
      <c r="I495" s="135"/>
      <c r="J495" s="2"/>
    </row>
    <row r="496" spans="1:10" ht="16" thickBot="1">
      <c r="A496" s="181"/>
      <c r="B496" s="176"/>
      <c r="C496" s="146" t="s">
        <v>1358</v>
      </c>
      <c r="D496" s="10"/>
      <c r="E496" s="8" t="s">
        <v>23</v>
      </c>
      <c r="F496" s="135"/>
      <c r="G496" s="135"/>
      <c r="H496" s="134"/>
      <c r="I496" s="135"/>
      <c r="J496" s="2"/>
    </row>
    <row r="497" spans="1:10" ht="15.5">
      <c r="A497" s="183" t="s">
        <v>1359</v>
      </c>
      <c r="B497" s="174" t="s">
        <v>1360</v>
      </c>
      <c r="C497" s="147" t="s">
        <v>1361</v>
      </c>
      <c r="D497" s="10"/>
      <c r="E497" s="8" t="s">
        <v>58</v>
      </c>
      <c r="F497" s="135"/>
      <c r="G497" s="135"/>
      <c r="H497" s="134"/>
      <c r="I497" s="135"/>
      <c r="J497" s="2"/>
    </row>
    <row r="498" spans="1:10" ht="15.5">
      <c r="A498" s="181"/>
      <c r="B498" s="175"/>
      <c r="C498" s="147" t="s">
        <v>1362</v>
      </c>
      <c r="D498" s="10"/>
      <c r="E498" s="8" t="s">
        <v>58</v>
      </c>
      <c r="F498" s="135"/>
      <c r="G498" s="135"/>
      <c r="H498" s="134"/>
      <c r="I498" s="135"/>
      <c r="J498" s="2"/>
    </row>
    <row r="499" spans="1:10" ht="15.5">
      <c r="A499" s="181"/>
      <c r="B499" s="175"/>
      <c r="C499" s="147" t="s">
        <v>1363</v>
      </c>
      <c r="D499" s="10"/>
      <c r="E499" s="8" t="s">
        <v>58</v>
      </c>
      <c r="F499" s="135"/>
      <c r="G499" s="135"/>
      <c r="H499" s="134"/>
      <c r="I499" s="135"/>
      <c r="J499" s="2"/>
    </row>
    <row r="500" spans="1:10" ht="15.5">
      <c r="A500" s="181"/>
      <c r="B500" s="175"/>
      <c r="C500" s="147" t="s">
        <v>1364</v>
      </c>
      <c r="D500" s="10"/>
      <c r="E500" s="8" t="s">
        <v>58</v>
      </c>
      <c r="F500" s="135"/>
      <c r="G500" s="135"/>
      <c r="H500" s="134"/>
      <c r="I500" s="135"/>
      <c r="J500" s="2"/>
    </row>
    <row r="501" spans="1:10" ht="15.5">
      <c r="A501" s="181"/>
      <c r="B501" s="176"/>
      <c r="C501" s="151" t="s">
        <v>1365</v>
      </c>
      <c r="D501" s="10" t="s">
        <v>1366</v>
      </c>
      <c r="E501" s="8" t="s">
        <v>58</v>
      </c>
      <c r="F501" s="135"/>
      <c r="G501" s="135"/>
      <c r="H501" s="134"/>
      <c r="I501" s="135"/>
      <c r="J501" s="2"/>
    </row>
    <row r="502" spans="1:10" ht="15.5">
      <c r="A502" s="181"/>
      <c r="B502" s="174" t="s">
        <v>1367</v>
      </c>
      <c r="C502" s="147" t="s">
        <v>1368</v>
      </c>
      <c r="D502" s="10"/>
      <c r="E502" s="8" t="s">
        <v>58</v>
      </c>
      <c r="F502" s="135" t="s">
        <v>1369</v>
      </c>
      <c r="G502" s="135" t="s">
        <v>1370</v>
      </c>
      <c r="H502" s="134" t="s">
        <v>26</v>
      </c>
      <c r="I502" s="135" t="s">
        <v>1324</v>
      </c>
      <c r="J502" s="2"/>
    </row>
    <row r="503" spans="1:10" ht="15.5">
      <c r="A503" s="181"/>
      <c r="B503" s="175"/>
      <c r="C503" s="147" t="s">
        <v>1371</v>
      </c>
      <c r="D503" s="10"/>
      <c r="E503" s="8" t="s">
        <v>16</v>
      </c>
      <c r="F503" s="135"/>
      <c r="G503" s="135"/>
      <c r="H503" s="134"/>
      <c r="I503" s="135"/>
      <c r="J503" s="2"/>
    </row>
    <row r="504" spans="1:10" ht="15.5">
      <c r="A504" s="181"/>
      <c r="B504" s="175"/>
      <c r="C504" s="147" t="s">
        <v>1372</v>
      </c>
      <c r="D504" s="10"/>
      <c r="E504" s="8" t="s">
        <v>16</v>
      </c>
      <c r="F504" s="135"/>
      <c r="G504" s="135"/>
      <c r="H504" s="134"/>
      <c r="I504" s="135"/>
      <c r="J504" s="2"/>
    </row>
    <row r="505" spans="1:10" ht="15.5">
      <c r="A505" s="181"/>
      <c r="B505" s="175"/>
      <c r="C505" s="147" t="s">
        <v>1373</v>
      </c>
      <c r="D505" s="10"/>
      <c r="E505" s="8" t="s">
        <v>16</v>
      </c>
      <c r="F505" s="135"/>
      <c r="G505" s="135"/>
      <c r="H505" s="134"/>
      <c r="I505" s="135"/>
      <c r="J505" s="2"/>
    </row>
    <row r="506" spans="1:10" ht="15.5">
      <c r="A506" s="181"/>
      <c r="B506" s="176"/>
      <c r="C506" s="151" t="s">
        <v>1374</v>
      </c>
      <c r="D506" s="10"/>
      <c r="E506" s="8" t="s">
        <v>16</v>
      </c>
      <c r="F506" s="135"/>
      <c r="G506" s="135"/>
      <c r="H506" s="134"/>
      <c r="I506" s="135"/>
      <c r="J506" s="2"/>
    </row>
    <row r="507" spans="1:10" ht="15.5">
      <c r="A507" s="181"/>
      <c r="B507" s="174" t="s">
        <v>1375</v>
      </c>
      <c r="C507" s="147" t="s">
        <v>1376</v>
      </c>
      <c r="D507" s="10"/>
      <c r="E507" s="8" t="s">
        <v>16</v>
      </c>
      <c r="F507" s="135"/>
      <c r="G507" s="135"/>
      <c r="H507" s="134"/>
      <c r="I507" s="135"/>
      <c r="J507" s="2"/>
    </row>
    <row r="508" spans="1:10" ht="15.5">
      <c r="A508" s="181"/>
      <c r="B508" s="175"/>
      <c r="C508" s="147" t="s">
        <v>1377</v>
      </c>
      <c r="D508" s="10"/>
      <c r="E508" s="8" t="s">
        <v>16</v>
      </c>
      <c r="F508" s="135"/>
      <c r="G508" s="135"/>
      <c r="H508" s="134"/>
      <c r="I508" s="135"/>
      <c r="J508" s="2"/>
    </row>
    <row r="509" spans="1:10" ht="15.5">
      <c r="A509" s="181"/>
      <c r="B509" s="175"/>
      <c r="C509" s="147" t="s">
        <v>1378</v>
      </c>
      <c r="D509" s="10"/>
      <c r="E509" s="8" t="s">
        <v>16</v>
      </c>
      <c r="F509" s="135"/>
      <c r="G509" s="135"/>
      <c r="H509" s="134"/>
      <c r="I509" s="135"/>
      <c r="J509" s="2"/>
    </row>
    <row r="510" spans="1:10" ht="15.5">
      <c r="A510" s="181"/>
      <c r="B510" s="175"/>
      <c r="C510" s="147" t="s">
        <v>1379</v>
      </c>
      <c r="D510" s="10"/>
      <c r="E510" s="8" t="s">
        <v>16</v>
      </c>
      <c r="F510" s="135"/>
      <c r="G510" s="135"/>
      <c r="H510" s="134"/>
      <c r="I510" s="135"/>
      <c r="J510" s="2"/>
    </row>
    <row r="511" spans="1:10" ht="15.5">
      <c r="A511" s="181"/>
      <c r="B511" s="176"/>
      <c r="C511" s="147" t="s">
        <v>1380</v>
      </c>
      <c r="D511" s="10"/>
      <c r="E511" s="8" t="s">
        <v>16</v>
      </c>
      <c r="F511" s="135"/>
      <c r="G511" s="135"/>
      <c r="H511" s="134"/>
      <c r="I511" s="135"/>
      <c r="J511" s="2"/>
    </row>
    <row r="512" spans="1:10" ht="15.5">
      <c r="A512" s="181"/>
      <c r="B512" s="174" t="s">
        <v>1381</v>
      </c>
      <c r="C512" s="147" t="s">
        <v>1382</v>
      </c>
      <c r="D512" s="10"/>
      <c r="E512" s="8" t="s">
        <v>16</v>
      </c>
      <c r="F512" s="135"/>
      <c r="G512" s="135"/>
      <c r="H512" s="134"/>
      <c r="I512" s="135"/>
      <c r="J512" s="2"/>
    </row>
    <row r="513" spans="1:10" ht="15.5">
      <c r="A513" s="181"/>
      <c r="B513" s="175"/>
      <c r="C513" s="147" t="s">
        <v>1383</v>
      </c>
      <c r="D513" s="10"/>
      <c r="E513" s="8" t="s">
        <v>16</v>
      </c>
      <c r="F513" s="135"/>
      <c r="G513" s="135"/>
      <c r="H513" s="134"/>
      <c r="I513" s="135"/>
      <c r="J513" s="2"/>
    </row>
    <row r="514" spans="1:10" ht="15.5">
      <c r="A514" s="181"/>
      <c r="B514" s="175"/>
      <c r="C514" s="147" t="s">
        <v>1384</v>
      </c>
      <c r="D514" s="10"/>
      <c r="E514" s="8" t="s">
        <v>16</v>
      </c>
      <c r="F514" s="135"/>
      <c r="G514" s="135"/>
      <c r="H514" s="134"/>
      <c r="I514" s="135"/>
      <c r="J514" s="2"/>
    </row>
    <row r="515" spans="1:10" ht="15.5">
      <c r="A515" s="181"/>
      <c r="B515" s="175"/>
      <c r="C515" s="147" t="s">
        <v>1385</v>
      </c>
      <c r="D515" s="10"/>
      <c r="E515" s="8" t="s">
        <v>16</v>
      </c>
      <c r="F515" s="135"/>
      <c r="G515" s="135"/>
      <c r="H515" s="134"/>
      <c r="I515" s="135"/>
      <c r="J515" s="2"/>
    </row>
    <row r="516" spans="1:10" ht="15.5">
      <c r="A516" s="181"/>
      <c r="B516" s="176"/>
      <c r="C516" s="147" t="s">
        <v>1386</v>
      </c>
      <c r="D516" s="10"/>
      <c r="E516" s="8" t="s">
        <v>16</v>
      </c>
      <c r="F516" s="135"/>
      <c r="G516" s="135"/>
      <c r="H516" s="134"/>
      <c r="I516" s="135"/>
      <c r="J516" s="2"/>
    </row>
    <row r="517" spans="1:10" ht="15.5">
      <c r="A517" s="181"/>
      <c r="B517" s="174" t="s">
        <v>1387</v>
      </c>
      <c r="C517" s="147" t="s">
        <v>1388</v>
      </c>
      <c r="D517" s="10"/>
      <c r="E517" s="8" t="s">
        <v>16</v>
      </c>
      <c r="F517" s="135"/>
      <c r="G517" s="135"/>
      <c r="H517" s="134"/>
      <c r="I517" s="135"/>
      <c r="J517" s="2"/>
    </row>
    <row r="518" spans="1:10" ht="15.5">
      <c r="A518" s="181"/>
      <c r="B518" s="175"/>
      <c r="C518" s="147" t="s">
        <v>1389</v>
      </c>
      <c r="D518" s="10"/>
      <c r="E518" s="8" t="s">
        <v>16</v>
      </c>
      <c r="F518" s="135"/>
      <c r="G518" s="135"/>
      <c r="H518" s="134"/>
      <c r="I518" s="135"/>
      <c r="J518" s="2"/>
    </row>
    <row r="519" spans="1:10" ht="15.5">
      <c r="A519" s="181"/>
      <c r="B519" s="175"/>
      <c r="C519" s="147" t="s">
        <v>1390</v>
      </c>
      <c r="D519" s="10"/>
      <c r="E519" s="8" t="s">
        <v>16</v>
      </c>
      <c r="F519" s="135"/>
      <c r="G519" s="135"/>
      <c r="H519" s="134"/>
      <c r="I519" s="135"/>
      <c r="J519" s="2"/>
    </row>
    <row r="520" spans="1:10" ht="15.5">
      <c r="A520" s="181"/>
      <c r="B520" s="175"/>
      <c r="C520" s="147" t="s">
        <v>1391</v>
      </c>
      <c r="D520" s="10"/>
      <c r="E520" s="8" t="s">
        <v>16</v>
      </c>
      <c r="F520" s="135"/>
      <c r="G520" s="135"/>
      <c r="H520" s="134"/>
      <c r="I520" s="135"/>
      <c r="J520" s="2"/>
    </row>
    <row r="521" spans="1:10" ht="15.5">
      <c r="A521" s="181"/>
      <c r="B521" s="176"/>
      <c r="C521" s="147" t="s">
        <v>1392</v>
      </c>
      <c r="D521" s="10"/>
      <c r="E521" s="8" t="s">
        <v>16</v>
      </c>
      <c r="F521" s="135"/>
      <c r="G521" s="135"/>
      <c r="H521" s="134"/>
      <c r="I521" s="135"/>
      <c r="J521" s="2"/>
    </row>
    <row r="522" spans="1:10" ht="15.5">
      <c r="A522" s="181"/>
      <c r="B522" s="174" t="s">
        <v>1393</v>
      </c>
      <c r="C522" s="147" t="s">
        <v>1394</v>
      </c>
      <c r="D522" s="10"/>
      <c r="E522" s="8" t="s">
        <v>16</v>
      </c>
      <c r="F522" s="135"/>
      <c r="G522" s="135"/>
      <c r="H522" s="134"/>
      <c r="I522" s="135"/>
      <c r="J522" s="2"/>
    </row>
    <row r="523" spans="1:10" ht="15.5">
      <c r="A523" s="181"/>
      <c r="B523" s="175"/>
      <c r="C523" s="147" t="s">
        <v>1395</v>
      </c>
      <c r="D523" s="10"/>
      <c r="E523" s="8" t="s">
        <v>16</v>
      </c>
      <c r="F523" s="135"/>
      <c r="G523" s="135"/>
      <c r="H523" s="134"/>
      <c r="I523" s="135"/>
      <c r="J523" s="2"/>
    </row>
    <row r="524" spans="1:10" ht="15.5">
      <c r="A524" s="181"/>
      <c r="B524" s="175"/>
      <c r="C524" s="147" t="s">
        <v>1396</v>
      </c>
      <c r="D524" s="10"/>
      <c r="E524" s="8" t="s">
        <v>16</v>
      </c>
      <c r="F524" s="135"/>
      <c r="G524" s="135"/>
      <c r="H524" s="134"/>
      <c r="I524" s="135"/>
      <c r="J524" s="2"/>
    </row>
    <row r="525" spans="1:10" ht="15.5">
      <c r="A525" s="181"/>
      <c r="B525" s="175"/>
      <c r="C525" s="147" t="s">
        <v>1397</v>
      </c>
      <c r="D525" s="10"/>
      <c r="E525" s="8" t="s">
        <v>16</v>
      </c>
      <c r="F525" s="135"/>
      <c r="G525" s="135"/>
      <c r="H525" s="134"/>
      <c r="I525" s="135"/>
      <c r="J525" s="2"/>
    </row>
    <row r="526" spans="1:10" ht="16" thickBot="1">
      <c r="A526" s="182"/>
      <c r="B526" s="176"/>
      <c r="C526" s="146" t="s">
        <v>1398</v>
      </c>
      <c r="D526" s="10"/>
      <c r="E526" s="8" t="s">
        <v>16</v>
      </c>
      <c r="F526" s="135"/>
      <c r="G526" s="135"/>
      <c r="H526" s="134"/>
      <c r="I526" s="135"/>
      <c r="J526" s="2"/>
    </row>
    <row r="527" spans="1:10" ht="15.5">
      <c r="A527" s="183" t="s">
        <v>1399</v>
      </c>
      <c r="B527" s="174" t="s">
        <v>1400</v>
      </c>
      <c r="C527" s="147" t="s">
        <v>1401</v>
      </c>
      <c r="D527" s="10"/>
      <c r="E527" s="8" t="s">
        <v>16</v>
      </c>
      <c r="F527" s="135"/>
      <c r="G527" s="135"/>
      <c r="H527" s="134"/>
      <c r="I527" s="135"/>
      <c r="J527" s="2"/>
    </row>
    <row r="528" spans="1:10" ht="15.5">
      <c r="A528" s="181"/>
      <c r="B528" s="175"/>
      <c r="C528" s="147" t="s">
        <v>1402</v>
      </c>
      <c r="D528" s="10"/>
      <c r="E528" s="8" t="s">
        <v>16</v>
      </c>
      <c r="F528" s="135"/>
      <c r="G528" s="135"/>
      <c r="H528" s="134"/>
      <c r="I528" s="135"/>
      <c r="J528" s="2"/>
    </row>
    <row r="529" spans="1:10" ht="15.5">
      <c r="A529" s="181"/>
      <c r="B529" s="175"/>
      <c r="C529" s="147" t="s">
        <v>1403</v>
      </c>
      <c r="D529" s="10"/>
      <c r="E529" s="8" t="s">
        <v>16</v>
      </c>
      <c r="F529" s="135"/>
      <c r="G529" s="135"/>
      <c r="H529" s="134"/>
      <c r="I529" s="135"/>
      <c r="J529" s="2"/>
    </row>
    <row r="530" spans="1:10" ht="15.5">
      <c r="A530" s="181"/>
      <c r="B530" s="175"/>
      <c r="C530" s="147" t="s">
        <v>1404</v>
      </c>
      <c r="D530" s="10"/>
      <c r="E530" s="8" t="s">
        <v>16</v>
      </c>
      <c r="F530" s="135"/>
      <c r="G530" s="135"/>
      <c r="H530" s="134"/>
      <c r="I530" s="135"/>
      <c r="J530" s="2"/>
    </row>
    <row r="531" spans="1:10" ht="15.5">
      <c r="A531" s="181"/>
      <c r="B531" s="176"/>
      <c r="C531" s="147" t="s">
        <v>1405</v>
      </c>
      <c r="D531" s="10" t="s">
        <v>1406</v>
      </c>
      <c r="E531" s="8" t="s">
        <v>16</v>
      </c>
      <c r="F531" s="135"/>
      <c r="G531" s="135"/>
      <c r="H531" s="134"/>
      <c r="I531" s="135"/>
      <c r="J531" s="2"/>
    </row>
    <row r="532" spans="1:10" ht="15.5">
      <c r="A532" s="181"/>
      <c r="B532" s="174" t="s">
        <v>1407</v>
      </c>
      <c r="C532" s="147" t="s">
        <v>1408</v>
      </c>
      <c r="D532" s="10"/>
      <c r="E532" s="8" t="s">
        <v>16</v>
      </c>
      <c r="F532" s="135" t="s">
        <v>1409</v>
      </c>
      <c r="G532" s="135" t="s">
        <v>1410</v>
      </c>
      <c r="H532" s="134" t="s">
        <v>213</v>
      </c>
      <c r="I532" s="135" t="s">
        <v>1411</v>
      </c>
      <c r="J532" s="2"/>
    </row>
    <row r="533" spans="1:10" ht="15.5">
      <c r="A533" s="181"/>
      <c r="B533" s="175"/>
      <c r="C533" s="147" t="s">
        <v>1412</v>
      </c>
      <c r="D533" s="10"/>
      <c r="E533" s="8" t="s">
        <v>16</v>
      </c>
      <c r="F533" s="135"/>
      <c r="G533" s="135"/>
      <c r="H533" s="134"/>
      <c r="I533" s="135"/>
      <c r="J533" s="2"/>
    </row>
    <row r="534" spans="1:10" ht="15.5">
      <c r="A534" s="181"/>
      <c r="B534" s="175"/>
      <c r="C534" s="147" t="s">
        <v>1413</v>
      </c>
      <c r="D534" s="10"/>
      <c r="E534" s="8" t="s">
        <v>16</v>
      </c>
      <c r="F534" s="135"/>
      <c r="G534" s="135"/>
      <c r="H534" s="134"/>
      <c r="I534" s="135"/>
      <c r="J534" s="2"/>
    </row>
    <row r="535" spans="1:10" ht="15.5">
      <c r="A535" s="181"/>
      <c r="B535" s="175"/>
      <c r="C535" s="147" t="s">
        <v>1414</v>
      </c>
      <c r="D535" s="10"/>
      <c r="E535" s="8" t="s">
        <v>16</v>
      </c>
      <c r="F535" s="135"/>
      <c r="G535" s="135"/>
      <c r="H535" s="134"/>
      <c r="I535" s="135"/>
      <c r="J535" s="2"/>
    </row>
    <row r="536" spans="1:10" ht="15.5">
      <c r="A536" s="181"/>
      <c r="B536" s="176"/>
      <c r="C536" s="147" t="s">
        <v>1415</v>
      </c>
      <c r="D536" s="10"/>
      <c r="E536" s="8" t="s">
        <v>16</v>
      </c>
      <c r="F536" s="135"/>
      <c r="G536" s="135"/>
      <c r="H536" s="134"/>
      <c r="I536" s="135"/>
      <c r="J536" s="2"/>
    </row>
    <row r="537" spans="1:10" ht="15.5">
      <c r="A537" s="181"/>
      <c r="B537" s="174" t="s">
        <v>1416</v>
      </c>
      <c r="C537" s="147" t="s">
        <v>1417</v>
      </c>
      <c r="D537" s="10"/>
      <c r="E537" s="8" t="s">
        <v>16</v>
      </c>
      <c r="F537" s="135"/>
      <c r="G537" s="135"/>
      <c r="H537" s="134"/>
      <c r="I537" s="135"/>
      <c r="J537" s="2"/>
    </row>
    <row r="538" spans="1:10" ht="15.5">
      <c r="A538" s="181"/>
      <c r="B538" s="175"/>
      <c r="C538" s="147" t="s">
        <v>1418</v>
      </c>
      <c r="D538" s="10"/>
      <c r="E538" s="8" t="s">
        <v>16</v>
      </c>
      <c r="F538" s="135"/>
      <c r="G538" s="135"/>
      <c r="H538" s="134"/>
      <c r="I538" s="135"/>
      <c r="J538" s="2"/>
    </row>
    <row r="539" spans="1:10" ht="15.5">
      <c r="A539" s="181"/>
      <c r="B539" s="175"/>
      <c r="C539" s="147" t="s">
        <v>1419</v>
      </c>
      <c r="D539" s="10"/>
      <c r="E539" s="8" t="s">
        <v>16</v>
      </c>
      <c r="F539" s="135"/>
      <c r="G539" s="135"/>
      <c r="H539" s="134"/>
      <c r="I539" s="135"/>
      <c r="J539" s="2"/>
    </row>
    <row r="540" spans="1:10" ht="15.5">
      <c r="A540" s="181"/>
      <c r="B540" s="175"/>
      <c r="C540" s="147" t="s">
        <v>1420</v>
      </c>
      <c r="D540" s="10"/>
      <c r="E540" s="8" t="s">
        <v>16</v>
      </c>
      <c r="F540" s="135"/>
      <c r="G540" s="135"/>
      <c r="H540" s="134"/>
      <c r="I540" s="135"/>
      <c r="J540" s="2"/>
    </row>
    <row r="541" spans="1:10" ht="15.5">
      <c r="A541" s="181"/>
      <c r="B541" s="176"/>
      <c r="C541" s="147" t="s">
        <v>1421</v>
      </c>
      <c r="D541" s="10"/>
      <c r="E541" s="8" t="s">
        <v>16</v>
      </c>
      <c r="F541" s="135"/>
      <c r="G541" s="135"/>
      <c r="H541" s="134"/>
      <c r="I541" s="135"/>
      <c r="J541" s="2"/>
    </row>
    <row r="542" spans="1:10" ht="15.5">
      <c r="A542" s="181"/>
      <c r="B542" s="174" t="s">
        <v>1422</v>
      </c>
      <c r="C542" s="147" t="s">
        <v>1423</v>
      </c>
      <c r="D542" s="10"/>
      <c r="E542" s="8" t="s">
        <v>16</v>
      </c>
      <c r="F542" s="135"/>
      <c r="G542" s="135"/>
      <c r="H542" s="134"/>
      <c r="I542" s="135"/>
      <c r="J542" s="2"/>
    </row>
    <row r="543" spans="1:10" ht="15.5">
      <c r="A543" s="181"/>
      <c r="B543" s="175"/>
      <c r="C543" s="147" t="s">
        <v>1424</v>
      </c>
      <c r="D543" s="10"/>
      <c r="E543" s="8" t="s">
        <v>16</v>
      </c>
      <c r="F543" s="135"/>
      <c r="G543" s="135"/>
      <c r="H543" s="134"/>
      <c r="I543" s="135"/>
      <c r="J543" s="2"/>
    </row>
    <row r="544" spans="1:10" ht="15.5">
      <c r="A544" s="181"/>
      <c r="B544" s="175"/>
      <c r="C544" s="147" t="s">
        <v>1425</v>
      </c>
      <c r="D544" s="10"/>
      <c r="E544" s="8" t="s">
        <v>16</v>
      </c>
      <c r="F544" s="135"/>
      <c r="G544" s="135"/>
      <c r="H544" s="134"/>
      <c r="I544" s="135"/>
      <c r="J544" s="2"/>
    </row>
    <row r="545" spans="1:10" ht="15.5">
      <c r="A545" s="181"/>
      <c r="B545" s="175"/>
      <c r="C545" s="147" t="s">
        <v>1426</v>
      </c>
      <c r="D545" s="10"/>
      <c r="E545" s="8" t="s">
        <v>16</v>
      </c>
      <c r="F545" s="135"/>
      <c r="G545" s="135"/>
      <c r="H545" s="134"/>
      <c r="I545" s="135"/>
      <c r="J545" s="2"/>
    </row>
    <row r="546" spans="1:10" ht="15.5">
      <c r="A546" s="181"/>
      <c r="B546" s="176"/>
      <c r="C546" s="147" t="s">
        <v>1427</v>
      </c>
      <c r="D546" s="10"/>
      <c r="E546" s="8" t="s">
        <v>16</v>
      </c>
      <c r="F546" s="135"/>
      <c r="G546" s="135"/>
      <c r="H546" s="134"/>
      <c r="I546" s="135"/>
      <c r="J546" s="2"/>
    </row>
    <row r="547" spans="1:10" ht="15.5">
      <c r="A547" s="181"/>
      <c r="B547" s="174" t="s">
        <v>1428</v>
      </c>
      <c r="C547" s="147" t="s">
        <v>1429</v>
      </c>
      <c r="D547" s="10"/>
      <c r="E547" s="8" t="s">
        <v>16</v>
      </c>
      <c r="F547" s="135"/>
      <c r="G547" s="135"/>
      <c r="H547" s="134"/>
      <c r="I547" s="135"/>
      <c r="J547" s="2"/>
    </row>
    <row r="548" spans="1:10" ht="15.5">
      <c r="A548" s="181"/>
      <c r="B548" s="175"/>
      <c r="C548" s="147" t="s">
        <v>1430</v>
      </c>
      <c r="D548" s="10"/>
      <c r="E548" s="8" t="s">
        <v>16</v>
      </c>
      <c r="F548" s="135"/>
      <c r="G548" s="135"/>
      <c r="H548" s="134"/>
      <c r="I548" s="135"/>
      <c r="J548" s="2"/>
    </row>
    <row r="549" spans="1:10" ht="15.5">
      <c r="A549" s="181"/>
      <c r="B549" s="175"/>
      <c r="C549" s="147" t="s">
        <v>1431</v>
      </c>
      <c r="D549" s="10"/>
      <c r="E549" s="8" t="s">
        <v>16</v>
      </c>
      <c r="F549" s="135"/>
      <c r="G549" s="135"/>
      <c r="H549" s="134"/>
      <c r="I549" s="135"/>
      <c r="J549" s="2"/>
    </row>
    <row r="550" spans="1:10" ht="15.5">
      <c r="A550" s="181"/>
      <c r="B550" s="175"/>
      <c r="C550" s="147" t="s">
        <v>1432</v>
      </c>
      <c r="D550" s="10"/>
      <c r="E550" s="8" t="s">
        <v>16</v>
      </c>
      <c r="F550" s="135"/>
      <c r="G550" s="135"/>
      <c r="H550" s="134"/>
      <c r="I550" s="135"/>
      <c r="J550" s="2"/>
    </row>
    <row r="551" spans="1:10" ht="15.5">
      <c r="A551" s="181"/>
      <c r="B551" s="176"/>
      <c r="C551" s="147" t="s">
        <v>1433</v>
      </c>
      <c r="D551" s="10"/>
      <c r="E551" s="8" t="s">
        <v>16</v>
      </c>
      <c r="F551" s="135"/>
      <c r="G551" s="135"/>
      <c r="H551" s="134"/>
      <c r="I551" s="135"/>
      <c r="J551" s="2"/>
    </row>
    <row r="552" spans="1:10" ht="15.5">
      <c r="A552" s="181"/>
      <c r="B552" s="174" t="s">
        <v>1434</v>
      </c>
      <c r="C552" s="147" t="s">
        <v>1435</v>
      </c>
      <c r="D552" s="10"/>
      <c r="E552" s="8" t="s">
        <v>16</v>
      </c>
      <c r="F552" s="135"/>
      <c r="G552" s="135"/>
      <c r="H552" s="134"/>
      <c r="I552" s="135"/>
      <c r="J552" s="2"/>
    </row>
    <row r="553" spans="1:10" ht="15.5">
      <c r="A553" s="181"/>
      <c r="B553" s="175"/>
      <c r="C553" s="147" t="s">
        <v>1436</v>
      </c>
      <c r="D553" s="10"/>
      <c r="E553" s="8" t="s">
        <v>16</v>
      </c>
      <c r="F553" s="135"/>
      <c r="G553" s="135"/>
      <c r="H553" s="134"/>
      <c r="I553" s="135"/>
      <c r="J553" s="2"/>
    </row>
    <row r="554" spans="1:10" ht="15.5">
      <c r="A554" s="181"/>
      <c r="B554" s="175"/>
      <c r="C554" s="147" t="s">
        <v>1437</v>
      </c>
      <c r="D554" s="10"/>
      <c r="E554" s="8" t="s">
        <v>16</v>
      </c>
      <c r="F554" s="135"/>
      <c r="G554" s="135"/>
      <c r="H554" s="134"/>
      <c r="I554" s="135"/>
      <c r="J554" s="2"/>
    </row>
    <row r="555" spans="1:10" ht="15.5">
      <c r="A555" s="181"/>
      <c r="B555" s="175"/>
      <c r="C555" s="151" t="s">
        <v>1438</v>
      </c>
      <c r="D555" s="10"/>
      <c r="E555" s="8" t="s">
        <v>16</v>
      </c>
      <c r="F555" s="135"/>
      <c r="G555" s="135"/>
      <c r="H555" s="134"/>
      <c r="I555" s="135"/>
      <c r="J555" s="2"/>
    </row>
    <row r="556" spans="1:10" ht="16" thickBot="1">
      <c r="A556" s="182"/>
      <c r="B556" s="176"/>
      <c r="C556" s="146" t="s">
        <v>1439</v>
      </c>
      <c r="D556" s="10" t="s">
        <v>1440</v>
      </c>
      <c r="E556" s="8" t="s">
        <v>16</v>
      </c>
      <c r="F556" s="135" t="s">
        <v>1441</v>
      </c>
      <c r="G556" s="135" t="s">
        <v>1442</v>
      </c>
      <c r="H556" s="134" t="s">
        <v>26</v>
      </c>
      <c r="I556" s="135" t="s">
        <v>1443</v>
      </c>
      <c r="J556" s="2"/>
    </row>
    <row r="557" spans="1:10" ht="15.5">
      <c r="A557" s="183" t="s">
        <v>1444</v>
      </c>
      <c r="B557" s="174" t="s">
        <v>1445</v>
      </c>
      <c r="C557" s="147" t="s">
        <v>1446</v>
      </c>
      <c r="D557" s="10"/>
      <c r="E557" s="8" t="s">
        <v>16</v>
      </c>
      <c r="F557" s="135"/>
      <c r="G557" s="135"/>
      <c r="H557" s="134"/>
      <c r="I557" s="135"/>
      <c r="J557" s="2"/>
    </row>
    <row r="558" spans="1:10" ht="15.5">
      <c r="A558" s="181"/>
      <c r="B558" s="175"/>
      <c r="C558" s="147" t="s">
        <v>1447</v>
      </c>
      <c r="D558" s="10"/>
      <c r="E558" s="8" t="s">
        <v>16</v>
      </c>
      <c r="F558" s="135"/>
      <c r="G558" s="135"/>
      <c r="H558" s="134"/>
      <c r="I558" s="135"/>
      <c r="J558" s="2"/>
    </row>
    <row r="559" spans="1:10" ht="15.5">
      <c r="A559" s="181"/>
      <c r="B559" s="175"/>
      <c r="C559" s="147" t="s">
        <v>1448</v>
      </c>
      <c r="D559" s="10"/>
      <c r="E559" s="8" t="s">
        <v>16</v>
      </c>
      <c r="F559" s="135"/>
      <c r="G559" s="135"/>
      <c r="H559" s="134"/>
      <c r="I559" s="135"/>
      <c r="J559" s="2"/>
    </row>
    <row r="560" spans="1:10" ht="15.5">
      <c r="A560" s="181"/>
      <c r="B560" s="175"/>
      <c r="C560" s="147" t="s">
        <v>1449</v>
      </c>
      <c r="D560" s="10"/>
      <c r="E560" s="8" t="s">
        <v>16</v>
      </c>
      <c r="F560" s="135"/>
      <c r="G560" s="135"/>
      <c r="H560" s="134"/>
      <c r="I560" s="135"/>
      <c r="J560" s="2"/>
    </row>
    <row r="561" spans="1:10" ht="15.5">
      <c r="A561" s="181"/>
      <c r="B561" s="176"/>
      <c r="C561" s="147" t="s">
        <v>1450</v>
      </c>
      <c r="D561" s="10"/>
      <c r="E561" s="8" t="s">
        <v>16</v>
      </c>
      <c r="F561" s="135"/>
      <c r="G561" s="135"/>
      <c r="H561" s="134"/>
      <c r="I561" s="135"/>
      <c r="J561" s="2"/>
    </row>
    <row r="562" spans="1:10" ht="15.5">
      <c r="A562" s="181"/>
      <c r="B562" s="174" t="s">
        <v>1451</v>
      </c>
      <c r="C562" s="147" t="s">
        <v>1452</v>
      </c>
      <c r="D562" s="10"/>
      <c r="E562" s="8" t="s">
        <v>16</v>
      </c>
      <c r="F562" s="135"/>
      <c r="G562" s="135"/>
      <c r="H562" s="134"/>
      <c r="I562" s="135"/>
      <c r="J562" s="2"/>
    </row>
    <row r="563" spans="1:10" ht="15.5">
      <c r="A563" s="181"/>
      <c r="B563" s="175"/>
      <c r="C563" s="147" t="s">
        <v>1454</v>
      </c>
      <c r="D563" s="10"/>
      <c r="E563" s="8" t="s">
        <v>16</v>
      </c>
      <c r="F563" s="135"/>
      <c r="G563" s="135"/>
      <c r="H563" s="134"/>
      <c r="I563" s="135"/>
      <c r="J563" s="2"/>
    </row>
    <row r="564" spans="1:10" ht="15.5">
      <c r="A564" s="181"/>
      <c r="B564" s="175"/>
      <c r="C564" s="147" t="s">
        <v>1455</v>
      </c>
      <c r="D564" s="10"/>
      <c r="E564" s="8" t="s">
        <v>16</v>
      </c>
      <c r="F564" s="135"/>
      <c r="G564" s="135"/>
      <c r="H564" s="134"/>
      <c r="I564" s="135"/>
      <c r="J564" s="2"/>
    </row>
    <row r="565" spans="1:10" ht="15.5">
      <c r="A565" s="181"/>
      <c r="B565" s="175"/>
      <c r="C565" s="147" t="s">
        <v>1456</v>
      </c>
      <c r="D565" s="10"/>
      <c r="E565" s="8" t="s">
        <v>16</v>
      </c>
      <c r="F565" s="135"/>
      <c r="G565" s="135"/>
      <c r="H565" s="134"/>
      <c r="I565" s="135"/>
      <c r="J565" s="2"/>
    </row>
    <row r="566" spans="1:10" ht="15.5">
      <c r="A566" s="181"/>
      <c r="B566" s="176"/>
      <c r="C566" s="147" t="s">
        <v>1457</v>
      </c>
      <c r="D566" s="10"/>
      <c r="E566" s="8" t="s">
        <v>16</v>
      </c>
      <c r="F566" s="135"/>
      <c r="G566" s="135"/>
      <c r="H566" s="134"/>
      <c r="I566" s="135"/>
      <c r="J566" s="2"/>
    </row>
    <row r="567" spans="1:10" ht="15.5">
      <c r="A567" s="181"/>
      <c r="B567" s="174" t="s">
        <v>1458</v>
      </c>
      <c r="C567" s="147" t="s">
        <v>1459</v>
      </c>
      <c r="D567" s="10"/>
      <c r="E567" s="8" t="s">
        <v>16</v>
      </c>
      <c r="F567" s="135"/>
      <c r="G567" s="135"/>
      <c r="H567" s="134"/>
      <c r="I567" s="135"/>
      <c r="J567" s="2"/>
    </row>
    <row r="568" spans="1:10" ht="15.5">
      <c r="A568" s="181"/>
      <c r="B568" s="175"/>
      <c r="C568" s="147" t="s">
        <v>1460</v>
      </c>
      <c r="D568" s="10"/>
      <c r="E568" s="8" t="s">
        <v>16</v>
      </c>
      <c r="F568" s="135"/>
      <c r="G568" s="135"/>
      <c r="H568" s="134"/>
      <c r="I568" s="135"/>
      <c r="J568" s="2"/>
    </row>
    <row r="569" spans="1:10" ht="15.5">
      <c r="A569" s="181"/>
      <c r="B569" s="175"/>
      <c r="C569" s="147" t="s">
        <v>1461</v>
      </c>
      <c r="D569" s="10"/>
      <c r="E569" s="8" t="s">
        <v>16</v>
      </c>
      <c r="F569" s="135"/>
      <c r="G569" s="135"/>
      <c r="H569" s="134"/>
      <c r="I569" s="135"/>
      <c r="J569" s="2"/>
    </row>
    <row r="570" spans="1:10" ht="15.5">
      <c r="A570" s="181"/>
      <c r="B570" s="175"/>
      <c r="C570" s="147" t="s">
        <v>1462</v>
      </c>
      <c r="D570" s="10"/>
      <c r="E570" s="8" t="s">
        <v>16</v>
      </c>
      <c r="F570" s="135"/>
      <c r="G570" s="135"/>
      <c r="H570" s="134"/>
      <c r="I570" s="135"/>
      <c r="J570" s="2"/>
    </row>
    <row r="571" spans="1:10" ht="15.5">
      <c r="A571" s="181"/>
      <c r="B571" s="176"/>
      <c r="C571" s="151" t="s">
        <v>1463</v>
      </c>
      <c r="D571" s="10"/>
      <c r="E571" s="8" t="s">
        <v>16</v>
      </c>
      <c r="F571" s="135"/>
      <c r="G571" s="135"/>
      <c r="H571" s="134"/>
      <c r="I571" s="135"/>
      <c r="J571" s="2"/>
    </row>
    <row r="572" spans="1:10" ht="15.5">
      <c r="A572" s="181"/>
      <c r="B572" s="174" t="s">
        <v>1464</v>
      </c>
      <c r="C572" s="149" t="s">
        <v>1465</v>
      </c>
      <c r="D572" s="10"/>
      <c r="E572" s="8" t="s">
        <v>16</v>
      </c>
      <c r="F572" s="135"/>
      <c r="G572" s="135"/>
      <c r="H572" s="134"/>
      <c r="I572" s="135"/>
      <c r="J572" s="2"/>
    </row>
    <row r="573" spans="1:10" ht="15.5">
      <c r="A573" s="181"/>
      <c r="B573" s="175"/>
      <c r="C573" s="149" t="s">
        <v>1466</v>
      </c>
      <c r="D573" s="10"/>
      <c r="E573" s="8" t="s">
        <v>16</v>
      </c>
      <c r="F573" s="135"/>
      <c r="G573" s="135"/>
      <c r="H573" s="134"/>
      <c r="I573" s="135"/>
      <c r="J573" s="2"/>
    </row>
    <row r="574" spans="1:10" ht="15.5">
      <c r="A574" s="181"/>
      <c r="B574" s="175"/>
      <c r="C574" s="149" t="s">
        <v>1467</v>
      </c>
      <c r="D574" s="10"/>
      <c r="E574" s="8" t="s">
        <v>16</v>
      </c>
      <c r="F574" s="135"/>
      <c r="G574" s="135"/>
      <c r="H574" s="134"/>
      <c r="I574" s="135"/>
      <c r="J574" s="2"/>
    </row>
    <row r="575" spans="1:10" ht="15.5">
      <c r="A575" s="181"/>
      <c r="B575" s="175"/>
      <c r="C575" s="149" t="s">
        <v>1468</v>
      </c>
      <c r="D575" s="10"/>
      <c r="E575" s="8" t="s">
        <v>16</v>
      </c>
      <c r="F575" s="135"/>
      <c r="G575" s="135"/>
      <c r="H575" s="134"/>
      <c r="I575" s="135"/>
      <c r="J575" s="2"/>
    </row>
    <row r="576" spans="1:10" ht="15.5">
      <c r="A576" s="181"/>
      <c r="B576" s="176"/>
      <c r="C576" s="149" t="s">
        <v>1469</v>
      </c>
      <c r="D576" s="10"/>
      <c r="E576" s="8" t="s">
        <v>16</v>
      </c>
      <c r="F576" s="135"/>
      <c r="G576" s="135"/>
      <c r="H576" s="134"/>
      <c r="I576" s="135"/>
      <c r="J576" s="2"/>
    </row>
    <row r="577" spans="1:10" ht="15.5">
      <c r="A577" s="181"/>
      <c r="B577" s="174" t="s">
        <v>1470</v>
      </c>
      <c r="C577" s="147" t="s">
        <v>1471</v>
      </c>
      <c r="D577" s="10"/>
      <c r="E577" s="8" t="s">
        <v>16</v>
      </c>
      <c r="F577" s="135"/>
      <c r="G577" s="135"/>
      <c r="H577" s="134"/>
      <c r="I577" s="135"/>
      <c r="J577" s="2"/>
    </row>
    <row r="578" spans="1:10" ht="15.5">
      <c r="A578" s="181"/>
      <c r="B578" s="175"/>
      <c r="C578" s="147" t="s">
        <v>1472</v>
      </c>
      <c r="D578" s="10"/>
      <c r="E578" s="8" t="s">
        <v>16</v>
      </c>
      <c r="F578" s="135"/>
      <c r="G578" s="135"/>
      <c r="H578" s="134"/>
      <c r="I578" s="135"/>
      <c r="J578" s="2"/>
    </row>
    <row r="579" spans="1:10" ht="15.5">
      <c r="A579" s="181"/>
      <c r="B579" s="175"/>
      <c r="C579" s="147" t="s">
        <v>1473</v>
      </c>
      <c r="D579" s="10"/>
      <c r="E579" s="8" t="s">
        <v>16</v>
      </c>
      <c r="F579" s="135"/>
      <c r="G579" s="135"/>
      <c r="H579" s="134"/>
      <c r="I579" s="135"/>
      <c r="J579" s="2"/>
    </row>
    <row r="580" spans="1:10" ht="15.5">
      <c r="A580" s="181"/>
      <c r="B580" s="175"/>
      <c r="C580" s="147" t="s">
        <v>1474</v>
      </c>
      <c r="D580" s="10"/>
      <c r="E580" s="8" t="s">
        <v>16</v>
      </c>
      <c r="F580" s="135"/>
      <c r="G580" s="135"/>
      <c r="H580" s="134"/>
      <c r="I580" s="135"/>
      <c r="J580" s="2"/>
    </row>
    <row r="581" spans="1:10" ht="15.5">
      <c r="A581" s="181"/>
      <c r="B581" s="176"/>
      <c r="C581" s="147" t="s">
        <v>1475</v>
      </c>
      <c r="D581" s="10"/>
      <c r="E581" s="8" t="s">
        <v>16</v>
      </c>
      <c r="F581" s="135"/>
      <c r="G581" s="135"/>
      <c r="H581" s="134"/>
      <c r="I581" s="135"/>
      <c r="J581" s="2"/>
    </row>
    <row r="582" spans="1:10" ht="15.5">
      <c r="A582" s="181"/>
      <c r="B582" s="174" t="s">
        <v>1476</v>
      </c>
      <c r="C582" s="147" t="s">
        <v>1477</v>
      </c>
      <c r="D582" s="10"/>
      <c r="E582" s="8" t="s">
        <v>16</v>
      </c>
      <c r="F582" s="135"/>
      <c r="G582" s="135"/>
      <c r="H582" s="134"/>
      <c r="I582" s="135"/>
      <c r="J582" s="2"/>
    </row>
    <row r="583" spans="1:10" ht="15.5">
      <c r="A583" s="181"/>
      <c r="B583" s="175"/>
      <c r="C583" s="147" t="s">
        <v>1478</v>
      </c>
      <c r="D583" s="10"/>
      <c r="E583" s="8" t="s">
        <v>16</v>
      </c>
      <c r="F583" s="135"/>
      <c r="G583" s="135"/>
      <c r="H583" s="134"/>
      <c r="I583" s="135"/>
      <c r="J583" s="2"/>
    </row>
    <row r="584" spans="1:10" ht="15.5">
      <c r="A584" s="181"/>
      <c r="B584" s="175"/>
      <c r="C584" s="147" t="s">
        <v>1479</v>
      </c>
      <c r="D584" s="10"/>
      <c r="E584" s="8" t="s">
        <v>16</v>
      </c>
      <c r="F584" s="135"/>
      <c r="G584" s="135"/>
      <c r="H584" s="134"/>
      <c r="I584" s="135"/>
      <c r="J584" s="2"/>
    </row>
    <row r="585" spans="1:10" ht="15.5">
      <c r="A585" s="181"/>
      <c r="B585" s="175"/>
      <c r="C585" s="147" t="s">
        <v>1480</v>
      </c>
      <c r="D585" s="10"/>
      <c r="E585" s="8" t="s">
        <v>16</v>
      </c>
      <c r="F585" s="135"/>
      <c r="G585" s="135"/>
      <c r="H585" s="134"/>
      <c r="I585" s="135"/>
      <c r="J585" s="2"/>
    </row>
    <row r="586" spans="1:10" ht="16" thickBot="1">
      <c r="A586" s="182"/>
      <c r="B586" s="176"/>
      <c r="C586" s="146" t="s">
        <v>1481</v>
      </c>
      <c r="D586" s="10" t="s">
        <v>1482</v>
      </c>
      <c r="E586" s="8" t="s">
        <v>16</v>
      </c>
      <c r="F586" s="135" t="s">
        <v>1483</v>
      </c>
      <c r="G586" s="135" t="s">
        <v>1484</v>
      </c>
      <c r="H586" s="134" t="s">
        <v>26</v>
      </c>
      <c r="I586" s="135" t="s">
        <v>1485</v>
      </c>
      <c r="J586" s="2"/>
    </row>
    <row r="587" spans="1:10" ht="15.5">
      <c r="A587" s="181" t="s">
        <v>1486</v>
      </c>
      <c r="B587" s="174" t="s">
        <v>1487</v>
      </c>
      <c r="C587" s="146"/>
      <c r="D587" s="10"/>
      <c r="E587" s="8" t="s">
        <v>16</v>
      </c>
      <c r="F587" s="135"/>
      <c r="G587" s="135"/>
      <c r="H587" s="134"/>
      <c r="I587" s="135"/>
      <c r="J587" s="2"/>
    </row>
    <row r="588" spans="1:10" ht="15.5">
      <c r="A588" s="181"/>
      <c r="B588" s="175"/>
      <c r="C588" s="146"/>
      <c r="D588" s="10"/>
      <c r="E588" s="8" t="s">
        <v>16</v>
      </c>
      <c r="F588" s="135"/>
      <c r="G588" s="135"/>
      <c r="H588" s="134"/>
      <c r="I588" s="135"/>
      <c r="J588" s="2"/>
    </row>
    <row r="589" spans="1:10" ht="15.5">
      <c r="A589" s="181"/>
      <c r="B589" s="175"/>
      <c r="C589" s="146"/>
      <c r="D589" s="10"/>
      <c r="E589" s="8" t="s">
        <v>16</v>
      </c>
      <c r="F589" s="135"/>
      <c r="G589" s="135"/>
      <c r="H589" s="134"/>
      <c r="I589" s="135"/>
      <c r="J589" s="2"/>
    </row>
    <row r="590" spans="1:10" ht="15.5">
      <c r="A590" s="181"/>
      <c r="B590" s="175"/>
      <c r="C590" s="146"/>
      <c r="D590" s="10"/>
      <c r="E590" s="8" t="s">
        <v>16</v>
      </c>
      <c r="F590" s="135"/>
      <c r="G590" s="135"/>
      <c r="H590" s="134"/>
      <c r="I590" s="135"/>
      <c r="J590" s="2"/>
    </row>
    <row r="591" spans="1:10" ht="15.5">
      <c r="A591" s="181"/>
      <c r="B591" s="176"/>
      <c r="C591" s="146"/>
      <c r="D591" s="10"/>
      <c r="E591" s="8" t="s">
        <v>16</v>
      </c>
      <c r="F591" s="135"/>
      <c r="G591" s="135"/>
      <c r="H591" s="134"/>
      <c r="I591" s="135"/>
      <c r="J591" s="2"/>
    </row>
    <row r="592" spans="1:10" ht="15.5">
      <c r="A592" s="181"/>
      <c r="B592" s="174" t="s">
        <v>1488</v>
      </c>
      <c r="C592" s="146"/>
      <c r="D592" s="10"/>
      <c r="E592" s="8" t="s">
        <v>16</v>
      </c>
      <c r="F592" s="135"/>
      <c r="G592" s="135"/>
      <c r="H592" s="134"/>
      <c r="I592" s="135"/>
      <c r="J592" s="2"/>
    </row>
    <row r="593" spans="1:10" ht="15.5">
      <c r="A593" s="181"/>
      <c r="B593" s="175"/>
      <c r="C593" s="146"/>
      <c r="D593" s="10"/>
      <c r="E593" s="8" t="s">
        <v>23</v>
      </c>
      <c r="F593" s="135"/>
      <c r="G593" s="8"/>
      <c r="H593" s="134"/>
      <c r="I593" s="135"/>
      <c r="J593" s="2"/>
    </row>
    <row r="594" spans="1:10" ht="15.5">
      <c r="A594" s="181"/>
      <c r="B594" s="175"/>
      <c r="C594" s="146"/>
      <c r="D594" s="10"/>
      <c r="E594" s="8" t="s">
        <v>23</v>
      </c>
      <c r="F594" s="135"/>
      <c r="G594" s="135"/>
      <c r="H594" s="134"/>
      <c r="I594" s="135"/>
      <c r="J594" s="2"/>
    </row>
    <row r="595" spans="1:10" ht="15.5">
      <c r="A595" s="181"/>
      <c r="B595" s="175"/>
      <c r="C595" s="146"/>
      <c r="D595" s="10"/>
      <c r="E595" s="8" t="s">
        <v>23</v>
      </c>
      <c r="F595" s="135"/>
      <c r="G595" s="135"/>
      <c r="H595" s="134"/>
      <c r="I595" s="135"/>
      <c r="J595" s="2"/>
    </row>
    <row r="596" spans="1:10" ht="15.5">
      <c r="A596" s="181"/>
      <c r="B596" s="176"/>
      <c r="C596" s="146"/>
      <c r="D596" s="10"/>
      <c r="E596" s="8" t="s">
        <v>16</v>
      </c>
      <c r="F596" s="135"/>
      <c r="G596" s="135"/>
      <c r="H596" s="134"/>
      <c r="I596" s="135"/>
      <c r="J596" s="2"/>
    </row>
    <row r="597" spans="1:10" ht="15.5">
      <c r="A597" s="181"/>
      <c r="B597" s="174" t="s">
        <v>1489</v>
      </c>
      <c r="C597" s="146"/>
      <c r="D597" s="10"/>
      <c r="E597" s="8" t="s">
        <v>16</v>
      </c>
      <c r="F597" s="135"/>
      <c r="G597" s="135"/>
      <c r="H597" s="134"/>
      <c r="I597" s="135"/>
      <c r="J597" s="2"/>
    </row>
    <row r="598" spans="1:10" ht="15.5">
      <c r="A598" s="181"/>
      <c r="B598" s="175"/>
      <c r="C598" s="146"/>
      <c r="D598" s="10"/>
      <c r="E598" s="8" t="s">
        <v>58</v>
      </c>
      <c r="F598" s="135"/>
      <c r="G598" s="135"/>
      <c r="H598" s="134"/>
      <c r="I598" s="135"/>
      <c r="J598" s="2"/>
    </row>
    <row r="599" spans="1:10" ht="15.5">
      <c r="A599" s="181"/>
      <c r="B599" s="175"/>
      <c r="C599" s="146"/>
      <c r="D599" s="10"/>
      <c r="E599" s="8" t="s">
        <v>16</v>
      </c>
      <c r="F599" s="135"/>
      <c r="G599" s="135"/>
      <c r="H599" s="134"/>
      <c r="I599" s="135"/>
      <c r="J599" s="2"/>
    </row>
    <row r="600" spans="1:10" ht="15.5">
      <c r="A600" s="181"/>
      <c r="B600" s="175"/>
      <c r="C600" s="146"/>
      <c r="D600" s="10"/>
      <c r="E600" s="8" t="s">
        <v>58</v>
      </c>
      <c r="F600" s="135"/>
      <c r="G600" s="135"/>
      <c r="H600" s="134"/>
      <c r="I600" s="135"/>
      <c r="J600" s="2"/>
    </row>
    <row r="601" spans="1:10" ht="15.5">
      <c r="A601" s="181"/>
      <c r="B601" s="176"/>
      <c r="C601" s="146"/>
      <c r="D601" s="10"/>
      <c r="E601" s="8" t="s">
        <v>23</v>
      </c>
      <c r="F601" s="135"/>
      <c r="G601" s="135"/>
      <c r="H601" s="134"/>
      <c r="I601" s="135"/>
      <c r="J601" s="2"/>
    </row>
    <row r="602" spans="1:10" ht="15.5">
      <c r="A602" s="181"/>
      <c r="B602" s="174" t="s">
        <v>1490</v>
      </c>
      <c r="C602" s="146"/>
      <c r="D602" s="10"/>
      <c r="E602" s="8" t="s">
        <v>23</v>
      </c>
      <c r="F602" s="135"/>
      <c r="G602" s="135"/>
      <c r="H602" s="134"/>
      <c r="I602" s="135"/>
      <c r="J602" s="2"/>
    </row>
    <row r="603" spans="1:10" ht="15.5">
      <c r="A603" s="181"/>
      <c r="B603" s="175"/>
      <c r="C603" s="146"/>
      <c r="D603" s="10"/>
      <c r="E603" s="8" t="s">
        <v>23</v>
      </c>
      <c r="F603" s="135"/>
      <c r="G603" s="135"/>
      <c r="H603" s="134"/>
      <c r="I603" s="135"/>
      <c r="J603" s="2"/>
    </row>
    <row r="604" spans="1:10" ht="15.5">
      <c r="A604" s="181"/>
      <c r="B604" s="175"/>
      <c r="C604" s="146"/>
      <c r="D604" s="10"/>
      <c r="E604" s="8" t="s">
        <v>23</v>
      </c>
      <c r="F604" s="135"/>
      <c r="G604" s="135"/>
      <c r="H604" s="134"/>
      <c r="I604" s="135"/>
      <c r="J604" s="2"/>
    </row>
    <row r="605" spans="1:10" ht="15.5">
      <c r="A605" s="181"/>
      <c r="B605" s="175"/>
      <c r="C605" s="146"/>
      <c r="D605" s="10"/>
      <c r="E605" s="8" t="s">
        <v>23</v>
      </c>
      <c r="F605" s="135"/>
      <c r="G605" s="135"/>
      <c r="H605" s="134"/>
      <c r="I605" s="135"/>
      <c r="J605" s="2"/>
    </row>
    <row r="606" spans="1:10" ht="15.5">
      <c r="A606" s="181"/>
      <c r="B606" s="176"/>
      <c r="C606" s="146"/>
      <c r="D606" s="10"/>
      <c r="E606" s="8" t="s">
        <v>23</v>
      </c>
      <c r="F606" s="135"/>
      <c r="G606" s="135"/>
      <c r="H606" s="134"/>
      <c r="I606" s="135"/>
      <c r="J606" s="2"/>
    </row>
    <row r="607" spans="1:10" ht="15.5">
      <c r="A607" s="181"/>
      <c r="B607" s="174" t="s">
        <v>1491</v>
      </c>
      <c r="C607" s="146"/>
      <c r="D607" s="10"/>
      <c r="E607" s="8" t="s">
        <v>23</v>
      </c>
      <c r="F607" s="135"/>
      <c r="G607" s="135"/>
      <c r="H607" s="134"/>
      <c r="I607" s="135"/>
      <c r="J607" s="2"/>
    </row>
    <row r="608" spans="1:10" ht="15.5">
      <c r="A608" s="181"/>
      <c r="B608" s="175"/>
      <c r="C608" s="146"/>
      <c r="D608" s="10"/>
      <c r="E608" s="8" t="s">
        <v>23</v>
      </c>
      <c r="F608" s="135"/>
      <c r="G608" s="135"/>
      <c r="H608" s="134"/>
      <c r="I608" s="135"/>
      <c r="J608" s="2"/>
    </row>
    <row r="609" spans="1:10" ht="15.5">
      <c r="A609" s="181"/>
      <c r="B609" s="175"/>
      <c r="C609" s="146"/>
      <c r="D609" s="10"/>
      <c r="E609" s="8" t="s">
        <v>23</v>
      </c>
      <c r="F609" s="135"/>
      <c r="G609" s="135"/>
      <c r="H609" s="134"/>
      <c r="I609" s="135"/>
      <c r="J609" s="2"/>
    </row>
    <row r="610" spans="1:10" ht="15.5">
      <c r="A610" s="181"/>
      <c r="B610" s="175"/>
      <c r="C610" s="146"/>
      <c r="D610" s="10"/>
      <c r="E610" s="8" t="s">
        <v>23</v>
      </c>
      <c r="F610" s="135"/>
      <c r="G610" s="135"/>
      <c r="H610" s="134"/>
      <c r="I610" s="135"/>
      <c r="J610" s="2"/>
    </row>
    <row r="611" spans="1:10" ht="15.5">
      <c r="A611" s="181"/>
      <c r="B611" s="176"/>
      <c r="C611" s="146"/>
      <c r="D611" s="10"/>
      <c r="E611" s="8" t="s">
        <v>23</v>
      </c>
      <c r="F611" s="135"/>
      <c r="G611" s="135"/>
      <c r="H611" s="134"/>
      <c r="I611" s="135"/>
      <c r="J611" s="2"/>
    </row>
    <row r="612" spans="1:10" ht="15.5">
      <c r="A612" s="181"/>
      <c r="B612" s="174" t="s">
        <v>1492</v>
      </c>
      <c r="C612" s="146"/>
      <c r="D612" s="10"/>
      <c r="E612" s="8" t="s">
        <v>23</v>
      </c>
      <c r="F612" s="135"/>
      <c r="G612" s="135"/>
      <c r="H612" s="134"/>
      <c r="I612" s="135"/>
      <c r="J612" s="2"/>
    </row>
    <row r="613" spans="1:10" ht="15.5">
      <c r="A613" s="181"/>
      <c r="B613" s="175"/>
      <c r="C613" s="146"/>
      <c r="D613" s="10"/>
      <c r="E613" s="8" t="s">
        <v>58</v>
      </c>
      <c r="F613" s="135"/>
      <c r="G613" s="135"/>
      <c r="H613" s="134"/>
      <c r="I613" s="135"/>
      <c r="J613" s="2"/>
    </row>
    <row r="614" spans="1:10" ht="15.5">
      <c r="A614" s="181"/>
      <c r="B614" s="175"/>
      <c r="C614" s="146"/>
      <c r="D614" s="10"/>
      <c r="E614" s="8" t="s">
        <v>58</v>
      </c>
      <c r="F614" s="135"/>
      <c r="G614" s="135"/>
      <c r="H614" s="134"/>
      <c r="I614" s="135"/>
      <c r="J614" s="2"/>
    </row>
    <row r="615" spans="1:10" ht="15.5">
      <c r="A615" s="181"/>
      <c r="B615" s="175"/>
      <c r="C615" s="146"/>
      <c r="D615" s="10"/>
      <c r="E615" s="8" t="s">
        <v>58</v>
      </c>
      <c r="F615" s="135"/>
      <c r="G615" s="135"/>
      <c r="H615" s="134"/>
      <c r="I615" s="135"/>
      <c r="J615" s="2"/>
    </row>
    <row r="616" spans="1:10" ht="16" thickBot="1">
      <c r="A616" s="181"/>
      <c r="B616" s="176"/>
      <c r="C616" s="146" t="s">
        <v>1493</v>
      </c>
      <c r="D616" s="10"/>
      <c r="E616" s="8" t="s">
        <v>58</v>
      </c>
      <c r="F616" s="135"/>
      <c r="G616" s="135"/>
      <c r="H616" s="134"/>
      <c r="I616" s="135"/>
      <c r="J616" s="2"/>
    </row>
    <row r="617" spans="1:10" ht="15.5">
      <c r="A617" s="183" t="s">
        <v>1494</v>
      </c>
      <c r="B617" s="174" t="s">
        <v>1495</v>
      </c>
      <c r="C617" s="146"/>
      <c r="D617" s="10"/>
      <c r="E617" s="8" t="s">
        <v>58</v>
      </c>
      <c r="F617" s="135"/>
      <c r="G617" s="135"/>
      <c r="H617" s="134"/>
      <c r="I617" s="135"/>
      <c r="J617" s="2"/>
    </row>
    <row r="618" spans="1:10" ht="15.5">
      <c r="A618" s="181"/>
      <c r="B618" s="175"/>
      <c r="C618" s="146"/>
      <c r="D618" s="10"/>
      <c r="E618" s="8" t="s">
        <v>58</v>
      </c>
      <c r="F618" s="135"/>
      <c r="G618" s="135"/>
      <c r="H618" s="134"/>
      <c r="I618" s="135"/>
      <c r="J618" s="2"/>
    </row>
    <row r="619" spans="1:10" ht="15.5">
      <c r="A619" s="181"/>
      <c r="B619" s="175"/>
      <c r="C619" s="146"/>
      <c r="D619" s="10"/>
      <c r="E619" s="8" t="s">
        <v>58</v>
      </c>
      <c r="F619" s="135"/>
      <c r="G619" s="135"/>
      <c r="H619" s="134"/>
      <c r="I619" s="135"/>
      <c r="J619" s="2"/>
    </row>
    <row r="620" spans="1:10" ht="15.5">
      <c r="A620" s="181"/>
      <c r="B620" s="175"/>
      <c r="C620" s="146"/>
      <c r="D620" s="10"/>
      <c r="E620" s="8" t="s">
        <v>58</v>
      </c>
      <c r="F620" s="135"/>
      <c r="G620" s="135"/>
      <c r="H620" s="134"/>
      <c r="I620" s="135"/>
      <c r="J620" s="2"/>
    </row>
    <row r="621" spans="1:10" ht="15.5">
      <c r="A621" s="181"/>
      <c r="B621" s="176"/>
      <c r="C621" s="146"/>
      <c r="D621" s="135" t="s">
        <v>1496</v>
      </c>
      <c r="E621" s="8" t="s">
        <v>58</v>
      </c>
      <c r="F621" s="135"/>
      <c r="G621" s="135"/>
      <c r="H621" s="134"/>
      <c r="I621" s="135"/>
      <c r="J621" s="2"/>
    </row>
    <row r="622" spans="1:10" ht="15.5">
      <c r="A622" s="181"/>
      <c r="B622" s="174" t="s">
        <v>1497</v>
      </c>
      <c r="C622" s="146"/>
      <c r="D622" s="135"/>
      <c r="E622" s="8" t="s">
        <v>58</v>
      </c>
      <c r="F622" s="135" t="s">
        <v>1498</v>
      </c>
      <c r="G622" s="135" t="s">
        <v>1499</v>
      </c>
      <c r="H622" s="134" t="s">
        <v>26</v>
      </c>
      <c r="I622" s="135" t="s">
        <v>1500</v>
      </c>
      <c r="J622" s="2"/>
    </row>
    <row r="623" spans="1:10" ht="15.5">
      <c r="A623" s="181"/>
      <c r="B623" s="175"/>
      <c r="C623" s="146"/>
      <c r="D623" s="135"/>
      <c r="E623" s="8" t="s">
        <v>16</v>
      </c>
      <c r="F623" s="135"/>
      <c r="G623" s="135"/>
      <c r="H623" s="134"/>
      <c r="I623" s="135"/>
      <c r="J623" s="2"/>
    </row>
    <row r="624" spans="1:10" ht="15.5">
      <c r="A624" s="181"/>
      <c r="B624" s="175"/>
      <c r="C624" s="146"/>
      <c r="D624" s="135"/>
      <c r="E624" s="8" t="s">
        <v>16</v>
      </c>
      <c r="F624" s="135"/>
      <c r="G624" s="135"/>
      <c r="H624" s="134"/>
      <c r="I624" s="135"/>
      <c r="J624" s="2"/>
    </row>
    <row r="625" spans="1:10" ht="15.5">
      <c r="A625" s="181"/>
      <c r="B625" s="175"/>
      <c r="C625" s="146"/>
      <c r="D625" s="135"/>
      <c r="E625" s="8" t="s">
        <v>16</v>
      </c>
      <c r="F625" s="135"/>
      <c r="G625" s="135"/>
      <c r="H625" s="134"/>
      <c r="I625" s="135"/>
      <c r="J625" s="2"/>
    </row>
    <row r="626" spans="1:10" ht="15.5">
      <c r="A626" s="181"/>
      <c r="B626" s="176"/>
      <c r="C626" s="146"/>
      <c r="D626" s="135"/>
      <c r="E626" s="8" t="s">
        <v>16</v>
      </c>
      <c r="F626" s="135"/>
      <c r="G626" s="135"/>
      <c r="H626" s="134"/>
      <c r="I626" s="135"/>
      <c r="J626" s="2"/>
    </row>
    <row r="627" spans="1:10" ht="15.5">
      <c r="A627" s="181"/>
      <c r="B627" s="174" t="s">
        <v>1501</v>
      </c>
      <c r="C627" s="146"/>
      <c r="D627" s="135"/>
      <c r="E627" s="8" t="s">
        <v>16</v>
      </c>
      <c r="F627" s="135"/>
      <c r="G627" s="135"/>
      <c r="H627" s="134"/>
      <c r="I627" s="135"/>
      <c r="J627" s="2"/>
    </row>
    <row r="628" spans="1:10" ht="15.5">
      <c r="A628" s="181"/>
      <c r="B628" s="175"/>
      <c r="C628" s="146"/>
      <c r="D628" s="135"/>
      <c r="E628" s="8" t="s">
        <v>16</v>
      </c>
      <c r="F628" s="135"/>
      <c r="G628" s="135"/>
      <c r="H628" s="134"/>
      <c r="I628" s="135"/>
      <c r="J628" s="2"/>
    </row>
    <row r="629" spans="1:10" ht="15.5">
      <c r="A629" s="181"/>
      <c r="B629" s="175"/>
      <c r="C629" s="146"/>
      <c r="D629" s="135"/>
      <c r="E629" s="8" t="s">
        <v>16</v>
      </c>
      <c r="F629" s="135"/>
      <c r="G629" s="135"/>
      <c r="H629" s="134"/>
      <c r="I629" s="135"/>
      <c r="J629" s="2"/>
    </row>
    <row r="630" spans="1:10" ht="15.5">
      <c r="A630" s="181"/>
      <c r="B630" s="175"/>
      <c r="C630" s="146"/>
      <c r="D630" s="135"/>
      <c r="E630" s="8" t="s">
        <v>16</v>
      </c>
      <c r="F630" s="135"/>
      <c r="G630" s="135"/>
      <c r="H630" s="134"/>
      <c r="I630" s="135"/>
      <c r="J630" s="2"/>
    </row>
    <row r="631" spans="1:10" ht="15.5">
      <c r="A631" s="181"/>
      <c r="B631" s="176"/>
      <c r="C631" s="146"/>
      <c r="D631" s="135"/>
      <c r="E631" s="8" t="s">
        <v>16</v>
      </c>
      <c r="F631" s="135"/>
      <c r="G631" s="135"/>
      <c r="H631" s="134"/>
      <c r="I631" s="135"/>
      <c r="J631" s="2"/>
    </row>
    <row r="632" spans="1:10" ht="15.5">
      <c r="A632" s="181"/>
      <c r="B632" s="174" t="s">
        <v>1502</v>
      </c>
      <c r="C632" s="146"/>
      <c r="D632" s="135"/>
      <c r="E632" s="8" t="s">
        <v>16</v>
      </c>
      <c r="F632" s="135"/>
      <c r="G632" s="135"/>
      <c r="H632" s="134"/>
      <c r="I632" s="135"/>
      <c r="J632" s="2"/>
    </row>
    <row r="633" spans="1:10" ht="15.5">
      <c r="A633" s="181"/>
      <c r="B633" s="175"/>
      <c r="C633" s="146"/>
      <c r="D633" s="135"/>
      <c r="E633" s="8" t="s">
        <v>16</v>
      </c>
      <c r="F633" s="135"/>
      <c r="G633" s="135"/>
      <c r="H633" s="134"/>
      <c r="I633" s="135"/>
      <c r="J633" s="2"/>
    </row>
    <row r="634" spans="1:10" ht="15.5">
      <c r="A634" s="181"/>
      <c r="B634" s="175"/>
      <c r="C634" s="146"/>
      <c r="D634" s="135"/>
      <c r="E634" s="8" t="s">
        <v>16</v>
      </c>
      <c r="F634" s="135"/>
      <c r="G634" s="135"/>
      <c r="H634" s="134"/>
      <c r="I634" s="135"/>
      <c r="J634" s="2"/>
    </row>
    <row r="635" spans="1:10" ht="15.5">
      <c r="A635" s="181"/>
      <c r="B635" s="175"/>
      <c r="C635" s="146"/>
      <c r="D635" s="135"/>
      <c r="E635" s="8" t="s">
        <v>16</v>
      </c>
      <c r="F635" s="135"/>
      <c r="G635" s="135"/>
      <c r="H635" s="134"/>
      <c r="I635" s="135"/>
      <c r="J635" s="2"/>
    </row>
    <row r="636" spans="1:10" ht="15.5">
      <c r="A636" s="181"/>
      <c r="B636" s="176"/>
      <c r="C636" s="146"/>
      <c r="D636" s="135"/>
      <c r="E636" s="8" t="s">
        <v>16</v>
      </c>
      <c r="F636" s="135"/>
      <c r="G636" s="135"/>
      <c r="H636" s="134"/>
      <c r="I636" s="135"/>
      <c r="J636" s="2"/>
    </row>
    <row r="637" spans="1:10" ht="15.5">
      <c r="A637" s="181"/>
      <c r="B637" s="174" t="s">
        <v>1503</v>
      </c>
      <c r="C637" s="146"/>
      <c r="D637" s="135"/>
      <c r="E637" s="8" t="s">
        <v>16</v>
      </c>
      <c r="F637" s="135"/>
      <c r="G637" s="135"/>
      <c r="H637" s="134"/>
      <c r="I637" s="135"/>
      <c r="J637" s="2"/>
    </row>
    <row r="638" spans="1:10" ht="15.5">
      <c r="A638" s="181"/>
      <c r="B638" s="175"/>
      <c r="C638" s="146"/>
      <c r="D638" s="135"/>
      <c r="E638" s="8" t="s">
        <v>16</v>
      </c>
      <c r="F638" s="135"/>
      <c r="G638" s="135"/>
      <c r="H638" s="134"/>
      <c r="I638" s="135"/>
      <c r="J638" s="2"/>
    </row>
    <row r="639" spans="1:10" ht="15.5">
      <c r="A639" s="181"/>
      <c r="B639" s="175"/>
      <c r="C639" s="146"/>
      <c r="D639" s="135"/>
      <c r="E639" s="8" t="s">
        <v>16</v>
      </c>
      <c r="F639" s="135"/>
      <c r="G639" s="135"/>
      <c r="H639" s="134"/>
      <c r="I639" s="135"/>
      <c r="J639" s="2"/>
    </row>
    <row r="640" spans="1:10" ht="15.5">
      <c r="A640" s="181"/>
      <c r="B640" s="175"/>
      <c r="C640" s="146"/>
      <c r="D640" s="135"/>
      <c r="E640" s="8" t="s">
        <v>16</v>
      </c>
      <c r="F640" s="135"/>
      <c r="G640" s="135"/>
      <c r="H640" s="134"/>
      <c r="I640" s="135"/>
      <c r="J640" s="2"/>
    </row>
    <row r="641" spans="1:10" ht="15.5">
      <c r="A641" s="181"/>
      <c r="B641" s="176"/>
      <c r="C641" s="146"/>
      <c r="D641" s="135"/>
      <c r="E641" s="8" t="s">
        <v>16</v>
      </c>
      <c r="F641" s="135"/>
      <c r="G641" s="135"/>
      <c r="H641" s="134"/>
      <c r="I641" s="135"/>
      <c r="J641" s="2"/>
    </row>
    <row r="642" spans="1:10" ht="15.5">
      <c r="A642" s="181"/>
      <c r="B642" s="174" t="s">
        <v>1504</v>
      </c>
      <c r="C642" s="146"/>
      <c r="D642" s="135"/>
      <c r="E642" s="8" t="s">
        <v>16</v>
      </c>
      <c r="F642" s="135"/>
      <c r="G642" s="135"/>
      <c r="H642" s="134"/>
      <c r="I642" s="135"/>
      <c r="J642" s="2"/>
    </row>
    <row r="643" spans="1:10" ht="15.5">
      <c r="A643" s="181"/>
      <c r="B643" s="175"/>
      <c r="C643" s="146"/>
      <c r="D643" s="135"/>
      <c r="E643" s="8" t="s">
        <v>16</v>
      </c>
      <c r="F643" s="135"/>
      <c r="G643" s="135"/>
      <c r="H643" s="134"/>
      <c r="I643" s="135"/>
      <c r="J643" s="2"/>
    </row>
    <row r="644" spans="1:10" ht="15.5">
      <c r="A644" s="181"/>
      <c r="B644" s="175"/>
      <c r="C644" s="146"/>
      <c r="D644" s="135"/>
      <c r="E644" s="8" t="s">
        <v>16</v>
      </c>
      <c r="F644" s="135"/>
      <c r="G644" s="135"/>
      <c r="H644" s="134"/>
      <c r="I644" s="135"/>
      <c r="J644" s="2"/>
    </row>
    <row r="645" spans="1:10" ht="15.5">
      <c r="A645" s="181"/>
      <c r="B645" s="175"/>
      <c r="C645" s="146"/>
      <c r="D645" s="135"/>
      <c r="E645" s="8" t="s">
        <v>16</v>
      </c>
      <c r="F645" s="135"/>
      <c r="G645" s="135"/>
      <c r="H645" s="134"/>
      <c r="I645" s="135"/>
      <c r="J645" s="2"/>
    </row>
    <row r="646" spans="1:10" ht="16" thickBot="1">
      <c r="A646" s="182"/>
      <c r="B646" s="176"/>
      <c r="C646" s="146" t="s">
        <v>1505</v>
      </c>
      <c r="D646" s="135"/>
      <c r="E646" s="8" t="s">
        <v>16</v>
      </c>
      <c r="F646" s="135"/>
      <c r="G646" s="135"/>
      <c r="H646" s="134"/>
      <c r="I646" s="135"/>
      <c r="J646" s="2"/>
    </row>
    <row r="647" spans="1:10" ht="15.5">
      <c r="A647" s="183" t="s">
        <v>1506</v>
      </c>
      <c r="B647" s="174" t="s">
        <v>1507</v>
      </c>
      <c r="C647" s="146"/>
      <c r="D647" s="135"/>
      <c r="E647" s="8" t="s">
        <v>16</v>
      </c>
      <c r="F647" s="135"/>
      <c r="G647" s="135"/>
      <c r="H647" s="134"/>
      <c r="I647" s="135"/>
      <c r="J647" s="2"/>
    </row>
    <row r="648" spans="1:10" ht="15.5">
      <c r="A648" s="181"/>
      <c r="B648" s="175"/>
      <c r="C648" s="146"/>
      <c r="D648" s="135"/>
      <c r="E648" s="8" t="s">
        <v>16</v>
      </c>
      <c r="F648" s="135"/>
      <c r="G648" s="135"/>
      <c r="H648" s="134"/>
      <c r="I648" s="135"/>
      <c r="J648" s="2"/>
    </row>
    <row r="649" spans="1:10" ht="15.5">
      <c r="A649" s="181"/>
      <c r="B649" s="175"/>
      <c r="C649" s="146"/>
      <c r="D649" s="135"/>
      <c r="E649" s="8" t="s">
        <v>16</v>
      </c>
      <c r="F649" s="135"/>
      <c r="G649" s="135"/>
      <c r="H649" s="134"/>
      <c r="I649" s="135"/>
      <c r="J649" s="2"/>
    </row>
    <row r="650" spans="1:10" ht="15.5">
      <c r="A650" s="181"/>
      <c r="B650" s="175"/>
      <c r="C650" s="146"/>
      <c r="D650" s="135"/>
      <c r="E650" s="8" t="s">
        <v>16</v>
      </c>
      <c r="F650" s="135"/>
      <c r="G650" s="135"/>
      <c r="H650" s="134"/>
      <c r="I650" s="135"/>
      <c r="J650" s="2"/>
    </row>
    <row r="651" spans="1:10" ht="15.5">
      <c r="A651" s="181"/>
      <c r="B651" s="176"/>
      <c r="C651" s="146"/>
      <c r="D651" s="135" t="s">
        <v>1508</v>
      </c>
      <c r="E651" s="8" t="s">
        <v>16</v>
      </c>
      <c r="F651" s="135"/>
      <c r="G651" s="135"/>
      <c r="H651" s="134"/>
      <c r="I651" s="135"/>
      <c r="J651" s="2"/>
    </row>
    <row r="652" spans="1:10" ht="15.5">
      <c r="A652" s="181"/>
      <c r="B652" s="174" t="s">
        <v>1509</v>
      </c>
      <c r="C652" s="146"/>
      <c r="D652" s="135"/>
      <c r="E652" s="8" t="s">
        <v>16</v>
      </c>
      <c r="F652" s="135" t="s">
        <v>1510</v>
      </c>
      <c r="G652" s="135" t="s">
        <v>1511</v>
      </c>
      <c r="H652" s="134" t="s">
        <v>213</v>
      </c>
      <c r="I652" s="135" t="s">
        <v>1512</v>
      </c>
      <c r="J652" s="2"/>
    </row>
    <row r="653" spans="1:10" ht="15.5">
      <c r="A653" s="181"/>
      <c r="B653" s="175"/>
      <c r="C653" s="146"/>
      <c r="D653" s="135"/>
      <c r="E653" s="8" t="s">
        <v>16</v>
      </c>
      <c r="F653" s="135"/>
      <c r="G653" s="135"/>
      <c r="H653" s="134"/>
      <c r="I653" s="135"/>
      <c r="J653" s="2"/>
    </row>
    <row r="654" spans="1:10" ht="15.5">
      <c r="A654" s="181"/>
      <c r="B654" s="175"/>
      <c r="C654" s="146"/>
      <c r="D654" s="135"/>
      <c r="E654" s="8" t="s">
        <v>16</v>
      </c>
      <c r="F654" s="135"/>
      <c r="G654" s="135"/>
      <c r="H654" s="134"/>
      <c r="I654" s="135"/>
      <c r="J654" s="2"/>
    </row>
    <row r="655" spans="1:10" ht="15.5">
      <c r="A655" s="181"/>
      <c r="B655" s="175"/>
      <c r="C655" s="146"/>
      <c r="D655" s="135"/>
      <c r="E655" s="8" t="s">
        <v>16</v>
      </c>
      <c r="F655" s="135"/>
      <c r="G655" s="135"/>
      <c r="H655" s="134"/>
      <c r="I655" s="135"/>
      <c r="J655" s="2"/>
    </row>
    <row r="656" spans="1:10" ht="15.5">
      <c r="A656" s="181"/>
      <c r="B656" s="176"/>
      <c r="C656" s="146"/>
      <c r="D656" s="135"/>
      <c r="E656" s="8" t="s">
        <v>16</v>
      </c>
      <c r="F656" s="135"/>
      <c r="G656" s="135"/>
      <c r="H656" s="134"/>
      <c r="I656" s="135"/>
      <c r="J656" s="2"/>
    </row>
    <row r="657" spans="1:10" ht="15.5">
      <c r="A657" s="181"/>
      <c r="B657" s="174" t="s">
        <v>1513</v>
      </c>
      <c r="C657" s="146"/>
      <c r="D657" s="135"/>
      <c r="E657" s="8" t="s">
        <v>16</v>
      </c>
      <c r="F657" s="135"/>
      <c r="G657" s="135"/>
      <c r="H657" s="134"/>
      <c r="I657" s="135"/>
      <c r="J657" s="2"/>
    </row>
    <row r="658" spans="1:10" ht="15.5">
      <c r="A658" s="181"/>
      <c r="B658" s="175"/>
      <c r="C658" s="146"/>
      <c r="D658" s="135"/>
      <c r="E658" s="8" t="s">
        <v>16</v>
      </c>
      <c r="F658" s="135"/>
      <c r="G658" s="135"/>
      <c r="H658" s="134"/>
      <c r="I658" s="135"/>
      <c r="J658" s="2"/>
    </row>
    <row r="659" spans="1:10" ht="15.5">
      <c r="A659" s="181"/>
      <c r="B659" s="175"/>
      <c r="C659" s="146"/>
      <c r="D659" s="135"/>
      <c r="E659" s="8" t="s">
        <v>16</v>
      </c>
      <c r="F659" s="135"/>
      <c r="G659" s="135"/>
      <c r="H659" s="134"/>
      <c r="I659" s="135"/>
      <c r="J659" s="2"/>
    </row>
    <row r="660" spans="1:10" ht="15.5">
      <c r="A660" s="181"/>
      <c r="B660" s="175"/>
      <c r="C660" s="146"/>
      <c r="D660" s="135"/>
      <c r="E660" s="8" t="s">
        <v>16</v>
      </c>
      <c r="F660" s="135"/>
      <c r="G660" s="135"/>
      <c r="H660" s="134"/>
      <c r="I660" s="135"/>
      <c r="J660" s="2"/>
    </row>
    <row r="661" spans="1:10" ht="15.5">
      <c r="A661" s="181"/>
      <c r="B661" s="176"/>
      <c r="C661" s="146"/>
      <c r="D661" s="135"/>
      <c r="E661" s="8" t="s">
        <v>16</v>
      </c>
      <c r="F661" s="135"/>
      <c r="G661" s="135"/>
      <c r="H661" s="134"/>
      <c r="I661" s="135"/>
      <c r="J661" s="2"/>
    </row>
    <row r="662" spans="1:10" ht="15.5">
      <c r="A662" s="181"/>
      <c r="B662" s="174" t="s">
        <v>1514</v>
      </c>
      <c r="C662" s="146"/>
      <c r="D662" s="135"/>
      <c r="E662" s="8" t="s">
        <v>16</v>
      </c>
      <c r="F662" s="135"/>
      <c r="G662" s="135"/>
      <c r="H662" s="134"/>
      <c r="I662" s="135"/>
      <c r="J662" s="2"/>
    </row>
    <row r="663" spans="1:10" ht="15.5">
      <c r="A663" s="181"/>
      <c r="B663" s="175"/>
      <c r="C663" s="146"/>
      <c r="D663" s="135"/>
      <c r="E663" s="8" t="s">
        <v>16</v>
      </c>
      <c r="F663" s="135"/>
      <c r="G663" s="135"/>
      <c r="H663" s="134"/>
      <c r="I663" s="135"/>
      <c r="J663" s="2"/>
    </row>
    <row r="664" spans="1:10" ht="15.5">
      <c r="A664" s="181"/>
      <c r="B664" s="175"/>
      <c r="C664" s="146"/>
      <c r="D664" s="135"/>
      <c r="E664" s="8" t="s">
        <v>16</v>
      </c>
      <c r="F664" s="135"/>
      <c r="G664" s="135"/>
      <c r="H664" s="134"/>
      <c r="I664" s="135"/>
      <c r="J664" s="2"/>
    </row>
    <row r="665" spans="1:10" ht="15.5">
      <c r="A665" s="181"/>
      <c r="B665" s="175"/>
      <c r="C665" s="146"/>
      <c r="D665" s="135"/>
      <c r="E665" s="8" t="s">
        <v>16</v>
      </c>
      <c r="F665" s="135"/>
      <c r="G665" s="135"/>
      <c r="H665" s="134"/>
      <c r="I665" s="135"/>
      <c r="J665" s="2"/>
    </row>
    <row r="666" spans="1:10" ht="15.5">
      <c r="A666" s="181"/>
      <c r="B666" s="176"/>
      <c r="C666" s="146"/>
      <c r="D666" s="135"/>
      <c r="E666" s="8" t="s">
        <v>16</v>
      </c>
      <c r="F666" s="135"/>
      <c r="G666" s="135"/>
      <c r="H666" s="134"/>
      <c r="I666" s="135"/>
      <c r="J666" s="2"/>
    </row>
    <row r="667" spans="1:10" ht="15.5">
      <c r="A667" s="181"/>
      <c r="B667" s="174" t="s">
        <v>1515</v>
      </c>
      <c r="C667" s="146"/>
      <c r="D667" s="135"/>
      <c r="E667" s="8" t="s">
        <v>16</v>
      </c>
      <c r="F667" s="135"/>
      <c r="G667" s="135"/>
      <c r="H667" s="134"/>
      <c r="I667" s="135"/>
      <c r="J667" s="2"/>
    </row>
    <row r="668" spans="1:10" ht="15.5">
      <c r="A668" s="181"/>
      <c r="B668" s="175"/>
      <c r="C668" s="146"/>
      <c r="D668" s="135"/>
      <c r="E668" s="8" t="s">
        <v>16</v>
      </c>
      <c r="F668" s="135"/>
      <c r="G668" s="135"/>
      <c r="H668" s="134"/>
      <c r="I668" s="135"/>
      <c r="J668" s="2"/>
    </row>
    <row r="669" spans="1:10" ht="15.5">
      <c r="A669" s="181"/>
      <c r="B669" s="175"/>
      <c r="C669" s="146"/>
      <c r="D669" s="135"/>
      <c r="E669" s="8" t="s">
        <v>16</v>
      </c>
      <c r="F669" s="135"/>
      <c r="G669" s="135"/>
      <c r="H669" s="134"/>
      <c r="I669" s="135"/>
      <c r="J669" s="2"/>
    </row>
    <row r="670" spans="1:10" ht="15.5">
      <c r="A670" s="181"/>
      <c r="B670" s="175"/>
      <c r="C670" s="146"/>
      <c r="D670" s="135"/>
      <c r="E670" s="8" t="s">
        <v>16</v>
      </c>
      <c r="F670" s="135"/>
      <c r="G670" s="135"/>
      <c r="H670" s="134"/>
      <c r="I670" s="135"/>
      <c r="J670" s="2"/>
    </row>
    <row r="671" spans="1:10" ht="15.5">
      <c r="A671" s="181"/>
      <c r="B671" s="176"/>
      <c r="C671" s="146"/>
      <c r="D671" s="135"/>
      <c r="E671" s="8" t="s">
        <v>16</v>
      </c>
      <c r="F671" s="135"/>
      <c r="G671" s="135"/>
      <c r="H671" s="134"/>
      <c r="I671" s="135"/>
      <c r="J671" s="2"/>
    </row>
    <row r="672" spans="1:10" ht="15.5">
      <c r="A672" s="181"/>
      <c r="B672" s="174" t="s">
        <v>1516</v>
      </c>
      <c r="C672" s="146"/>
      <c r="D672" s="135"/>
      <c r="E672" s="8" t="s">
        <v>16</v>
      </c>
      <c r="F672" s="135"/>
      <c r="G672" s="135"/>
      <c r="H672" s="134"/>
      <c r="I672" s="135"/>
      <c r="J672" s="2"/>
    </row>
    <row r="673" spans="1:10" ht="15.5">
      <c r="A673" s="181"/>
      <c r="B673" s="175"/>
      <c r="C673" s="146"/>
      <c r="D673" s="135"/>
      <c r="E673" s="8" t="s">
        <v>16</v>
      </c>
      <c r="F673" s="135"/>
      <c r="G673" s="135"/>
      <c r="H673" s="134"/>
      <c r="I673" s="135"/>
      <c r="J673" s="2"/>
    </row>
    <row r="674" spans="1:10" ht="15.5">
      <c r="A674" s="181"/>
      <c r="B674" s="175"/>
      <c r="C674" s="146"/>
      <c r="D674" s="135"/>
      <c r="E674" s="8" t="s">
        <v>16</v>
      </c>
      <c r="F674" s="135"/>
      <c r="G674" s="135"/>
      <c r="H674" s="134"/>
      <c r="I674" s="135"/>
      <c r="J674" s="2"/>
    </row>
    <row r="675" spans="1:10" ht="15.5">
      <c r="A675" s="181"/>
      <c r="B675" s="175"/>
      <c r="C675" s="146"/>
      <c r="D675" s="135"/>
      <c r="E675" s="8" t="s">
        <v>16</v>
      </c>
      <c r="F675" s="135"/>
      <c r="G675" s="135"/>
      <c r="H675" s="134"/>
      <c r="I675" s="135"/>
      <c r="J675" s="2"/>
    </row>
    <row r="676" spans="1:10" ht="16" thickBot="1">
      <c r="A676" s="182"/>
      <c r="B676" s="176"/>
      <c r="C676" s="146" t="s">
        <v>1517</v>
      </c>
      <c r="D676" s="135"/>
      <c r="E676" s="8" t="s">
        <v>16</v>
      </c>
      <c r="F676" s="135"/>
      <c r="G676" s="135"/>
      <c r="H676" s="134"/>
      <c r="I676" s="135"/>
      <c r="J676" s="2"/>
    </row>
    <row r="677" spans="1:10" ht="15.5">
      <c r="A677" s="181" t="s">
        <v>1518</v>
      </c>
      <c r="B677" s="174" t="s">
        <v>1519</v>
      </c>
      <c r="C677" s="146"/>
      <c r="D677" s="135"/>
      <c r="E677" s="8" t="s">
        <v>16</v>
      </c>
      <c r="F677" s="135"/>
      <c r="G677" s="135"/>
      <c r="H677" s="134"/>
      <c r="I677" s="135"/>
      <c r="J677" s="2"/>
    </row>
    <row r="678" spans="1:10" ht="15.5">
      <c r="A678" s="181"/>
      <c r="B678" s="175"/>
      <c r="C678" s="146"/>
      <c r="D678" s="135"/>
      <c r="E678" s="8" t="s">
        <v>16</v>
      </c>
      <c r="F678" s="135"/>
      <c r="G678" s="135"/>
      <c r="H678" s="134"/>
      <c r="I678" s="135"/>
      <c r="J678" s="2"/>
    </row>
    <row r="679" spans="1:10" ht="15.5">
      <c r="A679" s="181"/>
      <c r="B679" s="175"/>
      <c r="C679" s="146"/>
      <c r="D679" s="135"/>
      <c r="E679" s="8" t="s">
        <v>16</v>
      </c>
      <c r="F679" s="135"/>
      <c r="G679" s="135"/>
      <c r="H679" s="134"/>
      <c r="I679" s="135"/>
      <c r="J679" s="2"/>
    </row>
    <row r="680" spans="1:10" ht="15.5">
      <c r="A680" s="181"/>
      <c r="B680" s="175"/>
      <c r="C680" s="146"/>
      <c r="D680" s="135"/>
      <c r="E680" s="8" t="s">
        <v>16</v>
      </c>
      <c r="F680" s="135"/>
      <c r="G680" s="135"/>
      <c r="H680" s="134"/>
      <c r="I680" s="135"/>
      <c r="J680" s="2"/>
    </row>
    <row r="681" spans="1:10" ht="15.5">
      <c r="A681" s="181"/>
      <c r="B681" s="176"/>
      <c r="C681" s="146"/>
      <c r="D681" s="135" t="s">
        <v>1520</v>
      </c>
      <c r="E681" s="8" t="s">
        <v>16</v>
      </c>
      <c r="F681" s="135"/>
      <c r="G681" s="135"/>
      <c r="H681" s="134"/>
      <c r="I681" s="135"/>
      <c r="J681" s="2"/>
    </row>
    <row r="682" spans="1:10" ht="15.5">
      <c r="A682" s="181"/>
      <c r="B682" s="174" t="s">
        <v>1522</v>
      </c>
      <c r="C682" s="146"/>
      <c r="D682" s="135"/>
      <c r="E682" s="8" t="s">
        <v>16</v>
      </c>
      <c r="F682" s="135" t="s">
        <v>1523</v>
      </c>
      <c r="G682" s="135" t="s">
        <v>1524</v>
      </c>
      <c r="H682" s="134" t="s">
        <v>213</v>
      </c>
      <c r="I682" s="135" t="s">
        <v>1525</v>
      </c>
      <c r="J682" s="2"/>
    </row>
    <row r="683" spans="1:10" ht="15.5">
      <c r="A683" s="181"/>
      <c r="B683" s="175"/>
      <c r="C683" s="146"/>
      <c r="D683" s="135"/>
      <c r="E683" s="8" t="s">
        <v>16</v>
      </c>
      <c r="F683" s="135"/>
      <c r="G683" s="135"/>
      <c r="H683" s="134"/>
      <c r="I683" s="135"/>
      <c r="J683" s="2"/>
    </row>
    <row r="684" spans="1:10" ht="15.5">
      <c r="A684" s="181"/>
      <c r="B684" s="175"/>
      <c r="C684" s="146"/>
      <c r="D684" s="135"/>
      <c r="E684" s="8" t="s">
        <v>16</v>
      </c>
      <c r="F684" s="135"/>
      <c r="G684" s="135"/>
      <c r="H684" s="134"/>
      <c r="I684" s="135"/>
      <c r="J684" s="2"/>
    </row>
    <row r="685" spans="1:10" ht="15.5">
      <c r="A685" s="181"/>
      <c r="B685" s="175"/>
      <c r="C685" s="146"/>
      <c r="D685" s="135"/>
      <c r="E685" s="8" t="s">
        <v>16</v>
      </c>
      <c r="F685" s="135"/>
      <c r="G685" s="135"/>
      <c r="H685" s="134"/>
      <c r="I685" s="135"/>
      <c r="J685" s="2"/>
    </row>
    <row r="686" spans="1:10" ht="15.5">
      <c r="A686" s="181"/>
      <c r="B686" s="176"/>
      <c r="C686" s="146"/>
      <c r="D686" s="135"/>
      <c r="E686" s="8" t="s">
        <v>16</v>
      </c>
      <c r="F686" s="135"/>
      <c r="G686" s="135"/>
      <c r="H686" s="134"/>
      <c r="I686" s="135"/>
      <c r="J686" s="2"/>
    </row>
    <row r="687" spans="1:10" ht="15.5">
      <c r="A687" s="181"/>
      <c r="B687" s="174" t="s">
        <v>1526</v>
      </c>
      <c r="C687" s="146"/>
      <c r="D687" s="135"/>
      <c r="E687" s="8" t="s">
        <v>16</v>
      </c>
      <c r="F687" s="135"/>
      <c r="G687" s="135"/>
      <c r="H687" s="134"/>
      <c r="I687" s="135"/>
      <c r="J687" s="2"/>
    </row>
    <row r="688" spans="1:10" ht="15.5">
      <c r="A688" s="181"/>
      <c r="B688" s="175"/>
      <c r="C688" s="146"/>
      <c r="D688" s="135"/>
      <c r="E688" s="8" t="s">
        <v>16</v>
      </c>
      <c r="F688" s="135"/>
      <c r="G688" s="135"/>
      <c r="H688" s="134"/>
      <c r="I688" s="135"/>
      <c r="J688" s="2"/>
    </row>
    <row r="689" spans="1:10" ht="15.5">
      <c r="A689" s="181"/>
      <c r="B689" s="175"/>
      <c r="C689" s="146"/>
      <c r="D689" s="135"/>
      <c r="E689" s="8" t="s">
        <v>16</v>
      </c>
      <c r="F689" s="135"/>
      <c r="G689" s="135"/>
      <c r="H689" s="134"/>
      <c r="I689" s="135"/>
      <c r="J689" s="2"/>
    </row>
    <row r="690" spans="1:10" ht="15.5">
      <c r="A690" s="181"/>
      <c r="B690" s="175"/>
      <c r="C690" s="146"/>
      <c r="D690" s="135"/>
      <c r="E690" s="8" t="s">
        <v>16</v>
      </c>
      <c r="F690" s="135"/>
      <c r="G690" s="135"/>
      <c r="H690" s="134"/>
      <c r="I690" s="135"/>
      <c r="J690" s="2"/>
    </row>
    <row r="691" spans="1:10" ht="15.5">
      <c r="A691" s="181"/>
      <c r="B691" s="176"/>
      <c r="C691" s="146"/>
      <c r="D691" s="135"/>
      <c r="E691" s="8" t="s">
        <v>16</v>
      </c>
      <c r="F691" s="135"/>
      <c r="G691" s="135"/>
      <c r="H691" s="134"/>
      <c r="I691" s="135"/>
      <c r="J691" s="2"/>
    </row>
    <row r="692" spans="1:10" ht="15.5">
      <c r="A692" s="181"/>
      <c r="B692" s="174" t="s">
        <v>1527</v>
      </c>
      <c r="C692" s="146"/>
      <c r="D692" s="135"/>
      <c r="E692" s="8" t="s">
        <v>16</v>
      </c>
      <c r="F692" s="135"/>
      <c r="G692" s="135"/>
      <c r="H692" s="134"/>
      <c r="I692" s="135"/>
      <c r="J692" s="2"/>
    </row>
    <row r="693" spans="1:10" ht="15.5">
      <c r="A693" s="181"/>
      <c r="B693" s="175"/>
      <c r="C693" s="146"/>
      <c r="D693" s="135"/>
      <c r="E693" s="8" t="s">
        <v>16</v>
      </c>
      <c r="F693" s="135"/>
      <c r="G693" s="135"/>
      <c r="H693" s="134"/>
      <c r="I693" s="135"/>
      <c r="J693" s="2"/>
    </row>
    <row r="694" spans="1:10" ht="15.5">
      <c r="A694" s="181"/>
      <c r="B694" s="175"/>
      <c r="C694" s="146"/>
      <c r="D694" s="135"/>
      <c r="E694" s="8" t="s">
        <v>16</v>
      </c>
      <c r="F694" s="135"/>
      <c r="G694" s="135"/>
      <c r="H694" s="134"/>
      <c r="I694" s="135"/>
      <c r="J694" s="2"/>
    </row>
    <row r="695" spans="1:10" ht="15.5">
      <c r="A695" s="181"/>
      <c r="B695" s="175"/>
      <c r="C695" s="146"/>
      <c r="D695" s="135"/>
      <c r="E695" s="8" t="s">
        <v>16</v>
      </c>
      <c r="F695" s="135"/>
      <c r="G695" s="135"/>
      <c r="H695" s="134"/>
      <c r="I695" s="135"/>
      <c r="J695" s="2"/>
    </row>
    <row r="696" spans="1:10" ht="15.5">
      <c r="A696" s="181"/>
      <c r="B696" s="176"/>
      <c r="C696" s="146"/>
      <c r="D696" s="135"/>
      <c r="E696" s="8" t="s">
        <v>16</v>
      </c>
      <c r="F696" s="135"/>
      <c r="G696" s="135"/>
      <c r="H696" s="134"/>
      <c r="I696" s="135"/>
      <c r="J696" s="2"/>
    </row>
    <row r="697" spans="1:10" ht="15.5">
      <c r="A697" s="181"/>
      <c r="B697" s="174" t="s">
        <v>1528</v>
      </c>
      <c r="C697" s="146"/>
      <c r="D697" s="135"/>
      <c r="E697" s="8" t="s">
        <v>16</v>
      </c>
      <c r="F697" s="135"/>
      <c r="G697" s="135"/>
      <c r="H697" s="134"/>
      <c r="I697" s="135"/>
      <c r="J697" s="2"/>
    </row>
    <row r="698" spans="1:10" ht="15.5">
      <c r="A698" s="181"/>
      <c r="B698" s="175"/>
      <c r="C698" s="146"/>
      <c r="D698" s="135"/>
      <c r="E698" s="8" t="s">
        <v>16</v>
      </c>
      <c r="F698" s="135"/>
      <c r="G698" s="135"/>
      <c r="H698" s="134"/>
      <c r="I698" s="135"/>
      <c r="J698" s="2"/>
    </row>
    <row r="699" spans="1:10" ht="15.5">
      <c r="A699" s="181"/>
      <c r="B699" s="175"/>
      <c r="C699" s="146"/>
      <c r="D699" s="135"/>
      <c r="E699" s="8" t="s">
        <v>16</v>
      </c>
      <c r="F699" s="135"/>
      <c r="G699" s="135"/>
      <c r="H699" s="134"/>
      <c r="I699" s="135"/>
      <c r="J699" s="2"/>
    </row>
    <row r="700" spans="1:10" ht="15.5">
      <c r="A700" s="181"/>
      <c r="B700" s="175"/>
      <c r="C700" s="146"/>
      <c r="D700" s="135"/>
      <c r="E700" s="8" t="s">
        <v>16</v>
      </c>
      <c r="F700" s="135"/>
      <c r="G700" s="135"/>
      <c r="H700" s="134"/>
      <c r="I700" s="135"/>
      <c r="J700" s="2"/>
    </row>
    <row r="701" spans="1:10" ht="15.5">
      <c r="A701" s="181"/>
      <c r="B701" s="176"/>
      <c r="C701" s="146"/>
      <c r="D701" s="135"/>
      <c r="E701" s="8" t="s">
        <v>16</v>
      </c>
      <c r="F701" s="135"/>
      <c r="G701" s="135"/>
      <c r="H701" s="134"/>
      <c r="I701" s="135"/>
      <c r="J701" s="2"/>
    </row>
    <row r="702" spans="1:10" ht="15.5">
      <c r="A702" s="181"/>
      <c r="B702" s="174" t="s">
        <v>1529</v>
      </c>
      <c r="C702" s="146"/>
      <c r="D702" s="135"/>
      <c r="E702" s="8" t="s">
        <v>16</v>
      </c>
      <c r="F702" s="135"/>
      <c r="G702" s="135"/>
      <c r="H702" s="134"/>
      <c r="I702" s="135"/>
      <c r="J702" s="2"/>
    </row>
    <row r="703" spans="1:10" ht="15.5">
      <c r="A703" s="181"/>
      <c r="B703" s="175"/>
      <c r="C703" s="146"/>
      <c r="D703" s="135"/>
      <c r="E703" s="8" t="s">
        <v>16</v>
      </c>
      <c r="F703" s="135"/>
      <c r="G703" s="135"/>
      <c r="H703" s="134"/>
      <c r="I703" s="135"/>
      <c r="J703" s="2"/>
    </row>
    <row r="704" spans="1:10" ht="15.5">
      <c r="A704" s="181"/>
      <c r="B704" s="175"/>
      <c r="C704" s="146"/>
      <c r="D704" s="135"/>
      <c r="E704" s="8" t="s">
        <v>16</v>
      </c>
      <c r="F704" s="135"/>
      <c r="G704" s="135"/>
      <c r="H704" s="134"/>
      <c r="I704" s="135"/>
      <c r="J704" s="2"/>
    </row>
    <row r="705" spans="1:10" ht="15.5">
      <c r="A705" s="181"/>
      <c r="B705" s="175"/>
      <c r="C705" s="146"/>
      <c r="D705" s="135"/>
      <c r="E705" s="8" t="s">
        <v>16</v>
      </c>
      <c r="F705" s="135"/>
      <c r="G705" s="135"/>
      <c r="H705" s="134"/>
      <c r="I705" s="135"/>
      <c r="J705" s="2"/>
    </row>
    <row r="706" spans="1:10" ht="16" thickBot="1">
      <c r="A706" s="181"/>
      <c r="B706" s="176"/>
      <c r="C706" s="146" t="s">
        <v>1530</v>
      </c>
      <c r="D706" s="135"/>
      <c r="E706" s="8" t="s">
        <v>16</v>
      </c>
      <c r="F706" s="135"/>
      <c r="G706" s="135"/>
      <c r="H706" s="134"/>
      <c r="I706" s="135"/>
      <c r="J706" s="2"/>
    </row>
    <row r="707" spans="1:10" ht="15.5">
      <c r="A707" s="183" t="s">
        <v>1531</v>
      </c>
      <c r="B707" s="174" t="s">
        <v>1532</v>
      </c>
      <c r="C707" s="146"/>
      <c r="D707" s="135" t="s">
        <v>1533</v>
      </c>
      <c r="E707" s="8" t="s">
        <v>16</v>
      </c>
      <c r="F707" s="135"/>
      <c r="G707" s="135"/>
      <c r="H707" s="134"/>
      <c r="I707" s="135"/>
      <c r="J707" s="2"/>
    </row>
    <row r="708" spans="1:10" ht="15.5">
      <c r="A708" s="181"/>
      <c r="B708" s="175"/>
      <c r="C708" s="146"/>
      <c r="D708" s="135"/>
      <c r="E708" s="8" t="s">
        <v>16</v>
      </c>
      <c r="F708" s="135" t="s">
        <v>1534</v>
      </c>
      <c r="G708" s="135" t="s">
        <v>1535</v>
      </c>
      <c r="H708" s="134" t="s">
        <v>26</v>
      </c>
      <c r="I708" s="135" t="s">
        <v>1536</v>
      </c>
      <c r="J708" s="2"/>
    </row>
    <row r="709" spans="1:10" ht="15.5">
      <c r="A709" s="181"/>
      <c r="B709" s="175"/>
      <c r="C709" s="146"/>
      <c r="D709" s="135"/>
      <c r="E709" s="8" t="s">
        <v>16</v>
      </c>
      <c r="F709" s="135"/>
      <c r="G709" s="135"/>
      <c r="H709" s="134"/>
      <c r="I709" s="135"/>
      <c r="J709" s="2"/>
    </row>
    <row r="710" spans="1:10" ht="15.5">
      <c r="A710" s="181"/>
      <c r="B710" s="175"/>
      <c r="C710" s="146"/>
      <c r="D710" s="135"/>
      <c r="E710" s="8" t="s">
        <v>16</v>
      </c>
      <c r="F710" s="135"/>
      <c r="G710" s="135"/>
      <c r="H710" s="134"/>
      <c r="I710" s="135"/>
      <c r="J710" s="2"/>
    </row>
    <row r="711" spans="1:10" ht="15.5">
      <c r="A711" s="181"/>
      <c r="B711" s="176"/>
      <c r="C711" s="146"/>
      <c r="D711" s="135"/>
      <c r="E711" s="8" t="s">
        <v>16</v>
      </c>
      <c r="F711" s="135"/>
      <c r="G711" s="135"/>
      <c r="H711" s="134"/>
      <c r="I711" s="135"/>
      <c r="J711" s="2"/>
    </row>
    <row r="712" spans="1:10" ht="15.5">
      <c r="A712" s="181"/>
      <c r="B712" s="174" t="s">
        <v>1537</v>
      </c>
      <c r="C712" s="146"/>
      <c r="D712" s="135"/>
      <c r="E712" s="8" t="s">
        <v>16</v>
      </c>
      <c r="F712" s="135"/>
      <c r="G712" s="135"/>
      <c r="H712" s="134"/>
      <c r="I712" s="135"/>
      <c r="J712" s="2"/>
    </row>
    <row r="713" spans="1:10" ht="15.5">
      <c r="A713" s="181"/>
      <c r="B713" s="175"/>
      <c r="C713" s="146"/>
      <c r="D713" s="135"/>
      <c r="E713" s="8" t="s">
        <v>16</v>
      </c>
      <c r="F713" s="135"/>
      <c r="G713" s="135"/>
      <c r="H713" s="134"/>
      <c r="I713" s="135"/>
      <c r="J713" s="2"/>
    </row>
    <row r="714" spans="1:10" ht="15.5">
      <c r="A714" s="181"/>
      <c r="B714" s="175"/>
      <c r="C714" s="146"/>
      <c r="D714" s="135"/>
      <c r="E714" s="8" t="s">
        <v>16</v>
      </c>
      <c r="F714" s="135"/>
      <c r="G714" s="135"/>
      <c r="H714" s="134"/>
      <c r="I714" s="135"/>
      <c r="J714" s="2"/>
    </row>
    <row r="715" spans="1:10" ht="15.5">
      <c r="A715" s="181"/>
      <c r="B715" s="175"/>
      <c r="C715" s="146"/>
      <c r="D715" s="135"/>
      <c r="E715" s="8" t="s">
        <v>16</v>
      </c>
      <c r="F715" s="135"/>
      <c r="G715" s="135"/>
      <c r="H715" s="134"/>
      <c r="I715" s="135"/>
      <c r="J715" s="2"/>
    </row>
    <row r="716" spans="1:10" ht="15.5">
      <c r="A716" s="181"/>
      <c r="B716" s="176"/>
      <c r="C716" s="146"/>
      <c r="D716" s="135"/>
      <c r="E716" s="8" t="s">
        <v>16</v>
      </c>
      <c r="F716" s="135"/>
      <c r="G716" s="135"/>
      <c r="H716" s="134"/>
      <c r="I716" s="135"/>
      <c r="J716" s="2"/>
    </row>
    <row r="717" spans="1:10" ht="15.5">
      <c r="A717" s="181"/>
      <c r="B717" s="174" t="s">
        <v>1538</v>
      </c>
      <c r="C717" s="146"/>
      <c r="D717" s="135"/>
      <c r="E717" s="8" t="s">
        <v>16</v>
      </c>
      <c r="F717" s="135"/>
      <c r="G717" s="135"/>
      <c r="H717" s="134"/>
      <c r="I717" s="135"/>
      <c r="J717" s="2"/>
    </row>
    <row r="718" spans="1:10" ht="15.5">
      <c r="A718" s="181"/>
      <c r="B718" s="175"/>
      <c r="C718" s="146"/>
      <c r="D718" s="135"/>
      <c r="E718" s="8" t="s">
        <v>16</v>
      </c>
      <c r="F718" s="135"/>
      <c r="G718" s="135"/>
      <c r="H718" s="134"/>
      <c r="I718" s="135"/>
      <c r="J718" s="2"/>
    </row>
    <row r="719" spans="1:10" ht="15.5">
      <c r="A719" s="181"/>
      <c r="B719" s="175"/>
      <c r="C719" s="146"/>
      <c r="D719" s="135"/>
      <c r="E719" s="8" t="s">
        <v>16</v>
      </c>
      <c r="F719" s="135"/>
      <c r="G719" s="135"/>
      <c r="H719" s="134"/>
      <c r="I719" s="135"/>
      <c r="J719" s="2"/>
    </row>
    <row r="720" spans="1:10" ht="15.5">
      <c r="A720" s="181"/>
      <c r="B720" s="175"/>
      <c r="C720" s="146"/>
      <c r="D720" s="135"/>
      <c r="E720" s="8" t="s">
        <v>16</v>
      </c>
      <c r="F720" s="135"/>
      <c r="G720" s="135"/>
      <c r="H720" s="134"/>
      <c r="I720" s="135"/>
      <c r="J720" s="2"/>
    </row>
    <row r="721" spans="1:10" ht="15.5">
      <c r="A721" s="181"/>
      <c r="B721" s="176"/>
      <c r="C721" s="146"/>
      <c r="D721" s="135"/>
      <c r="E721" s="8" t="s">
        <v>16</v>
      </c>
      <c r="F721" s="135"/>
      <c r="G721" s="135"/>
      <c r="H721" s="134"/>
      <c r="I721" s="135"/>
      <c r="J721" s="2"/>
    </row>
    <row r="722" spans="1:10" ht="15.5">
      <c r="A722" s="181"/>
      <c r="B722" s="174" t="s">
        <v>1539</v>
      </c>
      <c r="C722" s="146"/>
      <c r="D722" s="135"/>
      <c r="E722" s="8" t="s">
        <v>16</v>
      </c>
      <c r="F722" s="135"/>
      <c r="G722" s="135"/>
      <c r="H722" s="134"/>
      <c r="I722" s="135"/>
      <c r="J722" s="2"/>
    </row>
    <row r="723" spans="1:10" ht="15.5">
      <c r="A723" s="181"/>
      <c r="B723" s="175"/>
      <c r="C723" s="146"/>
      <c r="D723" s="135"/>
      <c r="E723" s="8" t="s">
        <v>16</v>
      </c>
      <c r="F723" s="135"/>
      <c r="G723" s="135"/>
      <c r="H723" s="134"/>
      <c r="I723" s="135"/>
      <c r="J723" s="2"/>
    </row>
    <row r="724" spans="1:10" ht="15.5">
      <c r="A724" s="181"/>
      <c r="B724" s="175"/>
      <c r="C724" s="146"/>
      <c r="D724" s="135"/>
      <c r="E724" s="8" t="s">
        <v>16</v>
      </c>
      <c r="F724" s="135"/>
      <c r="G724" s="135"/>
      <c r="H724" s="134"/>
      <c r="I724" s="135"/>
      <c r="J724" s="2"/>
    </row>
    <row r="725" spans="1:10" ht="15.5">
      <c r="A725" s="181"/>
      <c r="B725" s="175"/>
      <c r="C725" s="146"/>
      <c r="D725" s="135"/>
      <c r="E725" s="8" t="s">
        <v>16</v>
      </c>
      <c r="F725" s="135"/>
      <c r="G725" s="135"/>
      <c r="H725" s="134"/>
      <c r="I725" s="135"/>
      <c r="J725" s="2"/>
    </row>
    <row r="726" spans="1:10" ht="15.5">
      <c r="A726" s="181"/>
      <c r="B726" s="176"/>
      <c r="C726" s="146"/>
      <c r="D726" s="135"/>
      <c r="E726" s="8" t="s">
        <v>16</v>
      </c>
      <c r="F726" s="135"/>
      <c r="G726" s="135"/>
      <c r="H726" s="134"/>
      <c r="I726" s="135"/>
      <c r="J726" s="2"/>
    </row>
    <row r="727" spans="1:10" ht="15.5">
      <c r="A727" s="181"/>
      <c r="B727" s="174" t="s">
        <v>1540</v>
      </c>
      <c r="C727" s="146"/>
      <c r="D727" s="135"/>
      <c r="E727" s="8" t="s">
        <v>16</v>
      </c>
      <c r="F727" s="135"/>
      <c r="G727" s="135"/>
      <c r="H727" s="134"/>
      <c r="I727" s="135"/>
      <c r="J727" s="2"/>
    </row>
    <row r="728" spans="1:10" ht="15.5">
      <c r="A728" s="181"/>
      <c r="B728" s="175"/>
      <c r="C728" s="146"/>
      <c r="D728" s="135"/>
      <c r="E728" s="8" t="s">
        <v>16</v>
      </c>
      <c r="F728" s="135"/>
      <c r="G728" s="135"/>
      <c r="H728" s="134"/>
      <c r="I728" s="135"/>
      <c r="J728" s="2"/>
    </row>
    <row r="729" spans="1:10" ht="15.5">
      <c r="A729" s="181"/>
      <c r="B729" s="175"/>
      <c r="C729" s="146"/>
      <c r="D729" s="135"/>
      <c r="E729" s="8" t="s">
        <v>16</v>
      </c>
      <c r="F729" s="135"/>
      <c r="G729" s="135"/>
      <c r="H729" s="134"/>
      <c r="I729" s="135"/>
      <c r="J729" s="2"/>
    </row>
    <row r="730" spans="1:10" ht="15.5">
      <c r="A730" s="181"/>
      <c r="B730" s="175"/>
      <c r="C730" s="146"/>
      <c r="D730" s="135"/>
      <c r="E730" s="8" t="s">
        <v>16</v>
      </c>
      <c r="F730" s="135"/>
      <c r="G730" s="135"/>
      <c r="H730" s="134"/>
      <c r="I730" s="135"/>
      <c r="J730" s="2"/>
    </row>
    <row r="731" spans="1:10" ht="15.5">
      <c r="A731" s="181"/>
      <c r="B731" s="176"/>
      <c r="C731" s="146"/>
      <c r="D731" s="135"/>
      <c r="E731" s="8" t="s">
        <v>16</v>
      </c>
      <c r="F731" s="135"/>
      <c r="G731" s="135"/>
      <c r="H731" s="134"/>
      <c r="I731" s="135"/>
      <c r="J731" s="2"/>
    </row>
    <row r="732" spans="1:10" ht="15.5">
      <c r="A732" s="181"/>
      <c r="B732" s="174" t="s">
        <v>1541</v>
      </c>
      <c r="C732" s="146"/>
      <c r="D732" s="135"/>
      <c r="E732" s="8" t="s">
        <v>16</v>
      </c>
      <c r="F732" s="135"/>
      <c r="G732" s="135"/>
      <c r="H732" s="134"/>
      <c r="I732" s="135"/>
      <c r="J732" s="2"/>
    </row>
    <row r="733" spans="1:10" ht="15.5">
      <c r="A733" s="181"/>
      <c r="B733" s="175"/>
      <c r="C733" s="146"/>
      <c r="D733" s="135"/>
      <c r="E733" s="8" t="s">
        <v>16</v>
      </c>
      <c r="F733" s="135"/>
      <c r="G733" s="135"/>
      <c r="H733" s="134"/>
      <c r="I733" s="135"/>
      <c r="J733" s="2"/>
    </row>
    <row r="734" spans="1:10" ht="15.5">
      <c r="A734" s="181"/>
      <c r="B734" s="175"/>
      <c r="C734" s="146"/>
      <c r="D734" s="135"/>
      <c r="E734" s="8" t="s">
        <v>16</v>
      </c>
      <c r="F734" s="135"/>
      <c r="G734" s="135"/>
      <c r="H734" s="134"/>
      <c r="I734" s="135"/>
      <c r="J734" s="2"/>
    </row>
    <row r="735" spans="1:10" ht="15.5">
      <c r="A735" s="181"/>
      <c r="B735" s="175"/>
      <c r="C735" s="146" t="s">
        <v>1542</v>
      </c>
      <c r="D735" s="135"/>
      <c r="E735" s="8" t="s">
        <v>16</v>
      </c>
      <c r="F735" s="135"/>
      <c r="G735" s="135"/>
      <c r="H735" s="134"/>
      <c r="I735" s="135"/>
      <c r="J735" s="2"/>
    </row>
    <row r="736" spans="1:10" ht="16" thickBot="1">
      <c r="A736" s="182"/>
      <c r="B736" s="176"/>
      <c r="C736" s="146"/>
      <c r="D736" s="135" t="s">
        <v>1543</v>
      </c>
      <c r="E736" s="8" t="s">
        <v>16</v>
      </c>
      <c r="F736" s="135"/>
      <c r="G736" s="135"/>
      <c r="H736" s="134"/>
      <c r="I736" s="135"/>
      <c r="J736" s="2"/>
    </row>
    <row r="737" spans="1:10" ht="15.5">
      <c r="A737" s="181" t="s">
        <v>1545</v>
      </c>
      <c r="B737" s="174" t="s">
        <v>1546</v>
      </c>
      <c r="C737" s="146"/>
      <c r="D737" s="135"/>
      <c r="E737" s="8" t="s">
        <v>16</v>
      </c>
      <c r="F737" s="135" t="s">
        <v>1547</v>
      </c>
      <c r="G737" s="135" t="s">
        <v>1548</v>
      </c>
      <c r="H737" s="134" t="s">
        <v>26</v>
      </c>
      <c r="I737" s="135" t="s">
        <v>1549</v>
      </c>
      <c r="J737" s="2"/>
    </row>
    <row r="738" spans="1:10" ht="15.5">
      <c r="A738" s="181"/>
      <c r="B738" s="175"/>
      <c r="C738" s="146"/>
      <c r="D738" s="135"/>
      <c r="E738" s="8" t="s">
        <v>16</v>
      </c>
      <c r="F738" s="135"/>
      <c r="G738" s="135"/>
      <c r="H738" s="134"/>
      <c r="I738" s="135"/>
      <c r="J738" s="2"/>
    </row>
    <row r="739" spans="1:10" ht="15.5">
      <c r="A739" s="181"/>
      <c r="B739" s="175"/>
      <c r="C739" s="146"/>
      <c r="D739" s="135"/>
      <c r="E739" s="8" t="s">
        <v>16</v>
      </c>
      <c r="F739" s="135"/>
      <c r="G739" s="135"/>
      <c r="H739" s="134"/>
      <c r="I739" s="135"/>
      <c r="J739" s="2"/>
    </row>
    <row r="740" spans="1:10" ht="15.5">
      <c r="A740" s="181"/>
      <c r="B740" s="175"/>
      <c r="C740" s="146"/>
      <c r="D740" s="135"/>
      <c r="E740" s="8" t="s">
        <v>16</v>
      </c>
      <c r="F740" s="135"/>
      <c r="G740" s="135"/>
      <c r="H740" s="134"/>
      <c r="I740" s="135"/>
      <c r="J740" s="2"/>
    </row>
    <row r="741" spans="1:10" ht="15.5">
      <c r="A741" s="181"/>
      <c r="B741" s="176"/>
      <c r="C741" s="146"/>
      <c r="D741" s="135"/>
      <c r="E741" s="8" t="s">
        <v>16</v>
      </c>
      <c r="F741" s="135"/>
      <c r="G741" s="135"/>
      <c r="H741" s="134"/>
      <c r="I741" s="135"/>
      <c r="J741" s="2"/>
    </row>
    <row r="742" spans="1:10" ht="15.5">
      <c r="A742" s="181"/>
      <c r="B742" s="174" t="s">
        <v>1550</v>
      </c>
      <c r="C742" s="146"/>
      <c r="D742" s="135"/>
      <c r="E742" s="8" t="s">
        <v>16</v>
      </c>
      <c r="F742" s="135"/>
      <c r="G742" s="135"/>
      <c r="H742" s="134"/>
      <c r="I742" s="135"/>
      <c r="J742" s="2"/>
    </row>
    <row r="743" spans="1:10" ht="15.5">
      <c r="A743" s="181"/>
      <c r="B743" s="175"/>
      <c r="C743" s="146"/>
      <c r="D743" s="135"/>
      <c r="E743" s="8" t="s">
        <v>16</v>
      </c>
      <c r="F743" s="135"/>
      <c r="G743" s="135"/>
      <c r="H743" s="134"/>
      <c r="I743" s="135"/>
      <c r="J743" s="2"/>
    </row>
    <row r="744" spans="1:10" ht="15.5">
      <c r="A744" s="181"/>
      <c r="B744" s="175"/>
      <c r="C744" s="146"/>
      <c r="D744" s="135"/>
      <c r="E744" s="8" t="s">
        <v>16</v>
      </c>
      <c r="F744" s="135"/>
      <c r="G744" s="135"/>
      <c r="H744" s="134"/>
      <c r="I744" s="135"/>
      <c r="J744" s="2"/>
    </row>
    <row r="745" spans="1:10" ht="15.5">
      <c r="A745" s="181"/>
      <c r="B745" s="175"/>
      <c r="C745" s="146"/>
      <c r="D745" s="135"/>
      <c r="E745" s="8" t="s">
        <v>16</v>
      </c>
      <c r="F745" s="135"/>
      <c r="G745" s="135"/>
      <c r="H745" s="134"/>
      <c r="I745" s="135"/>
      <c r="J745" s="2"/>
    </row>
    <row r="746" spans="1:10" ht="15.5">
      <c r="A746" s="181"/>
      <c r="B746" s="176"/>
      <c r="C746" s="146"/>
      <c r="D746" s="135"/>
      <c r="E746" s="8" t="s">
        <v>16</v>
      </c>
      <c r="F746" s="135"/>
      <c r="G746" s="135"/>
      <c r="H746" s="134"/>
      <c r="I746" s="135"/>
      <c r="J746" s="2"/>
    </row>
    <row r="747" spans="1:10" ht="15.5">
      <c r="A747" s="181"/>
      <c r="B747" s="174" t="s">
        <v>1551</v>
      </c>
      <c r="C747" s="146"/>
      <c r="D747" s="135"/>
      <c r="E747" s="8" t="s">
        <v>16</v>
      </c>
      <c r="F747" s="135"/>
      <c r="G747" s="135"/>
      <c r="H747" s="134"/>
      <c r="I747" s="135"/>
      <c r="J747" s="2"/>
    </row>
    <row r="748" spans="1:10" ht="15.5">
      <c r="A748" s="181"/>
      <c r="B748" s="175"/>
      <c r="C748" s="146"/>
      <c r="D748" s="135"/>
      <c r="E748" s="8" t="s">
        <v>16</v>
      </c>
      <c r="F748" s="135"/>
      <c r="G748" s="135"/>
      <c r="H748" s="134"/>
      <c r="I748" s="135"/>
      <c r="J748" s="2"/>
    </row>
    <row r="749" spans="1:10" ht="15.5">
      <c r="A749" s="181"/>
      <c r="B749" s="175"/>
      <c r="C749" s="146"/>
      <c r="D749" s="135"/>
      <c r="E749" s="8" t="s">
        <v>16</v>
      </c>
      <c r="F749" s="135"/>
      <c r="G749" s="135"/>
      <c r="H749" s="134"/>
      <c r="I749" s="135"/>
      <c r="J749" s="2"/>
    </row>
    <row r="750" spans="1:10" ht="15.5">
      <c r="A750" s="181"/>
      <c r="B750" s="175"/>
      <c r="C750" s="146"/>
      <c r="D750" s="135"/>
      <c r="E750" s="8" t="s">
        <v>16</v>
      </c>
      <c r="F750" s="135"/>
      <c r="G750" s="135"/>
      <c r="H750" s="134"/>
      <c r="I750" s="135"/>
      <c r="J750" s="2"/>
    </row>
    <row r="751" spans="1:10" ht="15.5">
      <c r="A751" s="181"/>
      <c r="B751" s="176"/>
      <c r="C751" s="146"/>
      <c r="D751" s="135"/>
      <c r="E751" s="8" t="s">
        <v>16</v>
      </c>
      <c r="F751" s="135"/>
      <c r="G751" s="135"/>
      <c r="H751" s="134"/>
      <c r="I751" s="135"/>
      <c r="J751" s="2"/>
    </row>
    <row r="752" spans="1:10" ht="15.5">
      <c r="A752" s="181"/>
      <c r="B752" s="174" t="s">
        <v>1552</v>
      </c>
      <c r="C752" s="146"/>
      <c r="D752" s="135"/>
      <c r="E752" s="8" t="s">
        <v>16</v>
      </c>
      <c r="F752" s="135"/>
      <c r="G752" s="135"/>
      <c r="H752" s="134"/>
      <c r="I752" s="135"/>
      <c r="J752" s="2"/>
    </row>
    <row r="753" spans="1:10" ht="15.5">
      <c r="A753" s="181"/>
      <c r="B753" s="175"/>
      <c r="C753" s="146"/>
      <c r="D753" s="135"/>
      <c r="E753" s="8" t="s">
        <v>16</v>
      </c>
      <c r="F753" s="135"/>
      <c r="G753" s="135"/>
      <c r="H753" s="134"/>
      <c r="I753" s="135"/>
      <c r="J753" s="2"/>
    </row>
    <row r="754" spans="1:10" ht="15.5">
      <c r="A754" s="181"/>
      <c r="B754" s="175"/>
      <c r="C754" s="146"/>
      <c r="D754" s="135"/>
      <c r="E754" s="8" t="s">
        <v>16</v>
      </c>
      <c r="F754" s="135"/>
      <c r="G754" s="135"/>
      <c r="H754" s="134"/>
      <c r="I754" s="135"/>
      <c r="J754" s="2"/>
    </row>
    <row r="755" spans="1:10" ht="15.5">
      <c r="A755" s="181"/>
      <c r="B755" s="175"/>
      <c r="C755" s="146"/>
      <c r="D755" s="135"/>
      <c r="E755" s="8" t="s">
        <v>16</v>
      </c>
      <c r="F755" s="135"/>
      <c r="G755" s="135"/>
      <c r="H755" s="134"/>
      <c r="I755" s="135"/>
      <c r="J755" s="2"/>
    </row>
    <row r="756" spans="1:10" ht="15.5">
      <c r="A756" s="181"/>
      <c r="B756" s="176"/>
      <c r="C756" s="146"/>
      <c r="D756" s="135"/>
      <c r="E756" s="8" t="s">
        <v>16</v>
      </c>
      <c r="F756" s="135"/>
      <c r="G756" s="135"/>
      <c r="H756" s="134"/>
      <c r="I756" s="135"/>
      <c r="J756" s="2"/>
    </row>
    <row r="757" spans="1:10" ht="15.5">
      <c r="A757" s="181"/>
      <c r="B757" s="174" t="s">
        <v>1553</v>
      </c>
      <c r="C757" s="146"/>
      <c r="D757" s="135"/>
      <c r="E757" s="8" t="s">
        <v>16</v>
      </c>
      <c r="F757" s="135"/>
      <c r="G757" s="135"/>
      <c r="H757" s="134"/>
      <c r="I757" s="135"/>
      <c r="J757" s="2"/>
    </row>
    <row r="758" spans="1:10" ht="15.5">
      <c r="A758" s="181"/>
      <c r="B758" s="175"/>
      <c r="C758" s="146"/>
      <c r="D758" s="135"/>
      <c r="E758" s="8" t="s">
        <v>16</v>
      </c>
      <c r="F758" s="135"/>
      <c r="G758" s="135"/>
      <c r="H758" s="134"/>
      <c r="I758" s="135"/>
      <c r="J758" s="2"/>
    </row>
    <row r="759" spans="1:10" ht="15.5">
      <c r="A759" s="181"/>
      <c r="B759" s="175"/>
      <c r="C759" s="146"/>
      <c r="D759" s="135"/>
      <c r="E759" s="8" t="s">
        <v>16</v>
      </c>
      <c r="F759" s="135"/>
      <c r="G759" s="135"/>
      <c r="H759" s="134"/>
      <c r="I759" s="135"/>
      <c r="J759" s="2"/>
    </row>
    <row r="760" spans="1:10" ht="15.5">
      <c r="A760" s="181"/>
      <c r="B760" s="175"/>
      <c r="C760" s="146"/>
      <c r="D760" s="135"/>
      <c r="E760" s="8" t="s">
        <v>16</v>
      </c>
      <c r="F760" s="135"/>
      <c r="G760" s="135"/>
      <c r="H760" s="134"/>
      <c r="I760" s="135"/>
      <c r="J760" s="2"/>
    </row>
    <row r="761" spans="1:10" ht="15.5">
      <c r="A761" s="181"/>
      <c r="B761" s="176"/>
      <c r="C761" s="146"/>
      <c r="D761" s="135"/>
      <c r="E761" s="8" t="s">
        <v>16</v>
      </c>
      <c r="F761" s="135"/>
      <c r="G761" s="135"/>
      <c r="H761" s="134"/>
      <c r="I761" s="135"/>
      <c r="J761" s="2"/>
    </row>
    <row r="762" spans="1:10" ht="15.5">
      <c r="A762" s="181"/>
      <c r="B762" s="174" t="s">
        <v>1554</v>
      </c>
      <c r="C762" s="146"/>
      <c r="D762" s="135"/>
      <c r="E762" s="8" t="s">
        <v>16</v>
      </c>
      <c r="F762" s="135"/>
      <c r="G762" s="135"/>
      <c r="H762" s="134"/>
      <c r="I762" s="135"/>
      <c r="J762" s="2"/>
    </row>
    <row r="763" spans="1:10" ht="15.5">
      <c r="A763" s="181"/>
      <c r="B763" s="175"/>
      <c r="C763" s="146"/>
      <c r="D763" s="135"/>
      <c r="E763" s="8" t="s">
        <v>16</v>
      </c>
      <c r="F763" s="135"/>
      <c r="G763" s="135"/>
      <c r="H763" s="134"/>
      <c r="I763" s="135"/>
      <c r="J763" s="2"/>
    </row>
    <row r="764" spans="1:10" ht="15.5">
      <c r="A764" s="181"/>
      <c r="B764" s="175"/>
      <c r="C764" s="146"/>
      <c r="D764" s="135"/>
      <c r="E764" s="8" t="s">
        <v>16</v>
      </c>
      <c r="F764" s="135"/>
      <c r="G764" s="135"/>
      <c r="H764" s="134"/>
      <c r="I764" s="135"/>
      <c r="J764" s="2"/>
    </row>
    <row r="765" spans="1:10" ht="15.5">
      <c r="A765" s="181"/>
      <c r="B765" s="175"/>
      <c r="C765" s="146" t="s">
        <v>1555</v>
      </c>
      <c r="D765" s="135"/>
      <c r="E765" s="8" t="s">
        <v>16</v>
      </c>
      <c r="F765" s="135"/>
      <c r="G765" s="135"/>
      <c r="H765" s="134"/>
      <c r="I765" s="135"/>
      <c r="J765" s="2"/>
    </row>
    <row r="766" spans="1:10" ht="16" thickBot="1">
      <c r="A766" s="182"/>
      <c r="B766" s="176"/>
      <c r="C766" s="146"/>
      <c r="D766" s="135" t="s">
        <v>1556</v>
      </c>
      <c r="E766" s="8" t="s">
        <v>16</v>
      </c>
      <c r="F766" s="135"/>
      <c r="G766" s="135"/>
      <c r="H766" s="134"/>
      <c r="I766" s="135"/>
      <c r="J766" s="2"/>
    </row>
    <row r="767" spans="1:10" ht="15.5">
      <c r="A767" s="181" t="s">
        <v>1557</v>
      </c>
      <c r="B767" s="174" t="s">
        <v>1558</v>
      </c>
      <c r="C767" s="146"/>
      <c r="D767" s="135"/>
      <c r="E767" s="8" t="s">
        <v>23</v>
      </c>
      <c r="F767" s="135" t="s">
        <v>1559</v>
      </c>
      <c r="G767" s="135" t="s">
        <v>1560</v>
      </c>
      <c r="H767" s="134" t="s">
        <v>213</v>
      </c>
      <c r="I767" s="135" t="s">
        <v>1561</v>
      </c>
      <c r="J767" s="2"/>
    </row>
    <row r="768" spans="1:10" ht="15.5">
      <c r="A768" s="181"/>
      <c r="B768" s="175"/>
      <c r="C768" s="146"/>
      <c r="D768" s="135"/>
      <c r="E768" s="8" t="s">
        <v>23</v>
      </c>
      <c r="F768" s="135"/>
      <c r="G768" s="135"/>
      <c r="H768" s="134"/>
      <c r="I768" s="135"/>
      <c r="J768" s="2"/>
    </row>
    <row r="769" spans="1:10" ht="15.5">
      <c r="A769" s="181"/>
      <c r="B769" s="175"/>
      <c r="C769" s="146"/>
      <c r="D769" s="135"/>
      <c r="E769" s="8" t="s">
        <v>16</v>
      </c>
      <c r="F769" s="135"/>
      <c r="G769" s="135"/>
      <c r="H769" s="134"/>
      <c r="I769" s="135"/>
      <c r="J769" s="2"/>
    </row>
    <row r="770" spans="1:10" ht="15.5">
      <c r="A770" s="181"/>
      <c r="B770" s="175"/>
      <c r="C770" s="146"/>
      <c r="D770" s="135"/>
      <c r="E770" s="8" t="s">
        <v>16</v>
      </c>
      <c r="F770" s="135"/>
      <c r="G770" s="135"/>
      <c r="H770" s="134"/>
      <c r="I770" s="135"/>
      <c r="J770" s="2"/>
    </row>
    <row r="771" spans="1:10" ht="15.5">
      <c r="A771" s="181"/>
      <c r="B771" s="176"/>
      <c r="C771" s="146"/>
      <c r="D771" s="135"/>
      <c r="E771" s="8" t="s">
        <v>16</v>
      </c>
      <c r="F771" s="135"/>
      <c r="G771" s="135"/>
      <c r="H771" s="134"/>
      <c r="I771" s="135"/>
      <c r="J771" s="2"/>
    </row>
    <row r="772" spans="1:10" ht="15.5">
      <c r="A772" s="181"/>
      <c r="B772" s="174" t="s">
        <v>1562</v>
      </c>
      <c r="C772" s="146"/>
      <c r="D772" s="135"/>
      <c r="E772" s="8" t="s">
        <v>16</v>
      </c>
      <c r="F772" s="135"/>
      <c r="G772" s="135"/>
      <c r="H772" s="134"/>
      <c r="I772" s="135"/>
      <c r="J772" s="2"/>
    </row>
    <row r="773" spans="1:10" ht="15.5">
      <c r="A773" s="181"/>
      <c r="B773" s="175"/>
      <c r="C773" s="146"/>
      <c r="D773" s="135"/>
      <c r="E773" s="8" t="s">
        <v>16</v>
      </c>
      <c r="F773" s="135"/>
      <c r="G773" s="135"/>
      <c r="H773" s="134"/>
      <c r="I773" s="135"/>
      <c r="J773" s="2"/>
    </row>
    <row r="774" spans="1:10" ht="15.5">
      <c r="A774" s="181"/>
      <c r="B774" s="175"/>
      <c r="C774" s="146"/>
      <c r="D774" s="135"/>
      <c r="E774" s="8" t="s">
        <v>16</v>
      </c>
      <c r="F774" s="135"/>
      <c r="G774" s="135"/>
      <c r="H774" s="134"/>
      <c r="I774" s="135"/>
      <c r="J774" s="2"/>
    </row>
    <row r="775" spans="1:10" ht="15.5">
      <c r="A775" s="181"/>
      <c r="B775" s="175"/>
      <c r="C775" s="146"/>
      <c r="D775" s="135"/>
      <c r="E775" s="8" t="s">
        <v>16</v>
      </c>
      <c r="F775" s="135"/>
      <c r="G775" s="135"/>
      <c r="H775" s="134"/>
      <c r="I775" s="135"/>
      <c r="J775" s="2"/>
    </row>
    <row r="776" spans="1:10" ht="15.5">
      <c r="A776" s="181"/>
      <c r="B776" s="176"/>
      <c r="C776" s="146"/>
      <c r="D776" s="135"/>
      <c r="E776" s="8" t="s">
        <v>16</v>
      </c>
      <c r="F776" s="135"/>
      <c r="G776" s="135"/>
      <c r="H776" s="134"/>
      <c r="I776" s="135"/>
      <c r="J776" s="2"/>
    </row>
    <row r="777" spans="1:10" ht="15.5">
      <c r="A777" s="181"/>
      <c r="B777" s="174" t="s">
        <v>1563</v>
      </c>
      <c r="C777" s="146"/>
      <c r="D777" s="135"/>
      <c r="E777" s="8" t="s">
        <v>16</v>
      </c>
      <c r="F777" s="135"/>
      <c r="G777" s="135"/>
      <c r="H777" s="134"/>
      <c r="I777" s="135"/>
      <c r="J777" s="2"/>
    </row>
    <row r="778" spans="1:10" ht="15.5">
      <c r="A778" s="181"/>
      <c r="B778" s="175"/>
      <c r="C778" s="146"/>
      <c r="D778" s="135"/>
      <c r="E778" s="8" t="s">
        <v>16</v>
      </c>
      <c r="F778" s="135"/>
      <c r="G778" s="135"/>
      <c r="H778" s="134"/>
      <c r="I778" s="135"/>
      <c r="J778" s="2"/>
    </row>
    <row r="779" spans="1:10" ht="15.5">
      <c r="A779" s="181"/>
      <c r="B779" s="175"/>
      <c r="C779" s="146"/>
      <c r="D779" s="135"/>
      <c r="E779" s="8" t="s">
        <v>16</v>
      </c>
      <c r="F779" s="135"/>
      <c r="G779" s="135"/>
      <c r="H779" s="134"/>
      <c r="I779" s="135"/>
      <c r="J779" s="2"/>
    </row>
    <row r="780" spans="1:10" ht="15.5">
      <c r="A780" s="181"/>
      <c r="B780" s="175"/>
      <c r="C780" s="146"/>
      <c r="D780" s="135"/>
      <c r="E780" s="8" t="s">
        <v>16</v>
      </c>
      <c r="F780" s="135"/>
      <c r="G780" s="135"/>
      <c r="H780" s="134"/>
      <c r="I780" s="135"/>
      <c r="J780" s="2"/>
    </row>
    <row r="781" spans="1:10" ht="15.5">
      <c r="A781" s="181"/>
      <c r="B781" s="176"/>
      <c r="C781" s="146"/>
      <c r="D781" s="135"/>
      <c r="E781" s="8" t="s">
        <v>16</v>
      </c>
      <c r="F781" s="135"/>
      <c r="G781" s="135"/>
      <c r="H781" s="134"/>
      <c r="I781" s="135"/>
      <c r="J781" s="2"/>
    </row>
    <row r="782" spans="1:10" ht="15.5">
      <c r="A782" s="181"/>
      <c r="B782" s="174" t="s">
        <v>1564</v>
      </c>
      <c r="C782" s="146"/>
      <c r="D782" s="135"/>
      <c r="E782" s="8" t="s">
        <v>16</v>
      </c>
      <c r="F782" s="135"/>
      <c r="G782" s="135"/>
      <c r="H782" s="134"/>
      <c r="I782" s="135"/>
      <c r="J782" s="2"/>
    </row>
    <row r="783" spans="1:10" ht="15.5">
      <c r="A783" s="181"/>
      <c r="B783" s="175"/>
      <c r="C783" s="146"/>
      <c r="D783" s="135"/>
      <c r="E783" s="8" t="s">
        <v>16</v>
      </c>
      <c r="F783" s="135"/>
      <c r="G783" s="135"/>
      <c r="H783" s="134"/>
      <c r="I783" s="135"/>
      <c r="J783" s="2"/>
    </row>
    <row r="784" spans="1:10" ht="15.5">
      <c r="A784" s="181"/>
      <c r="B784" s="175"/>
      <c r="C784" s="146"/>
      <c r="D784" s="135"/>
      <c r="E784" s="8" t="s">
        <v>16</v>
      </c>
      <c r="F784" s="135"/>
      <c r="G784" s="135"/>
      <c r="H784" s="134"/>
      <c r="I784" s="135"/>
      <c r="J784" s="2"/>
    </row>
    <row r="785" spans="1:10" ht="15.5">
      <c r="A785" s="181"/>
      <c r="B785" s="175"/>
      <c r="C785" s="146"/>
      <c r="D785" s="135"/>
      <c r="E785" s="8" t="s">
        <v>16</v>
      </c>
      <c r="F785" s="135"/>
      <c r="G785" s="135"/>
      <c r="H785" s="134"/>
      <c r="I785" s="135"/>
      <c r="J785" s="2"/>
    </row>
    <row r="786" spans="1:10" ht="15.5">
      <c r="A786" s="181"/>
      <c r="B786" s="176"/>
      <c r="C786" s="146"/>
      <c r="D786" s="135"/>
      <c r="E786" s="8" t="s">
        <v>16</v>
      </c>
      <c r="F786" s="135"/>
      <c r="G786" s="135"/>
      <c r="H786" s="134"/>
      <c r="I786" s="135"/>
      <c r="J786" s="2"/>
    </row>
    <row r="787" spans="1:10" ht="15.5">
      <c r="A787" s="181"/>
      <c r="B787" s="174" t="s">
        <v>1565</v>
      </c>
      <c r="C787" s="146"/>
      <c r="D787" s="135"/>
      <c r="E787" s="8" t="s">
        <v>16</v>
      </c>
      <c r="F787" s="135"/>
      <c r="G787" s="135"/>
      <c r="H787" s="134"/>
      <c r="I787" s="135"/>
      <c r="J787" s="2"/>
    </row>
    <row r="788" spans="1:10" ht="15.5">
      <c r="A788" s="181"/>
      <c r="B788" s="175"/>
      <c r="C788" s="146"/>
      <c r="D788" s="135"/>
      <c r="E788" s="8" t="s">
        <v>16</v>
      </c>
      <c r="F788" s="135"/>
      <c r="G788" s="135"/>
      <c r="H788" s="134"/>
      <c r="I788" s="135"/>
      <c r="J788" s="2"/>
    </row>
    <row r="789" spans="1:10" ht="15.5">
      <c r="A789" s="181"/>
      <c r="B789" s="175"/>
      <c r="C789" s="146"/>
      <c r="D789" s="135"/>
      <c r="E789" s="8" t="s">
        <v>16</v>
      </c>
      <c r="F789" s="135"/>
      <c r="G789" s="135"/>
      <c r="H789" s="134"/>
      <c r="I789" s="135"/>
      <c r="J789" s="2"/>
    </row>
    <row r="790" spans="1:10" ht="15.5">
      <c r="A790" s="181"/>
      <c r="B790" s="175"/>
      <c r="C790" s="146"/>
      <c r="D790" s="135"/>
      <c r="E790" s="8" t="s">
        <v>16</v>
      </c>
      <c r="F790" s="135"/>
      <c r="G790" s="135"/>
      <c r="H790" s="134"/>
      <c r="I790" s="135"/>
      <c r="J790" s="2"/>
    </row>
    <row r="791" spans="1:10" ht="15.5">
      <c r="A791" s="181"/>
      <c r="B791" s="176"/>
      <c r="C791" s="146"/>
      <c r="D791" s="135"/>
      <c r="E791" s="8" t="s">
        <v>16</v>
      </c>
      <c r="F791" s="135"/>
      <c r="G791" s="135"/>
      <c r="H791" s="134"/>
      <c r="I791" s="135"/>
      <c r="J791" s="2"/>
    </row>
    <row r="792" spans="1:10" ht="15.5">
      <c r="A792" s="181"/>
      <c r="B792" s="174" t="s">
        <v>1566</v>
      </c>
      <c r="C792" s="146"/>
      <c r="D792" s="135"/>
      <c r="E792" s="8" t="s">
        <v>16</v>
      </c>
      <c r="F792" s="135"/>
      <c r="G792" s="135"/>
      <c r="H792" s="134"/>
      <c r="I792" s="135"/>
      <c r="J792" s="2"/>
    </row>
    <row r="793" spans="1:10" ht="15.5">
      <c r="A793" s="181"/>
      <c r="B793" s="175"/>
      <c r="C793" s="146"/>
      <c r="D793" s="135"/>
      <c r="E793" s="8" t="s">
        <v>16</v>
      </c>
      <c r="F793" s="135"/>
      <c r="G793" s="135"/>
      <c r="H793" s="134"/>
      <c r="I793" s="135"/>
      <c r="J793" s="2"/>
    </row>
    <row r="794" spans="1:10" ht="15.5">
      <c r="A794" s="181"/>
      <c r="B794" s="175"/>
      <c r="C794" s="146"/>
      <c r="D794" s="135"/>
      <c r="E794" s="8" t="s">
        <v>16</v>
      </c>
      <c r="F794" s="135"/>
      <c r="G794" s="135"/>
      <c r="H794" s="134"/>
      <c r="I794" s="135"/>
      <c r="J794" s="2"/>
    </row>
    <row r="795" spans="1:10" ht="15.5">
      <c r="A795" s="181"/>
      <c r="B795" s="175"/>
      <c r="C795" s="146" t="s">
        <v>1567</v>
      </c>
      <c r="D795" s="135"/>
      <c r="E795" s="8" t="s">
        <v>16</v>
      </c>
      <c r="F795" s="135"/>
      <c r="G795" s="135"/>
      <c r="H795" s="134"/>
      <c r="I795" s="135"/>
      <c r="J795" s="2"/>
    </row>
    <row r="796" spans="1:10" ht="16" thickBot="1">
      <c r="A796" s="181"/>
      <c r="B796" s="176"/>
      <c r="C796" s="146"/>
      <c r="D796" s="135" t="s">
        <v>1568</v>
      </c>
      <c r="E796" s="8" t="s">
        <v>16</v>
      </c>
      <c r="F796" s="135"/>
      <c r="G796" s="135"/>
      <c r="H796" s="134"/>
      <c r="I796" s="135"/>
      <c r="J796" s="2"/>
    </row>
    <row r="797" spans="1:10" ht="15.5">
      <c r="A797" s="183" t="s">
        <v>1569</v>
      </c>
      <c r="B797" s="174" t="s">
        <v>1570</v>
      </c>
      <c r="C797" s="146"/>
      <c r="D797" s="135"/>
      <c r="E797" s="8" t="s">
        <v>16</v>
      </c>
      <c r="F797" s="135" t="s">
        <v>1571</v>
      </c>
      <c r="G797" s="135" t="s">
        <v>1572</v>
      </c>
      <c r="H797" s="134" t="s">
        <v>213</v>
      </c>
      <c r="I797" s="135" t="s">
        <v>1573</v>
      </c>
      <c r="J797" s="2"/>
    </row>
    <row r="798" spans="1:10" ht="15.5">
      <c r="A798" s="181"/>
      <c r="B798" s="175"/>
      <c r="C798" s="146"/>
      <c r="D798" s="135"/>
      <c r="E798" s="8" t="s">
        <v>16</v>
      </c>
      <c r="F798" s="135"/>
      <c r="G798" s="135"/>
      <c r="H798" s="134"/>
      <c r="I798" s="135"/>
      <c r="J798" s="2"/>
    </row>
    <row r="799" spans="1:10" ht="15.5">
      <c r="A799" s="181"/>
      <c r="B799" s="175"/>
      <c r="C799" s="146"/>
      <c r="D799" s="135"/>
      <c r="E799" s="8" t="s">
        <v>16</v>
      </c>
      <c r="F799" s="135"/>
      <c r="G799" s="135"/>
      <c r="H799" s="134"/>
      <c r="I799" s="135"/>
      <c r="J799" s="2"/>
    </row>
    <row r="800" spans="1:10" ht="15.5">
      <c r="A800" s="181"/>
      <c r="B800" s="175"/>
      <c r="C800" s="146"/>
      <c r="D800" s="135"/>
      <c r="E800" s="8" t="s">
        <v>16</v>
      </c>
      <c r="F800" s="135"/>
      <c r="G800" s="135"/>
      <c r="H800" s="134"/>
      <c r="I800" s="135"/>
      <c r="J800" s="2"/>
    </row>
    <row r="801" spans="1:10" ht="15.5">
      <c r="A801" s="181"/>
      <c r="B801" s="176"/>
      <c r="C801" s="146"/>
      <c r="D801" s="135"/>
      <c r="E801" s="8" t="s">
        <v>16</v>
      </c>
      <c r="F801" s="135"/>
      <c r="G801" s="135"/>
      <c r="H801" s="134"/>
      <c r="I801" s="135"/>
      <c r="J801" s="2"/>
    </row>
    <row r="802" spans="1:10" ht="15.5">
      <c r="A802" s="181"/>
      <c r="B802" s="174" t="s">
        <v>1574</v>
      </c>
      <c r="C802" s="146"/>
      <c r="D802" s="135"/>
      <c r="E802" s="8" t="s">
        <v>16</v>
      </c>
      <c r="F802" s="135"/>
      <c r="G802" s="135"/>
      <c r="H802" s="134"/>
      <c r="I802" s="135"/>
      <c r="J802" s="2"/>
    </row>
    <row r="803" spans="1:10" ht="15.5">
      <c r="A803" s="181"/>
      <c r="B803" s="175"/>
      <c r="C803" s="146"/>
      <c r="D803" s="135"/>
      <c r="E803" s="8" t="s">
        <v>16</v>
      </c>
      <c r="F803" s="135"/>
      <c r="G803" s="135"/>
      <c r="H803" s="134"/>
      <c r="I803" s="135"/>
      <c r="J803" s="2"/>
    </row>
    <row r="804" spans="1:10" ht="15.5">
      <c r="A804" s="181"/>
      <c r="B804" s="175"/>
      <c r="C804" s="146"/>
      <c r="D804" s="135"/>
      <c r="E804" s="8" t="s">
        <v>16</v>
      </c>
      <c r="F804" s="135"/>
      <c r="G804" s="135"/>
      <c r="H804" s="134"/>
      <c r="I804" s="135"/>
      <c r="J804" s="2"/>
    </row>
    <row r="805" spans="1:10" ht="15.5">
      <c r="A805" s="181"/>
      <c r="B805" s="175"/>
      <c r="C805" s="146"/>
      <c r="D805" s="135"/>
      <c r="E805" s="8" t="s">
        <v>16</v>
      </c>
      <c r="F805" s="135"/>
      <c r="G805" s="135"/>
      <c r="H805" s="134"/>
      <c r="I805" s="135"/>
      <c r="J805" s="2"/>
    </row>
    <row r="806" spans="1:10" ht="15.5">
      <c r="A806" s="181"/>
      <c r="B806" s="176"/>
      <c r="C806" s="146"/>
      <c r="D806" s="135"/>
      <c r="E806" s="8" t="s">
        <v>16</v>
      </c>
      <c r="F806" s="135"/>
      <c r="G806" s="135"/>
      <c r="H806" s="134"/>
      <c r="I806" s="135"/>
      <c r="J806" s="2"/>
    </row>
    <row r="807" spans="1:10" ht="15.5">
      <c r="A807" s="181"/>
      <c r="B807" s="174" t="s">
        <v>1575</v>
      </c>
      <c r="C807" s="146"/>
      <c r="D807" s="135"/>
      <c r="E807" s="8" t="s">
        <v>16</v>
      </c>
      <c r="F807" s="135"/>
      <c r="G807" s="135"/>
      <c r="H807" s="134"/>
      <c r="I807" s="135"/>
      <c r="J807" s="2"/>
    </row>
    <row r="808" spans="1:10" ht="15.5">
      <c r="A808" s="181"/>
      <c r="B808" s="175"/>
      <c r="C808" s="146"/>
      <c r="D808" s="135"/>
      <c r="E808" s="8" t="s">
        <v>16</v>
      </c>
      <c r="F808" s="135"/>
      <c r="G808" s="135"/>
      <c r="H808" s="134"/>
      <c r="I808" s="135"/>
      <c r="J808" s="2"/>
    </row>
    <row r="809" spans="1:10" ht="15.5">
      <c r="A809" s="181"/>
      <c r="B809" s="175"/>
      <c r="C809" s="146"/>
      <c r="D809" s="135"/>
      <c r="E809" s="8" t="s">
        <v>16</v>
      </c>
      <c r="F809" s="135"/>
      <c r="G809" s="135"/>
      <c r="H809" s="134"/>
      <c r="I809" s="135"/>
      <c r="J809" s="2"/>
    </row>
    <row r="810" spans="1:10" ht="15.5">
      <c r="A810" s="181"/>
      <c r="B810" s="175"/>
      <c r="C810" s="146"/>
      <c r="D810" s="135"/>
      <c r="E810" s="8" t="s">
        <v>16</v>
      </c>
      <c r="F810" s="135"/>
      <c r="G810" s="135"/>
      <c r="H810" s="134"/>
      <c r="I810" s="135"/>
      <c r="J810" s="2"/>
    </row>
    <row r="811" spans="1:10" ht="15.5">
      <c r="A811" s="181"/>
      <c r="B811" s="176"/>
      <c r="C811" s="146"/>
      <c r="D811" s="135"/>
      <c r="E811" s="8" t="s">
        <v>16</v>
      </c>
      <c r="F811" s="135"/>
      <c r="G811" s="135"/>
      <c r="H811" s="134"/>
      <c r="I811" s="135"/>
      <c r="J811" s="2"/>
    </row>
    <row r="812" spans="1:10" ht="15.5">
      <c r="A812" s="181"/>
      <c r="B812" s="174" t="s">
        <v>1576</v>
      </c>
      <c r="C812" s="146"/>
      <c r="D812" s="135"/>
      <c r="E812" s="8" t="s">
        <v>16</v>
      </c>
      <c r="F812" s="135"/>
      <c r="G812" s="135"/>
      <c r="H812" s="134"/>
      <c r="I812" s="135"/>
      <c r="J812" s="2"/>
    </row>
    <row r="813" spans="1:10" ht="15.5">
      <c r="A813" s="181"/>
      <c r="B813" s="175"/>
      <c r="C813" s="146"/>
      <c r="D813" s="135"/>
      <c r="E813" s="8" t="s">
        <v>16</v>
      </c>
      <c r="F813" s="135"/>
      <c r="G813" s="135"/>
      <c r="H813" s="134"/>
      <c r="I813" s="135"/>
      <c r="J813" s="2"/>
    </row>
    <row r="814" spans="1:10" ht="15.5">
      <c r="A814" s="181"/>
      <c r="B814" s="175"/>
      <c r="C814" s="146"/>
      <c r="D814" s="135"/>
      <c r="E814" s="8" t="s">
        <v>16</v>
      </c>
      <c r="F814" s="135"/>
      <c r="G814" s="135"/>
      <c r="H814" s="134"/>
      <c r="I814" s="135"/>
      <c r="J814" s="2"/>
    </row>
    <row r="815" spans="1:10" ht="15.5">
      <c r="A815" s="181"/>
      <c r="B815" s="175"/>
      <c r="C815" s="146"/>
      <c r="D815" s="135"/>
      <c r="E815" s="8" t="s">
        <v>16</v>
      </c>
      <c r="F815" s="135"/>
      <c r="G815" s="135"/>
      <c r="H815" s="134"/>
      <c r="I815" s="135"/>
      <c r="J815" s="2"/>
    </row>
    <row r="816" spans="1:10" ht="15.5">
      <c r="A816" s="181"/>
      <c r="B816" s="176"/>
      <c r="C816" s="146"/>
      <c r="D816" s="135"/>
      <c r="E816" s="8" t="s">
        <v>16</v>
      </c>
      <c r="F816" s="135"/>
      <c r="G816" s="135"/>
      <c r="H816" s="134"/>
      <c r="I816" s="135"/>
      <c r="J816" s="2"/>
    </row>
    <row r="817" spans="1:10" ht="15.5">
      <c r="A817" s="181"/>
      <c r="B817" s="174" t="s">
        <v>1577</v>
      </c>
      <c r="C817" s="146"/>
      <c r="D817" s="135"/>
      <c r="E817" s="8" t="s">
        <v>16</v>
      </c>
      <c r="F817" s="135"/>
      <c r="G817" s="135"/>
      <c r="H817" s="134"/>
      <c r="I817" s="135"/>
      <c r="J817" s="2"/>
    </row>
    <row r="818" spans="1:10" ht="15.5">
      <c r="A818" s="181"/>
      <c r="B818" s="175"/>
      <c r="C818" s="146"/>
      <c r="D818" s="135"/>
      <c r="E818" s="8" t="s">
        <v>16</v>
      </c>
      <c r="F818" s="135"/>
      <c r="G818" s="135"/>
      <c r="H818" s="134"/>
      <c r="I818" s="135"/>
      <c r="J818" s="2"/>
    </row>
    <row r="819" spans="1:10" ht="15.5">
      <c r="A819" s="181"/>
      <c r="B819" s="175"/>
      <c r="C819" s="146"/>
      <c r="D819" s="135"/>
      <c r="E819" s="8" t="s">
        <v>16</v>
      </c>
      <c r="F819" s="135"/>
      <c r="G819" s="135"/>
      <c r="H819" s="134"/>
      <c r="I819" s="135"/>
      <c r="J819" s="2"/>
    </row>
    <row r="820" spans="1:10" ht="15.5">
      <c r="A820" s="181"/>
      <c r="B820" s="175"/>
      <c r="C820" s="146"/>
      <c r="D820" s="135"/>
      <c r="E820" s="8" t="s">
        <v>16</v>
      </c>
      <c r="F820" s="135"/>
      <c r="G820" s="135"/>
      <c r="H820" s="134"/>
      <c r="I820" s="135"/>
      <c r="J820" s="2"/>
    </row>
    <row r="821" spans="1:10" ht="15.5">
      <c r="A821" s="181"/>
      <c r="B821" s="176"/>
      <c r="C821" s="146"/>
      <c r="D821" s="135"/>
      <c r="E821" s="8" t="s">
        <v>16</v>
      </c>
      <c r="F821" s="135"/>
      <c r="G821" s="135"/>
      <c r="H821" s="134"/>
      <c r="I821" s="135"/>
      <c r="J821" s="2"/>
    </row>
    <row r="822" spans="1:10" ht="15.5">
      <c r="A822" s="181"/>
      <c r="B822" s="174" t="s">
        <v>1578</v>
      </c>
      <c r="C822" s="146"/>
      <c r="D822" s="135"/>
      <c r="E822" s="8" t="s">
        <v>16</v>
      </c>
      <c r="F822" s="135"/>
      <c r="G822" s="135"/>
      <c r="H822" s="134"/>
      <c r="I822" s="135"/>
      <c r="J822" s="2"/>
    </row>
    <row r="823" spans="1:10" ht="15.5">
      <c r="A823" s="181"/>
      <c r="B823" s="175"/>
      <c r="C823" s="146"/>
      <c r="D823" s="135"/>
      <c r="E823" s="8" t="s">
        <v>16</v>
      </c>
      <c r="F823" s="135"/>
      <c r="G823" s="135"/>
      <c r="H823" s="134"/>
      <c r="I823" s="135"/>
      <c r="J823" s="2"/>
    </row>
    <row r="824" spans="1:10" ht="15.5">
      <c r="A824" s="181"/>
      <c r="B824" s="175"/>
      <c r="C824" s="146" t="s">
        <v>1579</v>
      </c>
      <c r="D824" s="135"/>
      <c r="E824" s="8" t="s">
        <v>16</v>
      </c>
      <c r="F824" s="135"/>
      <c r="G824" s="135"/>
      <c r="H824" s="134"/>
      <c r="I824" s="135"/>
      <c r="J824" s="2"/>
    </row>
    <row r="825" spans="1:10" ht="15.5">
      <c r="A825" s="181"/>
      <c r="B825" s="175"/>
      <c r="C825" s="146"/>
      <c r="D825" s="135" t="s">
        <v>1580</v>
      </c>
      <c r="E825" s="8" t="s">
        <v>16</v>
      </c>
      <c r="F825" s="135"/>
      <c r="G825" s="135"/>
      <c r="H825" s="134"/>
      <c r="I825" s="135"/>
      <c r="J825" s="2"/>
    </row>
    <row r="826" spans="1:10" ht="16" thickBot="1">
      <c r="A826" s="182"/>
      <c r="B826" s="176"/>
      <c r="C826" s="146"/>
      <c r="D826" s="135"/>
      <c r="E826" s="8" t="s">
        <v>16</v>
      </c>
      <c r="F826" s="135" t="s">
        <v>1581</v>
      </c>
      <c r="G826" s="135" t="s">
        <v>1582</v>
      </c>
      <c r="H826" s="134" t="s">
        <v>26</v>
      </c>
      <c r="I826" s="135" t="s">
        <v>1583</v>
      </c>
      <c r="J826" s="2"/>
    </row>
    <row r="827" spans="1:10" ht="15.5">
      <c r="A827" s="183" t="s">
        <v>1584</v>
      </c>
      <c r="B827" s="174" t="s">
        <v>1585</v>
      </c>
      <c r="C827" s="146"/>
      <c r="D827" s="135"/>
      <c r="E827" s="8" t="s">
        <v>16</v>
      </c>
      <c r="F827" s="135"/>
      <c r="G827" s="135"/>
      <c r="H827" s="134"/>
      <c r="I827" s="135"/>
      <c r="J827" s="2"/>
    </row>
    <row r="828" spans="1:10" ht="15.5">
      <c r="A828" s="181"/>
      <c r="B828" s="175"/>
      <c r="C828" s="146"/>
      <c r="D828" s="135"/>
      <c r="E828" s="8" t="s">
        <v>16</v>
      </c>
      <c r="F828" s="135"/>
      <c r="G828" s="135"/>
      <c r="H828" s="134"/>
      <c r="I828" s="135"/>
      <c r="J828" s="2"/>
    </row>
    <row r="829" spans="1:10" ht="15.5">
      <c r="A829" s="181"/>
      <c r="B829" s="175"/>
      <c r="C829" s="146"/>
      <c r="D829" s="135"/>
      <c r="E829" s="8" t="s">
        <v>16</v>
      </c>
      <c r="F829" s="135"/>
      <c r="G829" s="135"/>
      <c r="H829" s="134"/>
      <c r="I829" s="135"/>
      <c r="J829" s="2"/>
    </row>
    <row r="830" spans="1:10" ht="15.5">
      <c r="A830" s="181"/>
      <c r="B830" s="175"/>
      <c r="C830" s="146"/>
      <c r="D830" s="135"/>
      <c r="E830" s="8" t="s">
        <v>16</v>
      </c>
      <c r="F830" s="135"/>
      <c r="G830" s="135"/>
      <c r="H830" s="134"/>
      <c r="I830" s="135"/>
      <c r="J830" s="2"/>
    </row>
    <row r="831" spans="1:10" ht="15.5">
      <c r="A831" s="181"/>
      <c r="B831" s="176"/>
      <c r="C831" s="146"/>
      <c r="D831" s="135"/>
      <c r="E831" s="8" t="s">
        <v>16</v>
      </c>
      <c r="F831" s="135"/>
      <c r="G831" s="135"/>
      <c r="H831" s="134"/>
      <c r="I831" s="135"/>
      <c r="J831" s="2"/>
    </row>
    <row r="832" spans="1:10" ht="15.5">
      <c r="A832" s="181"/>
      <c r="B832" s="174" t="s">
        <v>1586</v>
      </c>
      <c r="C832" s="146"/>
      <c r="D832" s="135"/>
      <c r="E832" s="8" t="s">
        <v>16</v>
      </c>
      <c r="F832" s="135"/>
      <c r="G832" s="135"/>
      <c r="H832" s="134"/>
      <c r="I832" s="135"/>
      <c r="J832" s="2"/>
    </row>
    <row r="833" spans="1:10" ht="15.5">
      <c r="A833" s="181"/>
      <c r="B833" s="175"/>
      <c r="C833" s="146"/>
      <c r="D833" s="135"/>
      <c r="E833" s="8" t="s">
        <v>16</v>
      </c>
      <c r="F833" s="135"/>
      <c r="G833" s="135"/>
      <c r="H833" s="134"/>
      <c r="I833" s="135"/>
      <c r="J833" s="2"/>
    </row>
    <row r="834" spans="1:10" ht="15.5">
      <c r="A834" s="181"/>
      <c r="B834" s="175"/>
      <c r="C834" s="146"/>
      <c r="D834" s="135"/>
      <c r="E834" s="8" t="s">
        <v>16</v>
      </c>
      <c r="F834" s="135"/>
      <c r="G834" s="135"/>
      <c r="H834" s="134"/>
      <c r="I834" s="135"/>
      <c r="J834" s="2"/>
    </row>
    <row r="835" spans="1:10" ht="15.5">
      <c r="A835" s="181"/>
      <c r="B835" s="175"/>
      <c r="C835" s="146"/>
      <c r="D835" s="135"/>
      <c r="E835" s="8" t="s">
        <v>16</v>
      </c>
      <c r="F835" s="135"/>
      <c r="G835" s="135"/>
      <c r="H835" s="134"/>
      <c r="I835" s="135"/>
      <c r="J835" s="2"/>
    </row>
    <row r="836" spans="1:10" ht="15.5">
      <c r="A836" s="181"/>
      <c r="B836" s="176"/>
      <c r="C836" s="146"/>
      <c r="D836" s="135"/>
      <c r="E836" s="8" t="s">
        <v>16</v>
      </c>
      <c r="F836" s="135"/>
      <c r="G836" s="135"/>
      <c r="H836" s="134"/>
      <c r="I836" s="135"/>
      <c r="J836" s="2"/>
    </row>
    <row r="837" spans="1:10" ht="15.5">
      <c r="A837" s="181"/>
      <c r="B837" s="174" t="s">
        <v>1587</v>
      </c>
      <c r="C837" s="146"/>
      <c r="D837" s="135"/>
      <c r="E837" s="8" t="s">
        <v>16</v>
      </c>
      <c r="F837" s="135"/>
      <c r="G837" s="135"/>
      <c r="H837" s="134"/>
      <c r="I837" s="135"/>
      <c r="J837" s="2"/>
    </row>
    <row r="838" spans="1:10" ht="15.5">
      <c r="A838" s="181"/>
      <c r="B838" s="175"/>
      <c r="C838" s="146"/>
      <c r="D838" s="135"/>
      <c r="E838" s="8" t="s">
        <v>16</v>
      </c>
      <c r="F838" s="135"/>
      <c r="G838" s="135"/>
      <c r="H838" s="134"/>
      <c r="I838" s="135"/>
      <c r="J838" s="2"/>
    </row>
    <row r="839" spans="1:10" ht="15.5">
      <c r="A839" s="181"/>
      <c r="B839" s="175"/>
      <c r="C839" s="146"/>
      <c r="D839" s="135"/>
      <c r="E839" s="8" t="s">
        <v>16</v>
      </c>
      <c r="F839" s="135"/>
      <c r="G839" s="135"/>
      <c r="H839" s="134"/>
      <c r="I839" s="135"/>
      <c r="J839" s="2"/>
    </row>
    <row r="840" spans="1:10" ht="15.5">
      <c r="A840" s="181"/>
      <c r="B840" s="175"/>
      <c r="C840" s="146"/>
      <c r="D840" s="135"/>
      <c r="E840" s="8" t="s">
        <v>16</v>
      </c>
      <c r="F840" s="135"/>
      <c r="G840" s="135"/>
      <c r="H840" s="134"/>
      <c r="I840" s="135"/>
      <c r="J840" s="2"/>
    </row>
    <row r="841" spans="1:10" ht="15.5">
      <c r="A841" s="181"/>
      <c r="B841" s="176"/>
      <c r="C841" s="146"/>
      <c r="D841" s="135"/>
      <c r="E841" s="8" t="s">
        <v>16</v>
      </c>
      <c r="F841" s="135"/>
      <c r="G841" s="135"/>
      <c r="H841" s="134"/>
      <c r="I841" s="135"/>
      <c r="J841" s="2"/>
    </row>
    <row r="842" spans="1:10" ht="15.5">
      <c r="A842" s="181"/>
      <c r="B842" s="174" t="s">
        <v>1588</v>
      </c>
      <c r="C842" s="146"/>
      <c r="D842" s="135"/>
      <c r="E842" s="8" t="s">
        <v>16</v>
      </c>
      <c r="F842" s="135"/>
      <c r="G842" s="135"/>
      <c r="H842" s="134"/>
      <c r="I842" s="135"/>
      <c r="J842" s="2"/>
    </row>
    <row r="843" spans="1:10" ht="15.5">
      <c r="A843" s="181"/>
      <c r="B843" s="175"/>
      <c r="C843" s="146"/>
      <c r="D843" s="135"/>
      <c r="E843" s="8" t="s">
        <v>16</v>
      </c>
      <c r="F843" s="135"/>
      <c r="G843" s="135"/>
      <c r="H843" s="134"/>
      <c r="I843" s="135"/>
      <c r="J843" s="2"/>
    </row>
    <row r="844" spans="1:10" ht="15.5">
      <c r="A844" s="181"/>
      <c r="B844" s="175"/>
      <c r="C844" s="146"/>
      <c r="D844" s="135"/>
      <c r="E844" s="8" t="s">
        <v>16</v>
      </c>
      <c r="F844" s="135"/>
      <c r="G844" s="135"/>
      <c r="H844" s="134"/>
      <c r="I844" s="135"/>
      <c r="J844" s="2"/>
    </row>
    <row r="845" spans="1:10" ht="15.5">
      <c r="A845" s="181"/>
      <c r="B845" s="175"/>
      <c r="C845" s="146"/>
      <c r="D845" s="135"/>
      <c r="E845" s="8" t="s">
        <v>16</v>
      </c>
      <c r="F845" s="135"/>
      <c r="G845" s="135"/>
      <c r="H845" s="134"/>
      <c r="I845" s="135"/>
      <c r="J845" s="2"/>
    </row>
    <row r="846" spans="1:10" ht="15.5">
      <c r="A846" s="181"/>
      <c r="B846" s="176"/>
      <c r="C846" s="146"/>
      <c r="D846" s="135"/>
      <c r="E846" s="8" t="s">
        <v>16</v>
      </c>
      <c r="F846" s="135"/>
      <c r="G846" s="135"/>
      <c r="H846" s="134"/>
      <c r="I846" s="135"/>
      <c r="J846" s="2"/>
    </row>
    <row r="847" spans="1:10" ht="15.5">
      <c r="A847" s="181"/>
      <c r="B847" s="174" t="s">
        <v>1589</v>
      </c>
      <c r="C847" s="146"/>
      <c r="D847" s="135"/>
      <c r="E847" s="8" t="s">
        <v>16</v>
      </c>
      <c r="F847" s="135"/>
      <c r="G847" s="135"/>
      <c r="H847" s="134"/>
      <c r="I847" s="135"/>
      <c r="J847" s="2"/>
    </row>
    <row r="848" spans="1:10" ht="15.5">
      <c r="A848" s="181"/>
      <c r="B848" s="175"/>
      <c r="C848" s="146"/>
      <c r="D848" s="135"/>
      <c r="E848" s="8" t="s">
        <v>16</v>
      </c>
      <c r="F848" s="135"/>
      <c r="G848" s="135"/>
      <c r="H848" s="134"/>
      <c r="I848" s="135"/>
      <c r="J848" s="2"/>
    </row>
    <row r="849" spans="1:10" ht="15.5">
      <c r="A849" s="181"/>
      <c r="B849" s="175"/>
      <c r="C849" s="146"/>
      <c r="D849" s="135"/>
      <c r="E849" s="8" t="s">
        <v>16</v>
      </c>
      <c r="F849" s="135"/>
      <c r="G849" s="135"/>
      <c r="H849" s="134"/>
      <c r="I849" s="135"/>
      <c r="J849" s="2"/>
    </row>
    <row r="850" spans="1:10" ht="15.5">
      <c r="A850" s="181"/>
      <c r="B850" s="175"/>
      <c r="C850" s="146"/>
      <c r="D850" s="135"/>
      <c r="E850" s="8" t="s">
        <v>16</v>
      </c>
      <c r="F850" s="135"/>
      <c r="G850" s="135"/>
      <c r="H850" s="134"/>
      <c r="I850" s="135"/>
      <c r="J850" s="2"/>
    </row>
    <row r="851" spans="1:10" ht="15.5">
      <c r="A851" s="181"/>
      <c r="B851" s="176"/>
      <c r="C851" s="146"/>
      <c r="D851" s="135"/>
      <c r="E851" s="8" t="s">
        <v>16</v>
      </c>
      <c r="F851" s="135"/>
      <c r="G851" s="135"/>
      <c r="H851" s="134"/>
      <c r="I851" s="135"/>
      <c r="J851" s="2"/>
    </row>
    <row r="852" spans="1:10" ht="15.5">
      <c r="A852" s="181"/>
      <c r="B852" s="174" t="s">
        <v>1590</v>
      </c>
      <c r="C852" s="146"/>
      <c r="D852" s="135"/>
      <c r="E852" s="8" t="s">
        <v>16</v>
      </c>
      <c r="F852" s="135"/>
      <c r="G852" s="135"/>
      <c r="H852" s="134"/>
      <c r="I852" s="135"/>
      <c r="J852" s="2"/>
    </row>
    <row r="853" spans="1:10" ht="15.5">
      <c r="A853" s="181"/>
      <c r="B853" s="175"/>
      <c r="C853" s="146"/>
      <c r="D853" s="135"/>
      <c r="E853" s="8" t="s">
        <v>16</v>
      </c>
      <c r="F853" s="135"/>
      <c r="G853" s="135"/>
      <c r="H853" s="134"/>
      <c r="I853" s="135"/>
      <c r="J853" s="2"/>
    </row>
    <row r="854" spans="1:10" ht="15.5">
      <c r="A854" s="181"/>
      <c r="B854" s="175"/>
      <c r="C854" s="146" t="s">
        <v>1591</v>
      </c>
      <c r="D854" s="135"/>
      <c r="E854" s="8" t="s">
        <v>16</v>
      </c>
      <c r="F854" s="135"/>
      <c r="G854" s="135"/>
      <c r="H854" s="134"/>
      <c r="I854" s="135"/>
      <c r="J854" s="2"/>
    </row>
    <row r="855" spans="1:10" ht="15.5">
      <c r="A855" s="181"/>
      <c r="B855" s="175"/>
      <c r="C855" s="146"/>
      <c r="D855" s="135" t="s">
        <v>1592</v>
      </c>
      <c r="E855" s="8" t="s">
        <v>16</v>
      </c>
      <c r="F855" s="135"/>
      <c r="G855" s="135"/>
      <c r="H855" s="134"/>
      <c r="I855" s="135"/>
      <c r="J855" s="2"/>
    </row>
    <row r="856" spans="1:10" ht="16" thickBot="1">
      <c r="A856" s="182"/>
      <c r="B856" s="176"/>
      <c r="C856" s="146"/>
      <c r="D856" s="135"/>
      <c r="E856" s="8" t="s">
        <v>16</v>
      </c>
      <c r="F856" s="135" t="s">
        <v>1594</v>
      </c>
      <c r="G856" s="135" t="s">
        <v>1595</v>
      </c>
      <c r="H856" s="134" t="s">
        <v>213</v>
      </c>
      <c r="I856" s="135" t="s">
        <v>1596</v>
      </c>
      <c r="J856" s="2"/>
    </row>
    <row r="857" spans="1:10" ht="15.5">
      <c r="A857" s="181" t="s">
        <v>1597</v>
      </c>
      <c r="B857" s="174" t="s">
        <v>1598</v>
      </c>
      <c r="C857" s="146"/>
      <c r="D857" s="135"/>
      <c r="E857" s="8" t="s">
        <v>16</v>
      </c>
      <c r="F857" s="135"/>
      <c r="G857" s="135"/>
      <c r="H857" s="134"/>
      <c r="I857" s="135"/>
      <c r="J857" s="2"/>
    </row>
    <row r="858" spans="1:10" ht="15.5">
      <c r="A858" s="181"/>
      <c r="B858" s="175"/>
      <c r="C858" s="146"/>
      <c r="D858" s="135"/>
      <c r="E858" s="8" t="s">
        <v>16</v>
      </c>
      <c r="F858" s="135"/>
      <c r="G858" s="135"/>
      <c r="H858" s="134"/>
      <c r="I858" s="135"/>
      <c r="J858" s="2"/>
    </row>
    <row r="859" spans="1:10" ht="15.5">
      <c r="A859" s="181"/>
      <c r="B859" s="175"/>
      <c r="C859" s="146"/>
      <c r="D859" s="135"/>
      <c r="E859" s="8" t="s">
        <v>16</v>
      </c>
      <c r="F859" s="135"/>
      <c r="G859" s="135"/>
      <c r="H859" s="134"/>
      <c r="I859" s="135"/>
      <c r="J859" s="2"/>
    </row>
    <row r="860" spans="1:10" ht="15.5">
      <c r="A860" s="181"/>
      <c r="B860" s="175"/>
      <c r="C860" s="146"/>
      <c r="D860" s="135"/>
      <c r="E860" s="8" t="s">
        <v>16</v>
      </c>
      <c r="F860" s="135"/>
      <c r="G860" s="135"/>
      <c r="H860" s="134"/>
      <c r="I860" s="135"/>
      <c r="J860" s="2"/>
    </row>
    <row r="861" spans="1:10" ht="15.5">
      <c r="A861" s="181"/>
      <c r="B861" s="176"/>
      <c r="C861" s="146"/>
      <c r="D861" s="135"/>
      <c r="E861" s="8" t="s">
        <v>16</v>
      </c>
      <c r="F861" s="135"/>
      <c r="G861" s="135"/>
      <c r="H861" s="134"/>
      <c r="I861" s="135"/>
      <c r="J861" s="2"/>
    </row>
    <row r="862" spans="1:10" ht="15.5">
      <c r="A862" s="181"/>
      <c r="B862" s="174" t="s">
        <v>1599</v>
      </c>
      <c r="C862" s="146"/>
      <c r="D862" s="135"/>
      <c r="E862" s="8" t="s">
        <v>16</v>
      </c>
      <c r="F862" s="135"/>
      <c r="G862" s="135"/>
      <c r="H862" s="134"/>
      <c r="I862" s="135"/>
      <c r="J862" s="2"/>
    </row>
    <row r="863" spans="1:10" ht="15.5">
      <c r="A863" s="181"/>
      <c r="B863" s="175"/>
      <c r="C863" s="146"/>
      <c r="D863" s="135"/>
      <c r="E863" s="8" t="s">
        <v>16</v>
      </c>
      <c r="F863" s="135"/>
      <c r="G863" s="135"/>
      <c r="H863" s="134"/>
      <c r="I863" s="135"/>
      <c r="J863" s="2"/>
    </row>
    <row r="864" spans="1:10" ht="15.5">
      <c r="A864" s="181"/>
      <c r="B864" s="175"/>
      <c r="C864" s="146"/>
      <c r="D864" s="135"/>
      <c r="E864" s="8" t="s">
        <v>16</v>
      </c>
      <c r="F864" s="135"/>
      <c r="G864" s="135"/>
      <c r="H864" s="134"/>
      <c r="I864" s="135"/>
      <c r="J864" s="2"/>
    </row>
    <row r="865" spans="1:10" ht="15.5">
      <c r="A865" s="181"/>
      <c r="B865" s="175"/>
      <c r="C865" s="146"/>
      <c r="D865" s="135"/>
      <c r="E865" s="8" t="s">
        <v>16</v>
      </c>
      <c r="F865" s="135"/>
      <c r="G865" s="135"/>
      <c r="H865" s="134"/>
      <c r="I865" s="135"/>
      <c r="J865" s="2"/>
    </row>
    <row r="866" spans="1:10" ht="15.5">
      <c r="A866" s="181"/>
      <c r="B866" s="176"/>
      <c r="C866" s="146"/>
      <c r="D866" s="135"/>
      <c r="E866" s="8" t="s">
        <v>16</v>
      </c>
      <c r="F866" s="135"/>
      <c r="G866" s="135"/>
      <c r="H866" s="134"/>
      <c r="I866" s="135"/>
      <c r="J866" s="2"/>
    </row>
    <row r="867" spans="1:10" ht="15.5">
      <c r="A867" s="181"/>
      <c r="B867" s="174" t="s">
        <v>1600</v>
      </c>
      <c r="C867" s="146"/>
      <c r="D867" s="135"/>
      <c r="E867" s="8" t="s">
        <v>16</v>
      </c>
      <c r="F867" s="135"/>
      <c r="G867" s="135"/>
      <c r="H867" s="134"/>
      <c r="I867" s="135"/>
      <c r="J867" s="2"/>
    </row>
    <row r="868" spans="1:10" ht="15.5">
      <c r="A868" s="181"/>
      <c r="B868" s="175"/>
      <c r="C868" s="146"/>
      <c r="D868" s="135"/>
      <c r="E868" s="8" t="s">
        <v>16</v>
      </c>
      <c r="F868" s="135"/>
      <c r="G868" s="135"/>
      <c r="H868" s="134"/>
      <c r="I868" s="135"/>
      <c r="J868" s="2"/>
    </row>
    <row r="869" spans="1:10" ht="15.5">
      <c r="A869" s="181"/>
      <c r="B869" s="175"/>
      <c r="C869" s="146"/>
      <c r="D869" s="135"/>
      <c r="E869" s="8" t="s">
        <v>16</v>
      </c>
      <c r="F869" s="135"/>
      <c r="G869" s="135"/>
      <c r="H869" s="134"/>
      <c r="I869" s="135"/>
      <c r="J869" s="2"/>
    </row>
    <row r="870" spans="1:10" ht="15.5">
      <c r="A870" s="181"/>
      <c r="B870" s="175"/>
      <c r="C870" s="146"/>
      <c r="D870" s="135"/>
      <c r="E870" s="8" t="s">
        <v>16</v>
      </c>
      <c r="F870" s="135"/>
      <c r="G870" s="135"/>
      <c r="H870" s="134"/>
      <c r="I870" s="135"/>
      <c r="J870" s="2"/>
    </row>
    <row r="871" spans="1:10" ht="15.5">
      <c r="A871" s="181"/>
      <c r="B871" s="176"/>
      <c r="C871" s="146"/>
      <c r="D871" s="135"/>
      <c r="E871" s="8" t="s">
        <v>16</v>
      </c>
      <c r="F871" s="135"/>
      <c r="G871" s="135"/>
      <c r="H871" s="134"/>
      <c r="I871" s="135"/>
      <c r="J871" s="2"/>
    </row>
    <row r="872" spans="1:10" ht="15.5">
      <c r="A872" s="181"/>
      <c r="B872" s="174" t="s">
        <v>1601</v>
      </c>
      <c r="C872" s="146"/>
      <c r="D872" s="135"/>
      <c r="E872" s="8" t="s">
        <v>16</v>
      </c>
      <c r="F872" s="135"/>
      <c r="G872" s="135"/>
      <c r="H872" s="134"/>
      <c r="I872" s="135"/>
      <c r="J872" s="2"/>
    </row>
    <row r="873" spans="1:10" ht="15.5">
      <c r="A873" s="181"/>
      <c r="B873" s="175"/>
      <c r="C873" s="146"/>
      <c r="D873" s="135"/>
      <c r="E873" s="8" t="s">
        <v>16</v>
      </c>
      <c r="F873" s="135"/>
      <c r="G873" s="135"/>
      <c r="H873" s="134"/>
      <c r="I873" s="135"/>
      <c r="J873" s="2"/>
    </row>
    <row r="874" spans="1:10" ht="15.5">
      <c r="A874" s="181"/>
      <c r="B874" s="175"/>
      <c r="C874" s="146"/>
      <c r="D874" s="135"/>
      <c r="E874" s="8" t="s">
        <v>16</v>
      </c>
      <c r="F874" s="135"/>
      <c r="G874" s="135"/>
      <c r="H874" s="134"/>
      <c r="I874" s="135"/>
      <c r="J874" s="2"/>
    </row>
    <row r="875" spans="1:10" ht="15.5">
      <c r="A875" s="181"/>
      <c r="B875" s="175"/>
      <c r="C875" s="146"/>
      <c r="D875" s="135"/>
      <c r="E875" s="8" t="s">
        <v>16</v>
      </c>
      <c r="F875" s="135"/>
      <c r="G875" s="135"/>
      <c r="H875" s="134"/>
      <c r="I875" s="135"/>
      <c r="J875" s="2"/>
    </row>
    <row r="876" spans="1:10" ht="15.5">
      <c r="A876" s="181"/>
      <c r="B876" s="176"/>
      <c r="C876" s="146"/>
      <c r="D876" s="135"/>
      <c r="E876" s="8" t="s">
        <v>16</v>
      </c>
      <c r="F876" s="135"/>
      <c r="G876" s="135"/>
      <c r="H876" s="134"/>
      <c r="I876" s="135"/>
      <c r="J876" s="2"/>
    </row>
    <row r="877" spans="1:10" ht="15.5">
      <c r="A877" s="181"/>
      <c r="B877" s="174" t="s">
        <v>1602</v>
      </c>
      <c r="C877" s="146"/>
      <c r="D877" s="135"/>
      <c r="E877" s="8" t="s">
        <v>16</v>
      </c>
      <c r="F877" s="135"/>
      <c r="G877" s="135"/>
      <c r="H877" s="134"/>
      <c r="I877" s="135"/>
      <c r="J877" s="2"/>
    </row>
    <row r="878" spans="1:10" ht="15.5">
      <c r="A878" s="181"/>
      <c r="B878" s="175"/>
      <c r="C878" s="146"/>
      <c r="D878" s="135"/>
      <c r="E878" s="8" t="s">
        <v>16</v>
      </c>
      <c r="F878" s="135"/>
      <c r="G878" s="135"/>
      <c r="H878" s="134"/>
      <c r="I878" s="135"/>
      <c r="J878" s="2"/>
    </row>
    <row r="879" spans="1:10" ht="15.5">
      <c r="A879" s="181"/>
      <c r="B879" s="175"/>
      <c r="C879" s="146"/>
      <c r="D879" s="135"/>
      <c r="E879" s="8" t="s">
        <v>16</v>
      </c>
      <c r="F879" s="135"/>
      <c r="G879" s="135"/>
      <c r="H879" s="134"/>
      <c r="I879" s="135"/>
      <c r="J879" s="2"/>
    </row>
    <row r="880" spans="1:10" ht="15.5">
      <c r="A880" s="181"/>
      <c r="B880" s="175"/>
      <c r="C880" s="146"/>
      <c r="D880" s="135"/>
      <c r="E880" s="8" t="s">
        <v>16</v>
      </c>
      <c r="F880" s="135"/>
      <c r="G880" s="135"/>
      <c r="H880" s="134"/>
      <c r="I880" s="135"/>
      <c r="J880" s="2"/>
    </row>
    <row r="881" spans="1:10" ht="15.5">
      <c r="A881" s="181"/>
      <c r="B881" s="176"/>
      <c r="C881" s="146"/>
      <c r="D881" s="135"/>
      <c r="E881" s="8" t="s">
        <v>16</v>
      </c>
      <c r="F881" s="135"/>
      <c r="G881" s="135"/>
      <c r="H881" s="134"/>
      <c r="I881" s="135"/>
      <c r="J881" s="2"/>
    </row>
    <row r="882" spans="1:10" ht="15.5">
      <c r="A882" s="181"/>
      <c r="B882" s="174" t="s">
        <v>1603</v>
      </c>
      <c r="C882" s="146"/>
      <c r="D882" s="135"/>
      <c r="E882" s="8" t="s">
        <v>16</v>
      </c>
      <c r="F882" s="135"/>
      <c r="G882" s="135"/>
      <c r="H882" s="134"/>
      <c r="I882" s="135"/>
      <c r="J882" s="2"/>
    </row>
    <row r="883" spans="1:10" ht="15.5">
      <c r="A883" s="181"/>
      <c r="B883" s="175"/>
      <c r="C883" s="146"/>
      <c r="D883" s="135"/>
      <c r="E883" s="8" t="s">
        <v>16</v>
      </c>
      <c r="F883" s="135"/>
      <c r="G883" s="135"/>
      <c r="H883" s="134"/>
      <c r="I883" s="135"/>
      <c r="J883" s="2"/>
    </row>
    <row r="884" spans="1:10" ht="15.5">
      <c r="A884" s="181"/>
      <c r="B884" s="175"/>
      <c r="C884" s="146" t="s">
        <v>1604</v>
      </c>
      <c r="D884" s="135"/>
      <c r="E884" s="8" t="s">
        <v>16</v>
      </c>
      <c r="F884" s="135"/>
      <c r="G884" s="135"/>
      <c r="H884" s="134"/>
      <c r="I884" s="135"/>
      <c r="J884" s="2"/>
    </row>
    <row r="885" spans="1:10" ht="15.5">
      <c r="A885" s="181"/>
      <c r="B885" s="175"/>
      <c r="C885" s="146"/>
      <c r="D885" s="135" t="s">
        <v>1605</v>
      </c>
      <c r="E885" s="8" t="s">
        <v>16</v>
      </c>
      <c r="F885" s="135"/>
      <c r="G885" s="135"/>
      <c r="H885" s="134"/>
      <c r="I885" s="135"/>
      <c r="J885" s="2"/>
    </row>
    <row r="886" spans="1:10" ht="16" thickBot="1">
      <c r="A886" s="181"/>
      <c r="B886" s="176"/>
      <c r="C886" s="146"/>
      <c r="D886" s="135"/>
      <c r="E886" s="8" t="s">
        <v>16</v>
      </c>
      <c r="F886" s="135" t="s">
        <v>1606</v>
      </c>
      <c r="G886" s="135" t="s">
        <v>1607</v>
      </c>
      <c r="H886" s="134" t="s">
        <v>213</v>
      </c>
      <c r="I886" s="135" t="s">
        <v>1608</v>
      </c>
      <c r="J886" s="2"/>
    </row>
    <row r="887" spans="1:10" ht="15.5">
      <c r="A887" s="183" t="s">
        <v>1609</v>
      </c>
      <c r="B887" s="174" t="s">
        <v>1610</v>
      </c>
      <c r="C887" s="146"/>
      <c r="D887" s="135"/>
      <c r="E887" s="8" t="s">
        <v>16</v>
      </c>
      <c r="F887" s="135"/>
      <c r="G887" s="135"/>
      <c r="H887" s="134"/>
      <c r="I887" s="135"/>
      <c r="J887" s="2"/>
    </row>
    <row r="888" spans="1:10" ht="15.5">
      <c r="A888" s="181"/>
      <c r="B888" s="175"/>
      <c r="C888" s="146"/>
      <c r="D888" s="135"/>
      <c r="E888" s="8" t="s">
        <v>16</v>
      </c>
      <c r="F888" s="135"/>
      <c r="G888" s="135"/>
      <c r="H888" s="134"/>
      <c r="I888" s="135"/>
      <c r="J888" s="2"/>
    </row>
    <row r="889" spans="1:10" ht="15.5">
      <c r="A889" s="181"/>
      <c r="B889" s="175"/>
      <c r="C889" s="146"/>
      <c r="D889" s="135"/>
      <c r="E889" s="8" t="s">
        <v>16</v>
      </c>
      <c r="F889" s="135"/>
      <c r="G889" s="135"/>
      <c r="H889" s="134"/>
      <c r="I889" s="135"/>
      <c r="J889" s="2"/>
    </row>
    <row r="890" spans="1:10" ht="15.5">
      <c r="A890" s="181"/>
      <c r="B890" s="175"/>
      <c r="C890" s="146"/>
      <c r="D890" s="135"/>
      <c r="E890" s="8" t="s">
        <v>16</v>
      </c>
      <c r="F890" s="135"/>
      <c r="G890" s="135"/>
      <c r="H890" s="134"/>
      <c r="I890" s="135"/>
      <c r="J890" s="2"/>
    </row>
    <row r="891" spans="1:10" ht="15.5">
      <c r="A891" s="181"/>
      <c r="B891" s="176"/>
      <c r="C891" s="146"/>
      <c r="D891" s="135"/>
      <c r="E891" s="8" t="s">
        <v>16</v>
      </c>
      <c r="F891" s="135"/>
      <c r="G891" s="135"/>
      <c r="H891" s="134"/>
      <c r="I891" s="135"/>
      <c r="J891" s="2"/>
    </row>
    <row r="892" spans="1:10" ht="15.5">
      <c r="A892" s="181"/>
      <c r="B892" s="174" t="s">
        <v>1611</v>
      </c>
      <c r="C892" s="146"/>
      <c r="D892" s="135"/>
      <c r="E892" s="8" t="s">
        <v>16</v>
      </c>
      <c r="F892" s="135"/>
      <c r="G892" s="135"/>
      <c r="H892" s="134"/>
      <c r="I892" s="135"/>
      <c r="J892" s="2"/>
    </row>
    <row r="893" spans="1:10" ht="15.5">
      <c r="A893" s="181"/>
      <c r="B893" s="175"/>
      <c r="C893" s="146"/>
      <c r="D893" s="135"/>
      <c r="E893" s="8" t="s">
        <v>16</v>
      </c>
      <c r="F893" s="135"/>
      <c r="G893" s="135"/>
      <c r="H893" s="134"/>
      <c r="I893" s="135"/>
      <c r="J893" s="2"/>
    </row>
    <row r="894" spans="1:10" ht="15.5">
      <c r="A894" s="181"/>
      <c r="B894" s="175"/>
      <c r="C894" s="146"/>
      <c r="D894" s="135"/>
      <c r="E894" s="8" t="s">
        <v>16</v>
      </c>
      <c r="F894" s="135"/>
      <c r="G894" s="135"/>
      <c r="H894" s="134"/>
      <c r="I894" s="135"/>
      <c r="J894" s="2"/>
    </row>
    <row r="895" spans="1:10" ht="15.5">
      <c r="A895" s="181"/>
      <c r="B895" s="175"/>
      <c r="C895" s="146"/>
      <c r="D895" s="135"/>
      <c r="E895" s="8" t="s">
        <v>16</v>
      </c>
      <c r="F895" s="135"/>
      <c r="G895" s="135"/>
      <c r="H895" s="134"/>
      <c r="I895" s="135"/>
      <c r="J895" s="2"/>
    </row>
    <row r="896" spans="1:10" ht="15.5">
      <c r="A896" s="181"/>
      <c r="B896" s="176"/>
      <c r="C896" s="146"/>
      <c r="D896" s="135"/>
      <c r="E896" s="8" t="s">
        <v>16</v>
      </c>
      <c r="F896" s="135"/>
      <c r="G896" s="135"/>
      <c r="H896" s="134"/>
      <c r="I896" s="135"/>
      <c r="J896" s="2"/>
    </row>
    <row r="897" spans="1:10" ht="15.5">
      <c r="A897" s="181"/>
      <c r="B897" s="174" t="s">
        <v>1612</v>
      </c>
      <c r="C897" s="146"/>
      <c r="D897" s="135"/>
      <c r="E897" s="8" t="s">
        <v>16</v>
      </c>
      <c r="F897" s="135"/>
      <c r="G897" s="135"/>
      <c r="H897" s="134"/>
      <c r="I897" s="135"/>
      <c r="J897" s="2"/>
    </row>
    <row r="898" spans="1:10" ht="15.5">
      <c r="A898" s="181"/>
      <c r="B898" s="175"/>
      <c r="C898" s="146"/>
      <c r="D898" s="135"/>
      <c r="E898" s="8" t="s">
        <v>16</v>
      </c>
      <c r="F898" s="135"/>
      <c r="G898" s="135"/>
      <c r="H898" s="134"/>
      <c r="I898" s="135"/>
      <c r="J898" s="2"/>
    </row>
    <row r="899" spans="1:10" ht="15.5">
      <c r="A899" s="181"/>
      <c r="B899" s="175"/>
      <c r="C899" s="146"/>
      <c r="D899" s="135"/>
      <c r="E899" s="8" t="s">
        <v>16</v>
      </c>
      <c r="F899" s="135"/>
      <c r="G899" s="135"/>
      <c r="H899" s="134"/>
      <c r="I899" s="135"/>
      <c r="J899" s="2"/>
    </row>
    <row r="900" spans="1:10" ht="15.5">
      <c r="A900" s="181"/>
      <c r="B900" s="175"/>
      <c r="C900" s="146"/>
      <c r="D900" s="135"/>
      <c r="E900" s="8" t="s">
        <v>16</v>
      </c>
      <c r="F900" s="135"/>
      <c r="G900" s="135"/>
      <c r="H900" s="134"/>
      <c r="I900" s="135"/>
      <c r="J900" s="2"/>
    </row>
    <row r="901" spans="1:10" ht="15.5">
      <c r="A901" s="181"/>
      <c r="B901" s="176"/>
      <c r="C901" s="146"/>
      <c r="D901" s="135"/>
      <c r="E901" s="8" t="s">
        <v>16</v>
      </c>
      <c r="F901" s="135"/>
      <c r="G901" s="135"/>
      <c r="H901" s="134"/>
      <c r="I901" s="135"/>
      <c r="J901" s="2"/>
    </row>
    <row r="902" spans="1:10" ht="15.5">
      <c r="A902" s="181"/>
      <c r="B902" s="174" t="s">
        <v>1613</v>
      </c>
      <c r="C902" s="146"/>
      <c r="D902" s="135"/>
      <c r="E902" s="8" t="s">
        <v>16</v>
      </c>
      <c r="F902" s="135"/>
      <c r="G902" s="135"/>
      <c r="H902" s="134"/>
      <c r="I902" s="135"/>
      <c r="J902" s="2"/>
    </row>
    <row r="903" spans="1:10" ht="15.5">
      <c r="A903" s="181"/>
      <c r="B903" s="175"/>
      <c r="C903" s="146"/>
      <c r="D903" s="135"/>
      <c r="E903" s="8" t="s">
        <v>16</v>
      </c>
      <c r="F903" s="135"/>
      <c r="G903" s="135"/>
      <c r="H903" s="134"/>
      <c r="I903" s="135"/>
      <c r="J903" s="2"/>
    </row>
    <row r="904" spans="1:10" ht="15.5">
      <c r="A904" s="181"/>
      <c r="B904" s="175"/>
      <c r="C904" s="146"/>
      <c r="D904" s="135"/>
      <c r="E904" s="8" t="s">
        <v>16</v>
      </c>
      <c r="F904" s="135"/>
      <c r="G904" s="135"/>
      <c r="H904" s="134"/>
      <c r="I904" s="135"/>
      <c r="J904" s="2"/>
    </row>
    <row r="905" spans="1:10" ht="15.5">
      <c r="A905" s="181"/>
      <c r="B905" s="175"/>
      <c r="C905" s="146"/>
      <c r="D905" s="135"/>
      <c r="E905" s="8" t="s">
        <v>16</v>
      </c>
      <c r="F905" s="135"/>
      <c r="G905" s="135"/>
      <c r="H905" s="134"/>
      <c r="I905" s="135"/>
      <c r="J905" s="2"/>
    </row>
    <row r="906" spans="1:10" ht="15.5">
      <c r="A906" s="181"/>
      <c r="B906" s="176"/>
      <c r="C906" s="146"/>
      <c r="D906" s="135"/>
      <c r="E906" s="8" t="s">
        <v>16</v>
      </c>
      <c r="F906" s="135"/>
      <c r="G906" s="135"/>
      <c r="H906" s="134"/>
      <c r="I906" s="135"/>
      <c r="J906" s="2"/>
    </row>
    <row r="907" spans="1:10" ht="15.5">
      <c r="A907" s="181"/>
      <c r="B907" s="174" t="s">
        <v>1614</v>
      </c>
      <c r="C907" s="146"/>
      <c r="D907" s="135"/>
      <c r="E907" s="8" t="s">
        <v>16</v>
      </c>
      <c r="F907" s="135"/>
      <c r="G907" s="135"/>
      <c r="H907" s="134"/>
      <c r="I907" s="135"/>
      <c r="J907" s="2"/>
    </row>
    <row r="908" spans="1:10" ht="15.5">
      <c r="A908" s="181"/>
      <c r="B908" s="175"/>
      <c r="C908" s="146"/>
      <c r="D908" s="135"/>
      <c r="E908" s="8" t="s">
        <v>16</v>
      </c>
      <c r="F908" s="135"/>
      <c r="G908" s="135"/>
      <c r="H908" s="134"/>
      <c r="I908" s="135"/>
      <c r="J908" s="2"/>
    </row>
    <row r="909" spans="1:10" ht="15.5">
      <c r="A909" s="181"/>
      <c r="B909" s="175"/>
      <c r="C909" s="146"/>
      <c r="D909" s="135"/>
      <c r="E909" s="8" t="s">
        <v>16</v>
      </c>
      <c r="F909" s="135"/>
      <c r="G909" s="135"/>
      <c r="H909" s="134"/>
      <c r="I909" s="135"/>
      <c r="J909" s="2"/>
    </row>
    <row r="910" spans="1:10" ht="15.5">
      <c r="A910" s="181"/>
      <c r="B910" s="175"/>
      <c r="C910" s="146"/>
      <c r="D910" s="135"/>
      <c r="E910" s="8" t="s">
        <v>16</v>
      </c>
      <c r="F910" s="135"/>
      <c r="G910" s="135"/>
      <c r="H910" s="134"/>
      <c r="I910" s="135"/>
      <c r="J910" s="2"/>
    </row>
    <row r="911" spans="1:10" ht="15.5">
      <c r="A911" s="181"/>
      <c r="B911" s="176"/>
      <c r="C911" s="146"/>
      <c r="D911" s="135"/>
      <c r="E911" s="8" t="s">
        <v>16</v>
      </c>
      <c r="F911" s="135"/>
      <c r="G911" s="135"/>
      <c r="H911" s="134"/>
      <c r="I911" s="135"/>
      <c r="J911" s="2"/>
    </row>
    <row r="912" spans="1:10" ht="15.5">
      <c r="A912" s="181"/>
      <c r="B912" s="174" t="s">
        <v>1615</v>
      </c>
      <c r="C912" s="146"/>
      <c r="D912" s="135"/>
      <c r="E912" s="8" t="s">
        <v>16</v>
      </c>
      <c r="F912" s="135"/>
      <c r="G912" s="135"/>
      <c r="H912" s="134"/>
      <c r="I912" s="135"/>
      <c r="J912" s="2"/>
    </row>
    <row r="913" spans="1:10" ht="15.5">
      <c r="A913" s="181"/>
      <c r="B913" s="175"/>
      <c r="C913" s="146"/>
      <c r="D913" s="135"/>
      <c r="E913" s="8" t="s">
        <v>16</v>
      </c>
      <c r="F913" s="135"/>
      <c r="G913" s="135"/>
      <c r="H913" s="134"/>
      <c r="I913" s="135"/>
      <c r="J913" s="2"/>
    </row>
    <row r="914" spans="1:10" ht="15.5">
      <c r="A914" s="181"/>
      <c r="B914" s="175"/>
      <c r="C914" s="146" t="s">
        <v>1616</v>
      </c>
      <c r="D914" s="135"/>
      <c r="E914" s="8" t="s">
        <v>16</v>
      </c>
      <c r="F914" s="135"/>
      <c r="G914" s="135"/>
      <c r="H914" s="134"/>
      <c r="I914" s="135"/>
      <c r="J914" s="2"/>
    </row>
    <row r="915" spans="1:10" ht="15.5">
      <c r="A915" s="181"/>
      <c r="B915" s="175"/>
      <c r="C915" s="146"/>
      <c r="D915" s="135" t="s">
        <v>1617</v>
      </c>
      <c r="E915" s="8" t="s">
        <v>16</v>
      </c>
      <c r="F915" s="135"/>
      <c r="G915" s="135"/>
      <c r="H915" s="134"/>
      <c r="I915" s="135"/>
      <c r="J915" s="2"/>
    </row>
    <row r="916" spans="1:10" ht="16" thickBot="1">
      <c r="A916" s="182"/>
      <c r="B916" s="176"/>
      <c r="C916" s="146"/>
      <c r="D916" s="135"/>
      <c r="E916" s="8" t="s">
        <v>16</v>
      </c>
      <c r="F916" s="135" t="s">
        <v>1619</v>
      </c>
      <c r="G916" s="135" t="s">
        <v>1620</v>
      </c>
      <c r="H916" s="134" t="s">
        <v>213</v>
      </c>
      <c r="I916" s="135" t="s">
        <v>1621</v>
      </c>
      <c r="J916" s="2"/>
    </row>
    <row r="917" spans="1:10" ht="15.5">
      <c r="A917" s="181" t="s">
        <v>1622</v>
      </c>
      <c r="B917" s="174" t="s">
        <v>1623</v>
      </c>
      <c r="C917" s="146"/>
      <c r="D917" s="135"/>
      <c r="E917" s="8" t="s">
        <v>16</v>
      </c>
      <c r="F917" s="135"/>
      <c r="G917" s="135"/>
      <c r="H917" s="134"/>
      <c r="I917" s="135"/>
      <c r="J917" s="2"/>
    </row>
    <row r="918" spans="1:10" ht="15.5">
      <c r="A918" s="181"/>
      <c r="B918" s="175"/>
      <c r="C918" s="146"/>
      <c r="D918" s="135"/>
      <c r="E918" s="8" t="s">
        <v>16</v>
      </c>
      <c r="F918" s="135"/>
      <c r="G918" s="135"/>
      <c r="H918" s="134"/>
      <c r="I918" s="135"/>
      <c r="J918" s="2"/>
    </row>
    <row r="919" spans="1:10" ht="15.5">
      <c r="A919" s="181"/>
      <c r="B919" s="175"/>
      <c r="C919" s="146"/>
      <c r="D919" s="135"/>
      <c r="E919" s="8" t="s">
        <v>16</v>
      </c>
      <c r="F919" s="135"/>
      <c r="G919" s="135"/>
      <c r="H919" s="134"/>
      <c r="I919" s="135"/>
      <c r="J919" s="2"/>
    </row>
    <row r="920" spans="1:10" ht="15.5">
      <c r="A920" s="181"/>
      <c r="B920" s="175"/>
      <c r="C920" s="146"/>
      <c r="D920" s="135"/>
      <c r="E920" s="8" t="s">
        <v>16</v>
      </c>
      <c r="F920" s="135"/>
      <c r="G920" s="135"/>
      <c r="H920" s="134"/>
      <c r="I920" s="135"/>
      <c r="J920" s="2"/>
    </row>
    <row r="921" spans="1:10" ht="15.5">
      <c r="A921" s="181"/>
      <c r="B921" s="176"/>
      <c r="C921" s="146"/>
      <c r="D921" s="135"/>
      <c r="E921" s="8" t="s">
        <v>16</v>
      </c>
      <c r="F921" s="135"/>
      <c r="G921" s="135"/>
      <c r="H921" s="134"/>
      <c r="I921" s="135"/>
      <c r="J921" s="2"/>
    </row>
    <row r="922" spans="1:10" ht="15.5">
      <c r="A922" s="181"/>
      <c r="B922" s="174" t="s">
        <v>1624</v>
      </c>
      <c r="C922" s="146"/>
      <c r="D922" s="135"/>
      <c r="E922" s="8" t="s">
        <v>16</v>
      </c>
      <c r="F922" s="135"/>
      <c r="G922" s="135"/>
      <c r="H922" s="134"/>
      <c r="I922" s="135"/>
      <c r="J922" s="2"/>
    </row>
    <row r="923" spans="1:10" ht="15.5">
      <c r="A923" s="181"/>
      <c r="B923" s="175"/>
      <c r="C923" s="146"/>
      <c r="D923" s="135"/>
      <c r="E923" s="8" t="s">
        <v>16</v>
      </c>
      <c r="F923" s="135"/>
      <c r="G923" s="135"/>
      <c r="H923" s="134"/>
      <c r="I923" s="135"/>
      <c r="J923" s="2"/>
    </row>
    <row r="924" spans="1:10" ht="15.5">
      <c r="A924" s="181"/>
      <c r="B924" s="175"/>
      <c r="C924" s="146"/>
      <c r="D924" s="135"/>
      <c r="E924" s="8" t="s">
        <v>16</v>
      </c>
      <c r="F924" s="135"/>
      <c r="G924" s="135"/>
      <c r="H924" s="134"/>
      <c r="I924" s="135"/>
      <c r="J924" s="2"/>
    </row>
    <row r="925" spans="1:10" ht="15.5">
      <c r="A925" s="181"/>
      <c r="B925" s="175"/>
      <c r="C925" s="146"/>
      <c r="D925" s="135"/>
      <c r="E925" s="8" t="s">
        <v>16</v>
      </c>
      <c r="F925" s="135"/>
      <c r="G925" s="135"/>
      <c r="H925" s="134"/>
      <c r="I925" s="135"/>
      <c r="J925" s="2"/>
    </row>
    <row r="926" spans="1:10" ht="15.5">
      <c r="A926" s="181"/>
      <c r="B926" s="176"/>
      <c r="C926" s="146"/>
      <c r="D926" s="135"/>
      <c r="E926" s="8" t="s">
        <v>16</v>
      </c>
      <c r="F926" s="135"/>
      <c r="G926" s="135"/>
      <c r="H926" s="134"/>
      <c r="I926" s="135"/>
      <c r="J926" s="2"/>
    </row>
    <row r="927" spans="1:10" ht="15.5">
      <c r="A927" s="181"/>
      <c r="B927" s="174" t="s">
        <v>1625</v>
      </c>
      <c r="C927" s="146"/>
      <c r="D927" s="135"/>
      <c r="E927" s="8" t="s">
        <v>16</v>
      </c>
      <c r="F927" s="135"/>
      <c r="G927" s="135"/>
      <c r="H927" s="134"/>
      <c r="I927" s="135"/>
      <c r="J927" s="2"/>
    </row>
    <row r="928" spans="1:10" ht="15.5">
      <c r="A928" s="181"/>
      <c r="B928" s="175"/>
      <c r="C928" s="146"/>
      <c r="D928" s="135"/>
      <c r="E928" s="8" t="s">
        <v>16</v>
      </c>
      <c r="F928" s="135"/>
      <c r="G928" s="135"/>
      <c r="H928" s="134"/>
      <c r="I928" s="135"/>
      <c r="J928" s="2"/>
    </row>
    <row r="929" spans="1:10" ht="15.5">
      <c r="A929" s="181"/>
      <c r="B929" s="175"/>
      <c r="C929" s="146"/>
      <c r="D929" s="135"/>
      <c r="E929" s="8" t="s">
        <v>16</v>
      </c>
      <c r="F929" s="135"/>
      <c r="G929" s="135"/>
      <c r="H929" s="134"/>
      <c r="I929" s="135"/>
      <c r="J929" s="2"/>
    </row>
    <row r="930" spans="1:10" ht="15.5">
      <c r="A930" s="181"/>
      <c r="B930" s="175"/>
      <c r="C930" s="146"/>
      <c r="D930" s="135"/>
      <c r="E930" s="8" t="s">
        <v>16</v>
      </c>
      <c r="F930" s="135"/>
      <c r="G930" s="135"/>
      <c r="H930" s="134"/>
      <c r="I930" s="135"/>
      <c r="J930" s="2"/>
    </row>
    <row r="931" spans="1:10" ht="15.5">
      <c r="A931" s="181"/>
      <c r="B931" s="176"/>
      <c r="C931" s="146"/>
      <c r="D931" s="135"/>
      <c r="E931" s="8" t="s">
        <v>16</v>
      </c>
      <c r="F931" s="135"/>
      <c r="G931" s="135"/>
      <c r="H931" s="134"/>
      <c r="I931" s="135"/>
      <c r="J931" s="2"/>
    </row>
    <row r="932" spans="1:10" ht="15.5">
      <c r="A932" s="181"/>
      <c r="B932" s="174" t="s">
        <v>1626</v>
      </c>
      <c r="C932" s="146"/>
      <c r="D932" s="135"/>
      <c r="E932" s="8" t="s">
        <v>16</v>
      </c>
      <c r="F932" s="135"/>
      <c r="G932" s="135"/>
      <c r="H932" s="134"/>
      <c r="I932" s="135"/>
      <c r="J932" s="2"/>
    </row>
    <row r="933" spans="1:10" ht="15.5">
      <c r="A933" s="181"/>
      <c r="B933" s="175"/>
      <c r="C933" s="146"/>
      <c r="D933" s="135"/>
      <c r="E933" s="8" t="s">
        <v>16</v>
      </c>
      <c r="F933" s="135"/>
      <c r="G933" s="135"/>
      <c r="H933" s="134"/>
      <c r="I933" s="135"/>
      <c r="J933" s="2"/>
    </row>
    <row r="934" spans="1:10" ht="15.5">
      <c r="A934" s="181"/>
      <c r="B934" s="175"/>
      <c r="C934" s="146"/>
      <c r="D934" s="135"/>
      <c r="E934" s="8" t="s">
        <v>16</v>
      </c>
      <c r="F934" s="135"/>
      <c r="G934" s="135"/>
      <c r="H934" s="134"/>
      <c r="I934" s="135"/>
      <c r="J934" s="2"/>
    </row>
    <row r="935" spans="1:10" ht="15.5">
      <c r="A935" s="181"/>
      <c r="B935" s="175"/>
      <c r="C935" s="146"/>
      <c r="D935" s="135"/>
      <c r="E935" s="8" t="s">
        <v>16</v>
      </c>
      <c r="F935" s="135"/>
      <c r="G935" s="135"/>
      <c r="H935" s="134"/>
      <c r="I935" s="135"/>
      <c r="J935" s="2"/>
    </row>
    <row r="936" spans="1:10" ht="15.5">
      <c r="A936" s="181"/>
      <c r="B936" s="176"/>
      <c r="C936" s="146"/>
      <c r="D936" s="135"/>
      <c r="E936" s="8" t="s">
        <v>16</v>
      </c>
      <c r="F936" s="135"/>
      <c r="G936" s="135"/>
      <c r="H936" s="134"/>
      <c r="I936" s="135"/>
      <c r="J936" s="2"/>
    </row>
    <row r="937" spans="1:10" ht="15.5">
      <c r="A937" s="181"/>
      <c r="B937" s="174" t="s">
        <v>1627</v>
      </c>
      <c r="C937" s="146"/>
      <c r="D937" s="135"/>
      <c r="E937" s="8" t="s">
        <v>16</v>
      </c>
      <c r="F937" s="135"/>
      <c r="G937" s="135"/>
      <c r="H937" s="134"/>
      <c r="I937" s="135"/>
      <c r="J937" s="2"/>
    </row>
    <row r="938" spans="1:10" ht="15.5">
      <c r="A938" s="181"/>
      <c r="B938" s="175"/>
      <c r="C938" s="146"/>
      <c r="D938" s="135"/>
      <c r="E938" s="8" t="s">
        <v>16</v>
      </c>
      <c r="F938" s="135"/>
      <c r="G938" s="135"/>
      <c r="H938" s="134"/>
      <c r="I938" s="135"/>
      <c r="J938" s="2"/>
    </row>
    <row r="939" spans="1:10" ht="15.5">
      <c r="A939" s="181"/>
      <c r="B939" s="175"/>
      <c r="C939" s="146"/>
      <c r="D939" s="135"/>
      <c r="E939" s="8" t="s">
        <v>16</v>
      </c>
      <c r="F939" s="135"/>
      <c r="G939" s="135"/>
      <c r="H939" s="134"/>
      <c r="I939" s="135"/>
      <c r="J939" s="2"/>
    </row>
    <row r="940" spans="1:10" ht="15.5">
      <c r="A940" s="181"/>
      <c r="B940" s="175"/>
      <c r="C940" s="146"/>
      <c r="D940" s="135"/>
      <c r="E940" s="8" t="s">
        <v>16</v>
      </c>
      <c r="F940" s="135"/>
      <c r="G940" s="135"/>
      <c r="H940" s="134"/>
      <c r="I940" s="135"/>
      <c r="J940" s="2"/>
    </row>
    <row r="941" spans="1:10" ht="15.5">
      <c r="A941" s="181"/>
      <c r="B941" s="176"/>
      <c r="C941" s="146"/>
      <c r="D941" s="135"/>
      <c r="E941" s="8" t="s">
        <v>58</v>
      </c>
      <c r="F941" s="135"/>
      <c r="G941" s="135"/>
      <c r="H941" s="134"/>
      <c r="I941" s="135"/>
      <c r="J941" s="2"/>
    </row>
    <row r="942" spans="1:10" ht="15.5">
      <c r="A942" s="181"/>
      <c r="B942" s="174" t="s">
        <v>1628</v>
      </c>
      <c r="C942" s="146"/>
      <c r="D942" s="135"/>
      <c r="E942" s="8" t="s">
        <v>58</v>
      </c>
      <c r="F942" s="135"/>
      <c r="G942" s="135"/>
      <c r="H942" s="134"/>
      <c r="I942" s="135"/>
      <c r="J942" s="2"/>
    </row>
    <row r="943" spans="1:10" ht="15.5">
      <c r="A943" s="181"/>
      <c r="B943" s="175"/>
      <c r="C943" s="146"/>
      <c r="D943" s="135"/>
      <c r="E943" s="8" t="s">
        <v>58</v>
      </c>
      <c r="F943" s="135"/>
      <c r="G943" s="135"/>
      <c r="H943" s="134"/>
      <c r="I943" s="135"/>
      <c r="J943" s="2"/>
    </row>
    <row r="944" spans="1:10" ht="15.5">
      <c r="A944" s="181"/>
      <c r="B944" s="175"/>
      <c r="C944" s="146" t="s">
        <v>1629</v>
      </c>
      <c r="D944" s="135"/>
      <c r="E944" s="8" t="s">
        <v>58</v>
      </c>
      <c r="F944" s="135"/>
      <c r="G944" s="135"/>
      <c r="H944" s="134"/>
      <c r="I944" s="135"/>
      <c r="J944" s="2"/>
    </row>
    <row r="945" spans="1:10" ht="15.5">
      <c r="A945" s="181"/>
      <c r="B945" s="175"/>
      <c r="C945" s="152"/>
      <c r="D945" s="135" t="s">
        <v>1630</v>
      </c>
      <c r="E945" s="8" t="s">
        <v>58</v>
      </c>
      <c r="F945" s="135"/>
      <c r="G945" s="135"/>
      <c r="H945" s="134"/>
      <c r="I945" s="135"/>
      <c r="J945" s="2"/>
    </row>
    <row r="946" spans="1:10" ht="16" thickBot="1">
      <c r="A946" s="182"/>
      <c r="B946" s="176"/>
      <c r="C946" s="152"/>
      <c r="D946" s="136"/>
      <c r="E946" s="8" t="s">
        <v>58</v>
      </c>
      <c r="F946" s="135" t="s">
        <v>1631</v>
      </c>
      <c r="G946" s="135" t="s">
        <v>1632</v>
      </c>
      <c r="H946" s="134" t="s">
        <v>213</v>
      </c>
      <c r="I946" s="135" t="s">
        <v>1633</v>
      </c>
      <c r="J946" s="2"/>
    </row>
    <row r="947" spans="1:10" ht="15.5">
      <c r="A947" s="181" t="s">
        <v>1634</v>
      </c>
      <c r="B947" s="174" t="s">
        <v>1635</v>
      </c>
      <c r="C947" s="152"/>
      <c r="D947" s="136"/>
      <c r="E947" s="113" t="s">
        <v>23</v>
      </c>
      <c r="F947" s="136"/>
      <c r="G947" s="136"/>
      <c r="H947" s="112"/>
      <c r="I947" s="136"/>
      <c r="J947" s="9"/>
    </row>
    <row r="948" spans="1:10" ht="15.5">
      <c r="A948" s="181"/>
      <c r="B948" s="175"/>
      <c r="C948" s="152"/>
      <c r="D948" s="136"/>
      <c r="E948" s="113" t="s">
        <v>23</v>
      </c>
      <c r="F948" s="136"/>
      <c r="G948" s="136"/>
      <c r="H948" s="112"/>
      <c r="I948" s="136"/>
      <c r="J948" s="9"/>
    </row>
    <row r="949" spans="1:10" ht="15.5">
      <c r="A949" s="181"/>
      <c r="B949" s="175"/>
      <c r="C949" s="152"/>
      <c r="D949" s="136"/>
      <c r="E949" s="113" t="s">
        <v>23</v>
      </c>
      <c r="F949" s="136"/>
      <c r="G949" s="136"/>
      <c r="H949" s="112"/>
      <c r="I949" s="136"/>
      <c r="J949" s="9"/>
    </row>
    <row r="950" spans="1:10" ht="15.5">
      <c r="A950" s="181"/>
      <c r="B950" s="175"/>
      <c r="C950" s="152"/>
      <c r="D950" s="136"/>
      <c r="E950" s="113" t="s">
        <v>23</v>
      </c>
      <c r="F950" s="136"/>
      <c r="G950" s="136"/>
      <c r="H950" s="112"/>
      <c r="I950" s="136"/>
      <c r="J950" s="9"/>
    </row>
    <row r="951" spans="1:10" ht="15.5">
      <c r="A951" s="181"/>
      <c r="B951" s="176"/>
      <c r="C951" s="152"/>
      <c r="D951" s="136"/>
      <c r="E951" s="113" t="s">
        <v>23</v>
      </c>
      <c r="F951" s="136"/>
      <c r="G951" s="136"/>
      <c r="H951" s="112"/>
      <c r="I951" s="136"/>
      <c r="J951" s="9"/>
    </row>
    <row r="952" spans="1:10" ht="15.5">
      <c r="A952" s="181"/>
      <c r="B952" s="174" t="s">
        <v>1636</v>
      </c>
      <c r="C952" s="152"/>
      <c r="D952" s="136"/>
      <c r="E952" s="113" t="s">
        <v>23</v>
      </c>
      <c r="F952" s="136"/>
      <c r="G952" s="136"/>
      <c r="H952" s="112"/>
      <c r="I952" s="136"/>
      <c r="J952" s="9"/>
    </row>
    <row r="953" spans="1:10" ht="15.5">
      <c r="A953" s="181"/>
      <c r="B953" s="175"/>
      <c r="C953" s="152"/>
      <c r="D953" s="136"/>
      <c r="E953" s="113" t="s">
        <v>23</v>
      </c>
      <c r="F953" s="136"/>
      <c r="G953" s="136"/>
      <c r="H953" s="112"/>
      <c r="I953" s="136"/>
      <c r="J953" s="9"/>
    </row>
    <row r="954" spans="1:10" ht="15.5">
      <c r="A954" s="181"/>
      <c r="B954" s="175"/>
      <c r="C954" s="152"/>
      <c r="D954" s="136"/>
      <c r="E954" s="113" t="s">
        <v>23</v>
      </c>
      <c r="F954" s="136"/>
      <c r="G954" s="136"/>
      <c r="H954" s="112"/>
      <c r="I954" s="136"/>
      <c r="J954" s="9"/>
    </row>
    <row r="955" spans="1:10" ht="15.5">
      <c r="A955" s="181"/>
      <c r="B955" s="175"/>
      <c r="C955" s="152"/>
      <c r="D955" s="136"/>
      <c r="E955" s="113" t="s">
        <v>23</v>
      </c>
      <c r="F955" s="136"/>
      <c r="G955" s="136"/>
      <c r="H955" s="112"/>
      <c r="I955" s="136"/>
      <c r="J955" s="9"/>
    </row>
    <row r="956" spans="1:10" ht="15.5">
      <c r="A956" s="181"/>
      <c r="B956" s="176"/>
      <c r="C956" s="152"/>
      <c r="D956" s="136"/>
      <c r="E956" s="113" t="s">
        <v>23</v>
      </c>
      <c r="F956" s="136"/>
      <c r="G956" s="136"/>
      <c r="H956" s="112"/>
      <c r="I956" s="136"/>
      <c r="J956" s="9"/>
    </row>
    <row r="957" spans="1:10" ht="15.5">
      <c r="A957" s="181"/>
      <c r="B957" s="174" t="s">
        <v>1637</v>
      </c>
      <c r="C957" s="152"/>
      <c r="D957" s="136"/>
      <c r="E957" s="113" t="s">
        <v>23</v>
      </c>
      <c r="F957" s="136"/>
      <c r="G957" s="136"/>
      <c r="H957" s="112"/>
      <c r="I957" s="136"/>
      <c r="J957" s="9"/>
    </row>
    <row r="958" spans="1:10" ht="15.5">
      <c r="A958" s="181"/>
      <c r="B958" s="175"/>
      <c r="C958" s="152"/>
      <c r="D958" s="136"/>
      <c r="E958" s="113" t="s">
        <v>23</v>
      </c>
      <c r="F958" s="136"/>
      <c r="G958" s="136"/>
      <c r="H958" s="112"/>
      <c r="I958" s="136"/>
      <c r="J958" s="9"/>
    </row>
    <row r="959" spans="1:10" ht="15.5">
      <c r="A959" s="181"/>
      <c r="B959" s="175"/>
      <c r="C959" s="152"/>
      <c r="D959" s="136"/>
      <c r="E959" s="113" t="s">
        <v>23</v>
      </c>
      <c r="F959" s="136"/>
      <c r="G959" s="136"/>
      <c r="H959" s="112"/>
      <c r="I959" s="136"/>
      <c r="J959" s="9"/>
    </row>
    <row r="960" spans="1:10" ht="15.5">
      <c r="A960" s="181"/>
      <c r="B960" s="175"/>
      <c r="C960" s="152"/>
      <c r="D960" s="136"/>
      <c r="E960" s="113" t="s">
        <v>23</v>
      </c>
      <c r="F960" s="136"/>
      <c r="G960" s="136"/>
      <c r="H960" s="112"/>
      <c r="I960" s="136"/>
      <c r="J960" s="9"/>
    </row>
    <row r="961" spans="1:10" ht="16" thickBot="1">
      <c r="A961" s="181"/>
      <c r="B961" s="176"/>
      <c r="C961" s="152"/>
      <c r="D961" s="136"/>
      <c r="E961" s="138" t="s">
        <v>16</v>
      </c>
      <c r="F961" s="136"/>
      <c r="G961" s="136"/>
      <c r="H961" s="112"/>
      <c r="I961" s="136"/>
      <c r="J961" s="9"/>
    </row>
    <row r="962" spans="1:10" ht="16" thickBot="1">
      <c r="A962" s="181"/>
      <c r="B962" s="174" t="s">
        <v>1638</v>
      </c>
      <c r="C962" s="152"/>
      <c r="D962" s="136"/>
      <c r="E962" s="138" t="s">
        <v>16</v>
      </c>
      <c r="F962" s="136"/>
      <c r="G962" s="136"/>
      <c r="H962" s="112"/>
      <c r="I962" s="136"/>
      <c r="J962" s="9"/>
    </row>
    <row r="963" spans="1:10" ht="16" thickBot="1">
      <c r="A963" s="181"/>
      <c r="B963" s="175"/>
      <c r="C963" s="152"/>
      <c r="D963" s="136"/>
      <c r="E963" s="138" t="s">
        <v>16</v>
      </c>
      <c r="F963" s="136"/>
      <c r="G963" s="136"/>
      <c r="H963" s="112"/>
      <c r="I963" s="136"/>
      <c r="J963" s="9"/>
    </row>
    <row r="964" spans="1:10" ht="16" thickBot="1">
      <c r="A964" s="181"/>
      <c r="B964" s="175"/>
      <c r="C964" s="152"/>
      <c r="D964" s="136"/>
      <c r="E964" s="138" t="s">
        <v>16</v>
      </c>
      <c r="F964" s="136"/>
      <c r="G964" s="136"/>
      <c r="H964" s="112"/>
      <c r="I964" s="136"/>
      <c r="J964" s="9"/>
    </row>
    <row r="965" spans="1:10" ht="16" thickBot="1">
      <c r="A965" s="181"/>
      <c r="B965" s="175"/>
      <c r="C965" s="152"/>
      <c r="D965" s="136"/>
      <c r="E965" s="138" t="s">
        <v>16</v>
      </c>
      <c r="F965" s="136"/>
      <c r="G965" s="136"/>
      <c r="H965" s="112"/>
      <c r="I965" s="136"/>
      <c r="J965" s="9"/>
    </row>
    <row r="966" spans="1:10" ht="16" thickBot="1">
      <c r="A966" s="181"/>
      <c r="B966" s="176"/>
      <c r="C966" s="152"/>
      <c r="D966" s="136"/>
      <c r="E966" s="138" t="s">
        <v>16</v>
      </c>
      <c r="F966" s="136"/>
      <c r="G966" s="136"/>
      <c r="H966" s="112"/>
      <c r="I966" s="136"/>
      <c r="J966" s="9"/>
    </row>
    <row r="967" spans="1:10" ht="16" thickBot="1">
      <c r="A967" s="181"/>
      <c r="B967" s="174" t="s">
        <v>1639</v>
      </c>
      <c r="C967" s="152"/>
      <c r="D967" s="136"/>
      <c r="E967" s="138" t="s">
        <v>16</v>
      </c>
      <c r="F967" s="136"/>
      <c r="G967" s="136"/>
      <c r="H967" s="112"/>
      <c r="I967" s="136"/>
      <c r="J967" s="9"/>
    </row>
    <row r="968" spans="1:10" ht="16" thickBot="1">
      <c r="A968" s="181"/>
      <c r="B968" s="175"/>
      <c r="C968" s="152"/>
      <c r="D968" s="136"/>
      <c r="E968" s="138" t="s">
        <v>16</v>
      </c>
      <c r="F968" s="136"/>
      <c r="G968" s="136"/>
      <c r="H968" s="112"/>
      <c r="I968" s="136"/>
      <c r="J968" s="9"/>
    </row>
    <row r="969" spans="1:10" ht="16" thickBot="1">
      <c r="A969" s="181"/>
      <c r="B969" s="175"/>
      <c r="C969" s="152"/>
      <c r="D969" s="136"/>
      <c r="E969" s="138" t="s">
        <v>16</v>
      </c>
      <c r="F969" s="136"/>
      <c r="G969" s="136"/>
      <c r="H969" s="112"/>
      <c r="I969" s="136"/>
      <c r="J969" s="9"/>
    </row>
    <row r="970" spans="1:10" ht="16" thickBot="1">
      <c r="A970" s="181"/>
      <c r="B970" s="175"/>
      <c r="C970" s="152"/>
      <c r="D970" s="136"/>
      <c r="E970" s="138" t="s">
        <v>16</v>
      </c>
      <c r="F970" s="136"/>
      <c r="G970" s="136"/>
      <c r="H970" s="112"/>
      <c r="I970" s="136"/>
      <c r="J970" s="9"/>
    </row>
    <row r="971" spans="1:10" ht="16" thickBot="1">
      <c r="A971" s="181"/>
      <c r="B971" s="176"/>
      <c r="C971" s="152"/>
      <c r="D971" s="136"/>
      <c r="E971" s="138" t="s">
        <v>16</v>
      </c>
      <c r="F971" s="136"/>
      <c r="G971" s="136"/>
      <c r="H971" s="112"/>
      <c r="I971" s="136"/>
      <c r="J971" s="9"/>
    </row>
    <row r="972" spans="1:10" ht="16" thickBot="1">
      <c r="A972" s="181"/>
      <c r="B972" s="174" t="s">
        <v>1640</v>
      </c>
      <c r="C972" s="152"/>
      <c r="D972" s="136"/>
      <c r="E972" s="138" t="s">
        <v>16</v>
      </c>
      <c r="F972" s="136"/>
      <c r="G972" s="136"/>
      <c r="H972" s="112"/>
      <c r="I972" s="136"/>
      <c r="J972" s="9"/>
    </row>
    <row r="973" spans="1:10" ht="16" thickBot="1">
      <c r="A973" s="181"/>
      <c r="B973" s="175"/>
      <c r="C973" s="152"/>
      <c r="D973" s="136"/>
      <c r="E973" s="138" t="s">
        <v>16</v>
      </c>
      <c r="F973" s="136"/>
      <c r="G973" s="136"/>
      <c r="H973" s="112"/>
      <c r="I973" s="136"/>
      <c r="J973" s="9"/>
    </row>
    <row r="974" spans="1:10" ht="16" thickBot="1">
      <c r="A974" s="181"/>
      <c r="B974" s="175"/>
      <c r="C974" s="152" t="s">
        <v>1641</v>
      </c>
      <c r="D974" s="136"/>
      <c r="E974" s="138" t="s">
        <v>16</v>
      </c>
      <c r="F974" s="136"/>
      <c r="G974" s="136"/>
      <c r="H974" s="112"/>
      <c r="I974" s="136"/>
      <c r="J974" s="9"/>
    </row>
    <row r="975" spans="1:10" ht="16" thickBot="1">
      <c r="A975" s="181"/>
      <c r="B975" s="175"/>
      <c r="C975" s="145"/>
      <c r="D975" s="137" t="s">
        <v>1642</v>
      </c>
      <c r="E975" s="138" t="s">
        <v>16</v>
      </c>
      <c r="F975" s="136"/>
      <c r="G975" s="136"/>
      <c r="H975" s="112"/>
      <c r="I975" s="136"/>
      <c r="J975" s="9"/>
    </row>
    <row r="976" spans="1:10" ht="16" thickBot="1">
      <c r="A976" s="181"/>
      <c r="B976" s="177"/>
      <c r="C976" s="145"/>
      <c r="D976" s="7"/>
      <c r="E976" s="138" t="s">
        <v>16</v>
      </c>
      <c r="F976" s="139" t="s">
        <v>1643</v>
      </c>
      <c r="G976" s="139" t="s">
        <v>1644</v>
      </c>
      <c r="H976" s="140" t="s">
        <v>26</v>
      </c>
      <c r="I976" s="139" t="s">
        <v>1645</v>
      </c>
      <c r="J976" s="3"/>
    </row>
    <row r="977" spans="1:11" ht="16" thickBot="1">
      <c r="A977" s="206" t="s">
        <v>1646</v>
      </c>
      <c r="B977" s="203" t="s">
        <v>1647</v>
      </c>
      <c r="C977" s="236" t="s">
        <v>1661</v>
      </c>
      <c r="D977" s="215" t="s">
        <v>1761</v>
      </c>
      <c r="E977" s="217" t="s">
        <v>1734</v>
      </c>
      <c r="F977" s="217" t="s">
        <v>16</v>
      </c>
      <c r="G977" s="242" t="s">
        <v>2064</v>
      </c>
      <c r="H977" s="243"/>
      <c r="I977" s="241"/>
      <c r="J977" s="240"/>
      <c r="K977" s="240"/>
    </row>
    <row r="978" spans="1:11" ht="16" thickBot="1">
      <c r="A978" s="207"/>
      <c r="B978" s="204"/>
      <c r="C978" s="236"/>
      <c r="D978" s="219" t="s">
        <v>1763</v>
      </c>
      <c r="E978" s="221" t="s">
        <v>1764</v>
      </c>
      <c r="F978" s="221" t="s">
        <v>23</v>
      </c>
      <c r="G978" s="242" t="s">
        <v>2065</v>
      </c>
      <c r="H978" s="243"/>
      <c r="I978" s="241"/>
      <c r="J978" s="240"/>
      <c r="K978" s="240"/>
    </row>
    <row r="979" spans="1:11" ht="16" thickBot="1">
      <c r="A979" s="207"/>
      <c r="B979" s="204"/>
      <c r="C979" s="236"/>
      <c r="D979" s="219" t="s">
        <v>1766</v>
      </c>
      <c r="E979" s="221" t="s">
        <v>1767</v>
      </c>
      <c r="F979" s="221" t="s">
        <v>58</v>
      </c>
      <c r="G979" s="242" t="s">
        <v>2066</v>
      </c>
      <c r="H979" s="243"/>
      <c r="I979" s="241"/>
      <c r="J979" s="240"/>
      <c r="K979" s="240"/>
    </row>
    <row r="980" spans="1:11" ht="16" thickBot="1">
      <c r="A980" s="207"/>
      <c r="B980" s="204"/>
      <c r="C980" s="236"/>
      <c r="D980" s="219" t="s">
        <v>1769</v>
      </c>
      <c r="E980" s="221" t="s">
        <v>1770</v>
      </c>
      <c r="F980" s="221" t="s">
        <v>16</v>
      </c>
      <c r="G980" s="242" t="s">
        <v>2067</v>
      </c>
      <c r="H980" s="243"/>
      <c r="I980" s="241"/>
      <c r="J980" s="240"/>
      <c r="K980" s="240"/>
    </row>
    <row r="981" spans="1:11" ht="16" thickBot="1">
      <c r="A981" s="207"/>
      <c r="B981" s="204"/>
      <c r="C981" s="236"/>
      <c r="D981" s="219" t="s">
        <v>1772</v>
      </c>
      <c r="E981" s="221" t="s">
        <v>1773</v>
      </c>
      <c r="F981" s="221" t="s">
        <v>23</v>
      </c>
      <c r="G981" s="242" t="s">
        <v>2068</v>
      </c>
      <c r="H981" s="243"/>
      <c r="I981" s="241"/>
      <c r="J981" s="240"/>
      <c r="K981" s="240"/>
    </row>
    <row r="982" spans="1:11" ht="16" thickBot="1">
      <c r="A982" s="207"/>
      <c r="B982" s="204"/>
      <c r="C982" s="236" t="s">
        <v>1662</v>
      </c>
      <c r="D982" s="219" t="s">
        <v>1775</v>
      </c>
      <c r="E982" s="221" t="s">
        <v>1776</v>
      </c>
      <c r="F982" s="221" t="s">
        <v>23</v>
      </c>
      <c r="G982" s="242" t="s">
        <v>1783</v>
      </c>
      <c r="H982" s="243"/>
      <c r="I982" s="241"/>
      <c r="J982" s="240"/>
      <c r="K982" s="240"/>
    </row>
    <row r="983" spans="1:11" ht="16" thickBot="1">
      <c r="A983" s="207"/>
      <c r="B983" s="204"/>
      <c r="C983" s="236"/>
      <c r="D983" s="219" t="s">
        <v>1778</v>
      </c>
      <c r="E983" s="221" t="s">
        <v>1779</v>
      </c>
      <c r="F983" s="221" t="s">
        <v>16</v>
      </c>
      <c r="G983" s="242" t="s">
        <v>2069</v>
      </c>
      <c r="H983" s="243"/>
      <c r="I983" s="241"/>
      <c r="J983" s="240"/>
      <c r="K983" s="240"/>
    </row>
    <row r="984" spans="1:11" ht="16" thickBot="1">
      <c r="A984" s="207"/>
      <c r="B984" s="204"/>
      <c r="C984" s="236"/>
      <c r="D984" s="219" t="s">
        <v>1781</v>
      </c>
      <c r="E984" s="221" t="s">
        <v>1782</v>
      </c>
      <c r="F984" s="221" t="s">
        <v>58</v>
      </c>
      <c r="G984" s="242" t="s">
        <v>1803</v>
      </c>
      <c r="H984" s="243"/>
      <c r="I984" s="241"/>
      <c r="J984" s="240"/>
      <c r="K984" s="240"/>
    </row>
    <row r="985" spans="1:11" ht="16" thickBot="1">
      <c r="A985" s="207"/>
      <c r="B985" s="204"/>
      <c r="C985" s="236"/>
      <c r="D985" s="219" t="s">
        <v>1784</v>
      </c>
      <c r="E985" s="221" t="s">
        <v>1785</v>
      </c>
      <c r="F985" s="221" t="s">
        <v>16</v>
      </c>
      <c r="G985" s="242" t="s">
        <v>2070</v>
      </c>
      <c r="H985" s="243"/>
      <c r="I985" s="241"/>
      <c r="J985" s="240"/>
      <c r="K985" s="240"/>
    </row>
    <row r="986" spans="1:11" ht="16" thickBot="1">
      <c r="A986" s="207"/>
      <c r="B986" s="204"/>
      <c r="C986" s="236"/>
      <c r="D986" s="219" t="s">
        <v>1787</v>
      </c>
      <c r="E986" s="221" t="s">
        <v>1788</v>
      </c>
      <c r="F986" s="221" t="s">
        <v>23</v>
      </c>
      <c r="G986" s="242" t="s">
        <v>2071</v>
      </c>
      <c r="H986" s="243"/>
      <c r="I986" s="241"/>
      <c r="J986" s="240"/>
      <c r="K986" s="240"/>
    </row>
    <row r="987" spans="1:11" ht="16" thickBot="1">
      <c r="A987" s="207"/>
      <c r="B987" s="204"/>
      <c r="C987" s="236" t="s">
        <v>1663</v>
      </c>
      <c r="D987" s="219" t="s">
        <v>1789</v>
      </c>
      <c r="E987" s="221" t="s">
        <v>1790</v>
      </c>
      <c r="F987" s="221" t="s">
        <v>16</v>
      </c>
      <c r="G987" s="242" t="s">
        <v>2072</v>
      </c>
      <c r="H987" s="243"/>
      <c r="I987" s="241"/>
      <c r="J987" s="240"/>
      <c r="K987" s="240"/>
    </row>
    <row r="988" spans="1:11" ht="16" thickBot="1">
      <c r="A988" s="207"/>
      <c r="B988" s="204"/>
      <c r="C988" s="236"/>
      <c r="D988" s="219" t="s">
        <v>1791</v>
      </c>
      <c r="E988" s="221" t="s">
        <v>1792</v>
      </c>
      <c r="F988" s="221" t="s">
        <v>23</v>
      </c>
      <c r="G988" s="242" t="s">
        <v>1777</v>
      </c>
      <c r="H988" s="243"/>
      <c r="I988" s="241"/>
      <c r="J988" s="240"/>
      <c r="K988" s="240"/>
    </row>
    <row r="989" spans="1:11" ht="16" thickBot="1">
      <c r="A989" s="207"/>
      <c r="B989" s="204"/>
      <c r="C989" s="236"/>
      <c r="D989" s="219" t="s">
        <v>1794</v>
      </c>
      <c r="E989" s="221" t="s">
        <v>1795</v>
      </c>
      <c r="F989" s="221" t="s">
        <v>58</v>
      </c>
      <c r="G989" s="242" t="s">
        <v>2072</v>
      </c>
      <c r="H989" s="243"/>
      <c r="I989" s="241"/>
      <c r="J989" s="240"/>
      <c r="K989" s="240"/>
    </row>
    <row r="990" spans="1:11" ht="16" thickBot="1">
      <c r="A990" s="207"/>
      <c r="B990" s="204"/>
      <c r="C990" s="236"/>
      <c r="D990" s="219" t="s">
        <v>1797</v>
      </c>
      <c r="E990" s="221" t="s">
        <v>1798</v>
      </c>
      <c r="F990" s="221" t="s">
        <v>16</v>
      </c>
      <c r="G990" s="242" t="s">
        <v>2073</v>
      </c>
      <c r="H990" s="243"/>
      <c r="I990" s="241"/>
      <c r="J990" s="240"/>
      <c r="K990" s="240"/>
    </row>
    <row r="991" spans="1:11" ht="16" thickBot="1">
      <c r="A991" s="207"/>
      <c r="B991" s="204"/>
      <c r="C991" s="236"/>
      <c r="D991" s="219" t="s">
        <v>1799</v>
      </c>
      <c r="E991" s="221" t="s">
        <v>1800</v>
      </c>
      <c r="F991" s="221" t="s">
        <v>23</v>
      </c>
      <c r="G991" s="242" t="s">
        <v>2074</v>
      </c>
      <c r="H991" s="243"/>
      <c r="I991" s="241"/>
      <c r="J991" s="240"/>
      <c r="K991" s="240"/>
    </row>
    <row r="992" spans="1:11" ht="16" thickBot="1">
      <c r="A992" s="207"/>
      <c r="B992" s="204"/>
      <c r="C992" s="236" t="s">
        <v>1664</v>
      </c>
      <c r="D992" s="219" t="s">
        <v>1801</v>
      </c>
      <c r="E992" s="221" t="s">
        <v>1802</v>
      </c>
      <c r="F992" s="221" t="s">
        <v>23</v>
      </c>
      <c r="G992" s="242" t="s">
        <v>2075</v>
      </c>
      <c r="H992" s="243"/>
      <c r="I992" s="241"/>
      <c r="J992" s="240"/>
      <c r="K992" s="240"/>
    </row>
    <row r="993" spans="1:11" ht="16" thickBot="1">
      <c r="A993" s="207"/>
      <c r="B993" s="204"/>
      <c r="C993" s="236"/>
      <c r="D993" s="219" t="s">
        <v>1804</v>
      </c>
      <c r="E993" s="221" t="s">
        <v>1805</v>
      </c>
      <c r="F993" s="221" t="s">
        <v>16</v>
      </c>
      <c r="G993" s="242" t="s">
        <v>2076</v>
      </c>
      <c r="H993" s="243"/>
      <c r="I993" s="241"/>
      <c r="J993" s="240"/>
      <c r="K993" s="240"/>
    </row>
    <row r="994" spans="1:11" ht="16" thickBot="1">
      <c r="A994" s="207"/>
      <c r="B994" s="204"/>
      <c r="C994" s="236"/>
      <c r="D994" s="219" t="s">
        <v>1806</v>
      </c>
      <c r="E994" s="221" t="s">
        <v>1807</v>
      </c>
      <c r="F994" s="221" t="s">
        <v>16</v>
      </c>
      <c r="G994" s="242" t="s">
        <v>671</v>
      </c>
      <c r="H994" s="243"/>
      <c r="I994" s="241"/>
      <c r="J994" s="240"/>
      <c r="K994" s="240"/>
    </row>
    <row r="995" spans="1:11" ht="16" thickBot="1">
      <c r="A995" s="207"/>
      <c r="B995" s="204"/>
      <c r="C995" s="236"/>
      <c r="D995" s="219" t="s">
        <v>1808</v>
      </c>
      <c r="E995" s="221" t="s">
        <v>1809</v>
      </c>
      <c r="F995" s="221" t="s">
        <v>58</v>
      </c>
      <c r="G995" s="242" t="s">
        <v>2077</v>
      </c>
      <c r="H995" s="243"/>
      <c r="I995" s="241"/>
      <c r="J995" s="240"/>
      <c r="K995" s="240"/>
    </row>
    <row r="996" spans="1:11" ht="16" thickBot="1">
      <c r="A996" s="207"/>
      <c r="B996" s="204"/>
      <c r="C996" s="236"/>
      <c r="D996" s="222" t="s">
        <v>1810</v>
      </c>
      <c r="E996" s="223" t="s">
        <v>1811</v>
      </c>
      <c r="F996" s="221" t="s">
        <v>23</v>
      </c>
      <c r="G996" s="242" t="s">
        <v>2072</v>
      </c>
      <c r="H996" s="243"/>
      <c r="I996" s="241"/>
      <c r="J996" s="240"/>
      <c r="K996" s="240"/>
    </row>
    <row r="997" spans="1:11" ht="16" thickBot="1">
      <c r="A997" s="207"/>
      <c r="B997" s="204"/>
      <c r="C997" s="236" t="s">
        <v>1665</v>
      </c>
      <c r="D997" s="219" t="s">
        <v>1813</v>
      </c>
      <c r="E997" s="221" t="s">
        <v>1814</v>
      </c>
      <c r="F997" s="221" t="s">
        <v>23</v>
      </c>
      <c r="G997" s="242" t="s">
        <v>2076</v>
      </c>
      <c r="H997" s="243"/>
      <c r="I997" s="241"/>
      <c r="J997" s="240"/>
      <c r="K997" s="240"/>
    </row>
    <row r="998" spans="1:11" ht="16" thickBot="1">
      <c r="A998" s="207"/>
      <c r="B998" s="204"/>
      <c r="C998" s="236"/>
      <c r="D998" s="219" t="s">
        <v>1815</v>
      </c>
      <c r="E998" s="221" t="s">
        <v>1816</v>
      </c>
      <c r="F998" s="221" t="s">
        <v>16</v>
      </c>
      <c r="G998" s="242" t="s">
        <v>2078</v>
      </c>
      <c r="H998" s="243"/>
      <c r="I998" s="241"/>
      <c r="J998" s="240"/>
      <c r="K998" s="240"/>
    </row>
    <row r="999" spans="1:11" ht="16" thickBot="1">
      <c r="A999" s="207"/>
      <c r="B999" s="204"/>
      <c r="C999" s="236"/>
      <c r="D999" s="222" t="s">
        <v>1817</v>
      </c>
      <c r="E999" s="223" t="s">
        <v>1818</v>
      </c>
      <c r="F999" s="221" t="s">
        <v>58</v>
      </c>
      <c r="G999" s="242" t="s">
        <v>2068</v>
      </c>
      <c r="H999" s="243"/>
      <c r="I999" s="241"/>
      <c r="J999" s="240"/>
      <c r="K999" s="240"/>
    </row>
    <row r="1000" spans="1:11" ht="16" thickBot="1">
      <c r="A1000" s="207"/>
      <c r="B1000" s="204"/>
      <c r="C1000" s="236"/>
      <c r="D1000" s="222" t="s">
        <v>1819</v>
      </c>
      <c r="E1000" s="221" t="s">
        <v>1820</v>
      </c>
      <c r="F1000" s="221" t="s">
        <v>23</v>
      </c>
      <c r="G1000" s="242" t="s">
        <v>2078</v>
      </c>
      <c r="H1000" s="243"/>
      <c r="I1000" s="241"/>
      <c r="J1000" s="240"/>
      <c r="K1000" s="240"/>
    </row>
    <row r="1001" spans="1:11" ht="16" thickBot="1">
      <c r="A1001" s="207"/>
      <c r="B1001" s="205"/>
      <c r="C1001" s="236"/>
      <c r="D1001" s="219" t="s">
        <v>1822</v>
      </c>
      <c r="E1001" s="221" t="s">
        <v>1823</v>
      </c>
      <c r="F1001" s="221" t="s">
        <v>16</v>
      </c>
      <c r="G1001" s="242" t="s">
        <v>2079</v>
      </c>
      <c r="H1001" s="244"/>
      <c r="I1001" s="242"/>
      <c r="J1001" s="242"/>
      <c r="K1001" s="242"/>
    </row>
    <row r="1002" spans="1:11" ht="15" thickBot="1">
      <c r="A1002" s="207"/>
      <c r="B1002" s="203" t="s">
        <v>1648</v>
      </c>
      <c r="C1002" s="236" t="s">
        <v>1666</v>
      </c>
      <c r="D1002" s="214" t="s">
        <v>1824</v>
      </c>
      <c r="E1002" s="216" t="s">
        <v>1825</v>
      </c>
      <c r="F1002" s="216" t="s">
        <v>16</v>
      </c>
      <c r="G1002" s="242" t="s">
        <v>1768</v>
      </c>
      <c r="H1002" s="244"/>
      <c r="I1002" s="242"/>
      <c r="J1002" s="242"/>
      <c r="K1002" s="242"/>
    </row>
    <row r="1003" spans="1:11" ht="15" thickBot="1">
      <c r="A1003" s="207"/>
      <c r="B1003" s="204"/>
      <c r="C1003" s="236"/>
      <c r="D1003" s="218" t="s">
        <v>1826</v>
      </c>
      <c r="E1003" s="220" t="s">
        <v>1827</v>
      </c>
      <c r="F1003" s="220" t="s">
        <v>23</v>
      </c>
      <c r="G1003" s="242" t="s">
        <v>2079</v>
      </c>
      <c r="H1003" s="244"/>
      <c r="I1003" s="242"/>
      <c r="J1003" s="242"/>
      <c r="K1003" s="242"/>
    </row>
    <row r="1004" spans="1:11" ht="15" thickBot="1">
      <c r="A1004" s="207"/>
      <c r="B1004" s="204"/>
      <c r="C1004" s="236"/>
      <c r="D1004" s="218" t="s">
        <v>1828</v>
      </c>
      <c r="E1004" s="220" t="s">
        <v>1829</v>
      </c>
      <c r="F1004" s="220" t="s">
        <v>58</v>
      </c>
      <c r="G1004" s="242" t="s">
        <v>2078</v>
      </c>
      <c r="H1004" s="244"/>
      <c r="I1004" s="242"/>
      <c r="J1004" s="242"/>
      <c r="K1004" s="242"/>
    </row>
    <row r="1005" spans="1:11" ht="15" thickBot="1">
      <c r="A1005" s="207"/>
      <c r="B1005" s="204"/>
      <c r="C1005" s="236"/>
      <c r="D1005" s="218" t="s">
        <v>1830</v>
      </c>
      <c r="E1005" s="220" t="s">
        <v>1831</v>
      </c>
      <c r="F1005" s="220" t="s">
        <v>16</v>
      </c>
      <c r="G1005" s="242" t="s">
        <v>2079</v>
      </c>
      <c r="H1005" s="244"/>
      <c r="I1005" s="242"/>
      <c r="J1005" s="242"/>
      <c r="K1005" s="242"/>
    </row>
    <row r="1006" spans="1:11" ht="15" thickBot="1">
      <c r="A1006" s="207"/>
      <c r="B1006" s="204"/>
      <c r="C1006" s="236"/>
      <c r="D1006" s="218" t="s">
        <v>1832</v>
      </c>
      <c r="E1006" s="220" t="s">
        <v>1833</v>
      </c>
      <c r="F1006" s="220" t="s">
        <v>23</v>
      </c>
      <c r="G1006" s="242" t="s">
        <v>2080</v>
      </c>
      <c r="H1006" s="244"/>
      <c r="I1006" s="242"/>
      <c r="J1006" s="242"/>
      <c r="K1006" s="242"/>
    </row>
    <row r="1007" spans="1:11" ht="15" thickBot="1">
      <c r="A1007" s="207"/>
      <c r="B1007" s="204"/>
      <c r="C1007" s="236" t="s">
        <v>1667</v>
      </c>
      <c r="D1007" s="218" t="s">
        <v>1834</v>
      </c>
      <c r="E1007" s="220" t="s">
        <v>1835</v>
      </c>
      <c r="F1007" s="220" t="s">
        <v>16</v>
      </c>
      <c r="G1007" s="242" t="s">
        <v>2081</v>
      </c>
      <c r="H1007" s="244"/>
      <c r="I1007" s="242"/>
      <c r="J1007" s="242"/>
      <c r="K1007" s="242"/>
    </row>
    <row r="1008" spans="1:11" ht="15" thickBot="1">
      <c r="A1008" s="207"/>
      <c r="B1008" s="204"/>
      <c r="C1008" s="236"/>
      <c r="D1008" s="218" t="s">
        <v>1836</v>
      </c>
      <c r="E1008" s="220" t="s">
        <v>1837</v>
      </c>
      <c r="F1008" s="220" t="s">
        <v>23</v>
      </c>
      <c r="G1008" s="242" t="s">
        <v>2082</v>
      </c>
      <c r="H1008" s="244"/>
      <c r="I1008" s="242"/>
      <c r="J1008" s="242"/>
      <c r="K1008" s="242"/>
    </row>
    <row r="1009" spans="1:11" ht="15" thickBot="1">
      <c r="A1009" s="207"/>
      <c r="B1009" s="204"/>
      <c r="C1009" s="236"/>
      <c r="D1009" s="218" t="s">
        <v>1838</v>
      </c>
      <c r="E1009" s="220" t="s">
        <v>1839</v>
      </c>
      <c r="F1009" s="220" t="s">
        <v>58</v>
      </c>
      <c r="G1009" s="242" t="s">
        <v>1762</v>
      </c>
      <c r="H1009" s="244"/>
      <c r="I1009" s="242"/>
      <c r="J1009" s="242"/>
      <c r="K1009" s="242"/>
    </row>
    <row r="1010" spans="1:11" ht="15" thickBot="1">
      <c r="A1010" s="207"/>
      <c r="B1010" s="204"/>
      <c r="C1010" s="236"/>
      <c r="D1010" s="218" t="s">
        <v>1840</v>
      </c>
      <c r="E1010" s="220" t="s">
        <v>1841</v>
      </c>
      <c r="F1010" s="220" t="s">
        <v>16</v>
      </c>
      <c r="G1010" s="242" t="s">
        <v>2083</v>
      </c>
      <c r="H1010" s="244"/>
      <c r="I1010" s="242"/>
      <c r="J1010" s="242"/>
      <c r="K1010" s="242"/>
    </row>
    <row r="1011" spans="1:11" ht="15" thickBot="1">
      <c r="A1011" s="207"/>
      <c r="B1011" s="204"/>
      <c r="C1011" s="236"/>
      <c r="D1011" s="218" t="s">
        <v>1873</v>
      </c>
      <c r="E1011" s="220" t="s">
        <v>1842</v>
      </c>
      <c r="F1011" s="220" t="s">
        <v>23</v>
      </c>
      <c r="G1011" s="242" t="s">
        <v>646</v>
      </c>
      <c r="H1011" s="244"/>
      <c r="I1011" s="242"/>
      <c r="J1011" s="242"/>
      <c r="K1011" s="242"/>
    </row>
    <row r="1012" spans="1:11" ht="15" thickBot="1">
      <c r="A1012" s="207"/>
      <c r="B1012" s="204"/>
      <c r="C1012" s="236" t="s">
        <v>1668</v>
      </c>
      <c r="D1012" s="218" t="s">
        <v>1843</v>
      </c>
      <c r="E1012" s="220" t="s">
        <v>1844</v>
      </c>
      <c r="F1012" s="220" t="s">
        <v>16</v>
      </c>
      <c r="G1012" s="242" t="s">
        <v>2077</v>
      </c>
      <c r="H1012" s="244"/>
      <c r="I1012" s="242"/>
      <c r="J1012" s="242"/>
      <c r="K1012" s="242"/>
    </row>
    <row r="1013" spans="1:11" ht="15" thickBot="1">
      <c r="A1013" s="207"/>
      <c r="B1013" s="204"/>
      <c r="C1013" s="236"/>
      <c r="D1013" s="218" t="s">
        <v>1845</v>
      </c>
      <c r="E1013" s="220" t="s">
        <v>1846</v>
      </c>
      <c r="F1013" s="220" t="s">
        <v>23</v>
      </c>
      <c r="G1013" s="242" t="s">
        <v>2077</v>
      </c>
      <c r="H1013" s="244"/>
      <c r="I1013" s="242"/>
      <c r="J1013" s="242"/>
      <c r="K1013" s="242"/>
    </row>
    <row r="1014" spans="1:11" ht="15" thickBot="1">
      <c r="A1014" s="207"/>
      <c r="B1014" s="204"/>
      <c r="C1014" s="236"/>
      <c r="D1014" s="218" t="s">
        <v>1847</v>
      </c>
      <c r="E1014" s="220" t="s">
        <v>1848</v>
      </c>
      <c r="F1014" s="220" t="s">
        <v>58</v>
      </c>
      <c r="G1014" s="242" t="s">
        <v>2084</v>
      </c>
      <c r="H1014" s="244"/>
      <c r="I1014" s="242"/>
      <c r="J1014" s="242"/>
      <c r="K1014" s="242"/>
    </row>
    <row r="1015" spans="1:11" ht="15" thickBot="1">
      <c r="A1015" s="207"/>
      <c r="B1015" s="204"/>
      <c r="C1015" s="236"/>
      <c r="D1015" s="218" t="s">
        <v>1849</v>
      </c>
      <c r="E1015" s="220" t="s">
        <v>1850</v>
      </c>
      <c r="F1015" s="220" t="s">
        <v>16</v>
      </c>
      <c r="G1015" s="242" t="s">
        <v>2085</v>
      </c>
      <c r="H1015" s="244"/>
      <c r="I1015" s="242"/>
      <c r="J1015" s="242"/>
      <c r="K1015" s="242"/>
    </row>
    <row r="1016" spans="1:11" ht="15" thickBot="1">
      <c r="A1016" s="207"/>
      <c r="B1016" s="204"/>
      <c r="C1016" s="236"/>
      <c r="D1016" s="218" t="s">
        <v>1851</v>
      </c>
      <c r="E1016" s="220" t="s">
        <v>1852</v>
      </c>
      <c r="F1016" s="220" t="s">
        <v>23</v>
      </c>
      <c r="G1016" s="242" t="s">
        <v>2079</v>
      </c>
      <c r="H1016" s="244"/>
      <c r="I1016" s="242"/>
      <c r="J1016" s="242"/>
      <c r="K1016" s="242"/>
    </row>
    <row r="1017" spans="1:11" ht="15" thickBot="1">
      <c r="A1017" s="207"/>
      <c r="B1017" s="204"/>
      <c r="C1017" s="236" t="s">
        <v>1669</v>
      </c>
      <c r="D1017" s="218" t="s">
        <v>1853</v>
      </c>
      <c r="E1017" s="220" t="s">
        <v>1854</v>
      </c>
      <c r="F1017" s="220" t="s">
        <v>16</v>
      </c>
      <c r="G1017" s="242" t="s">
        <v>2085</v>
      </c>
      <c r="H1017" s="244"/>
      <c r="I1017" s="242"/>
      <c r="J1017" s="242"/>
      <c r="K1017" s="242"/>
    </row>
    <row r="1018" spans="1:11" ht="15" thickBot="1">
      <c r="A1018" s="207"/>
      <c r="B1018" s="204"/>
      <c r="C1018" s="236"/>
      <c r="D1018" s="218" t="s">
        <v>1855</v>
      </c>
      <c r="E1018" s="220" t="s">
        <v>1856</v>
      </c>
      <c r="F1018" s="220" t="s">
        <v>23</v>
      </c>
      <c r="G1018" s="242" t="s">
        <v>1768</v>
      </c>
      <c r="H1018" s="244"/>
      <c r="I1018" s="242"/>
      <c r="J1018" s="242"/>
      <c r="K1018" s="242"/>
    </row>
    <row r="1019" spans="1:11" ht="15" thickBot="1">
      <c r="A1019" s="207"/>
      <c r="B1019" s="204"/>
      <c r="C1019" s="236"/>
      <c r="D1019" s="218" t="s">
        <v>1857</v>
      </c>
      <c r="E1019" s="220" t="s">
        <v>1858</v>
      </c>
      <c r="F1019" s="220" t="s">
        <v>58</v>
      </c>
      <c r="G1019" s="242" t="s">
        <v>2065</v>
      </c>
      <c r="H1019" s="244"/>
      <c r="I1019" s="242"/>
      <c r="J1019" s="242"/>
      <c r="K1019" s="242"/>
    </row>
    <row r="1020" spans="1:11" ht="15" thickBot="1">
      <c r="A1020" s="207"/>
      <c r="B1020" s="204"/>
      <c r="C1020" s="236"/>
      <c r="D1020" s="218" t="s">
        <v>1859</v>
      </c>
      <c r="E1020" s="220" t="s">
        <v>1860</v>
      </c>
      <c r="F1020" s="220" t="s">
        <v>16</v>
      </c>
      <c r="G1020" s="242" t="s">
        <v>2080</v>
      </c>
      <c r="H1020" s="244"/>
      <c r="I1020" s="242"/>
      <c r="J1020" s="242"/>
      <c r="K1020" s="242"/>
    </row>
    <row r="1021" spans="1:11" ht="15" thickBot="1">
      <c r="A1021" s="207"/>
      <c r="B1021" s="204"/>
      <c r="C1021" s="236"/>
      <c r="D1021" s="218" t="s">
        <v>1861</v>
      </c>
      <c r="E1021" s="220" t="s">
        <v>1862</v>
      </c>
      <c r="F1021" s="220" t="s">
        <v>23</v>
      </c>
      <c r="G1021" s="242" t="s">
        <v>658</v>
      </c>
      <c r="H1021" s="244"/>
      <c r="I1021" s="242"/>
      <c r="J1021" s="242"/>
      <c r="K1021" s="242"/>
    </row>
    <row r="1022" spans="1:11" ht="15" thickBot="1">
      <c r="A1022" s="207"/>
      <c r="B1022" s="204"/>
      <c r="C1022" s="236" t="s">
        <v>1670</v>
      </c>
      <c r="D1022" s="218" t="s">
        <v>1863</v>
      </c>
      <c r="E1022" s="220" t="s">
        <v>1864</v>
      </c>
      <c r="F1022" s="220" t="s">
        <v>16</v>
      </c>
      <c r="G1022" s="242" t="s">
        <v>2082</v>
      </c>
      <c r="H1022" s="244"/>
      <c r="I1022" s="242"/>
      <c r="J1022" s="242"/>
      <c r="K1022" s="242"/>
    </row>
    <row r="1023" spans="1:11" ht="15" thickBot="1">
      <c r="A1023" s="207"/>
      <c r="B1023" s="204"/>
      <c r="C1023" s="236"/>
      <c r="D1023" s="218" t="s">
        <v>1865</v>
      </c>
      <c r="E1023" s="220" t="s">
        <v>1866</v>
      </c>
      <c r="F1023" s="220" t="s">
        <v>23</v>
      </c>
      <c r="G1023" s="242" t="s">
        <v>671</v>
      </c>
      <c r="H1023" s="244"/>
      <c r="I1023" s="242"/>
      <c r="J1023" s="242"/>
      <c r="K1023" s="242"/>
    </row>
    <row r="1024" spans="1:11" ht="15" thickBot="1">
      <c r="A1024" s="207"/>
      <c r="B1024" s="204"/>
      <c r="C1024" s="236"/>
      <c r="D1024" s="218" t="s">
        <v>1867</v>
      </c>
      <c r="E1024" s="220" t="s">
        <v>1868</v>
      </c>
      <c r="F1024" s="220" t="s">
        <v>58</v>
      </c>
      <c r="G1024" s="242" t="s">
        <v>2086</v>
      </c>
      <c r="H1024" s="244"/>
      <c r="I1024" s="242"/>
      <c r="J1024" s="242"/>
      <c r="K1024" s="242"/>
    </row>
    <row r="1025" spans="1:11" ht="15" thickBot="1">
      <c r="A1025" s="207"/>
      <c r="B1025" s="204"/>
      <c r="C1025" s="236"/>
      <c r="D1025" s="218" t="s">
        <v>1869</v>
      </c>
      <c r="E1025" s="220" t="s">
        <v>1870</v>
      </c>
      <c r="F1025" s="220" t="s">
        <v>16</v>
      </c>
      <c r="G1025" s="242" t="s">
        <v>2068</v>
      </c>
      <c r="H1025" s="244"/>
      <c r="I1025" s="242"/>
      <c r="J1025" s="242"/>
      <c r="K1025" s="242"/>
    </row>
    <row r="1026" spans="1:11" ht="15" thickBot="1">
      <c r="A1026" s="207"/>
      <c r="B1026" s="205"/>
      <c r="C1026" s="236"/>
      <c r="D1026" s="225" t="s">
        <v>1871</v>
      </c>
      <c r="E1026" s="226" t="s">
        <v>1872</v>
      </c>
      <c r="F1026" s="226" t="s">
        <v>23</v>
      </c>
      <c r="G1026" s="242" t="s">
        <v>2087</v>
      </c>
      <c r="H1026" s="244"/>
      <c r="I1026" s="242"/>
      <c r="J1026" s="242"/>
      <c r="K1026" s="242"/>
    </row>
    <row r="1027" spans="1:11" ht="15" thickBot="1">
      <c r="A1027" s="207"/>
      <c r="B1027" s="203" t="s">
        <v>1649</v>
      </c>
      <c r="C1027" s="236" t="s">
        <v>1671</v>
      </c>
      <c r="D1027" s="229" t="s">
        <v>1874</v>
      </c>
      <c r="E1027" s="232" t="s">
        <v>1875</v>
      </c>
      <c r="F1027" s="229" t="s">
        <v>16</v>
      </c>
      <c r="G1027" s="242" t="s">
        <v>658</v>
      </c>
      <c r="H1027" s="244"/>
      <c r="I1027" s="242"/>
      <c r="J1027" s="242"/>
      <c r="K1027" s="242"/>
    </row>
    <row r="1028" spans="1:11" ht="15" thickBot="1">
      <c r="A1028" s="207"/>
      <c r="B1028" s="204"/>
      <c r="C1028" s="236"/>
      <c r="D1028" s="229" t="s">
        <v>1876</v>
      </c>
      <c r="E1028" s="233" t="s">
        <v>1877</v>
      </c>
      <c r="F1028" s="229" t="s">
        <v>23</v>
      </c>
      <c r="G1028" s="242" t="s">
        <v>1765</v>
      </c>
      <c r="H1028" s="244"/>
      <c r="I1028" s="242"/>
      <c r="J1028" s="242"/>
      <c r="K1028" s="242"/>
    </row>
    <row r="1029" spans="1:11" ht="15" thickBot="1">
      <c r="A1029" s="207"/>
      <c r="B1029" s="204"/>
      <c r="C1029" s="236"/>
      <c r="D1029" s="229" t="s">
        <v>1878</v>
      </c>
      <c r="E1029" s="227" t="s">
        <v>1879</v>
      </c>
      <c r="F1029" s="229" t="s">
        <v>58</v>
      </c>
      <c r="G1029" s="242" t="s">
        <v>1762</v>
      </c>
      <c r="H1029" s="244"/>
      <c r="I1029" s="242"/>
      <c r="J1029" s="242"/>
      <c r="K1029" s="242"/>
    </row>
    <row r="1030" spans="1:11" ht="15" thickBot="1">
      <c r="A1030" s="207"/>
      <c r="B1030" s="204"/>
      <c r="C1030" s="236"/>
      <c r="D1030" s="229" t="s">
        <v>1880</v>
      </c>
      <c r="E1030" s="227" t="s">
        <v>1881</v>
      </c>
      <c r="F1030" s="229" t="s">
        <v>16</v>
      </c>
      <c r="G1030" s="242" t="s">
        <v>2077</v>
      </c>
      <c r="H1030" s="244"/>
      <c r="I1030" s="242"/>
      <c r="J1030" s="242"/>
      <c r="K1030" s="242"/>
    </row>
    <row r="1031" spans="1:11" ht="15" thickBot="1">
      <c r="A1031" s="207"/>
      <c r="B1031" s="204"/>
      <c r="C1031" s="236"/>
      <c r="D1031" s="229" t="s">
        <v>1882</v>
      </c>
      <c r="E1031" s="227" t="s">
        <v>1883</v>
      </c>
      <c r="F1031" s="227" t="s">
        <v>23</v>
      </c>
      <c r="G1031" s="242" t="s">
        <v>2077</v>
      </c>
      <c r="H1031" s="244"/>
      <c r="I1031" s="242"/>
      <c r="J1031" s="242"/>
      <c r="K1031" s="242"/>
    </row>
    <row r="1032" spans="1:11" ht="15" thickBot="1">
      <c r="A1032" s="207"/>
      <c r="B1032" s="204"/>
      <c r="C1032" s="236" t="s">
        <v>1672</v>
      </c>
      <c r="D1032" s="229" t="s">
        <v>1884</v>
      </c>
      <c r="E1032" s="227" t="s">
        <v>1885</v>
      </c>
      <c r="F1032" s="224" t="s">
        <v>23</v>
      </c>
      <c r="G1032" s="242" t="s">
        <v>2076</v>
      </c>
      <c r="H1032" s="244"/>
      <c r="I1032" s="242"/>
      <c r="J1032" s="242"/>
      <c r="K1032" s="242"/>
    </row>
    <row r="1033" spans="1:11" ht="15" thickBot="1">
      <c r="A1033" s="207"/>
      <c r="B1033" s="204"/>
      <c r="C1033" s="236"/>
      <c r="D1033" s="229" t="s">
        <v>1886</v>
      </c>
      <c r="E1033" s="227" t="s">
        <v>1887</v>
      </c>
      <c r="F1033" s="224" t="s">
        <v>16</v>
      </c>
      <c r="G1033" s="242" t="s">
        <v>2067</v>
      </c>
      <c r="H1033" s="244"/>
      <c r="I1033" s="242"/>
      <c r="J1033" s="242"/>
      <c r="K1033" s="242"/>
    </row>
    <row r="1034" spans="1:11" ht="15" thickBot="1">
      <c r="A1034" s="207"/>
      <c r="B1034" s="204"/>
      <c r="C1034" s="236"/>
      <c r="D1034" s="229" t="s">
        <v>1888</v>
      </c>
      <c r="E1034" s="227" t="s">
        <v>1889</v>
      </c>
      <c r="F1034" s="231" t="s">
        <v>58</v>
      </c>
      <c r="G1034" s="242" t="s">
        <v>2086</v>
      </c>
      <c r="H1034" s="244"/>
      <c r="I1034" s="242"/>
      <c r="J1034" s="242"/>
      <c r="K1034" s="242"/>
    </row>
    <row r="1035" spans="1:11" ht="15" thickBot="1">
      <c r="A1035" s="207"/>
      <c r="B1035" s="204"/>
      <c r="C1035" s="236"/>
      <c r="D1035" s="227" t="s">
        <v>1890</v>
      </c>
      <c r="E1035" s="227" t="s">
        <v>1891</v>
      </c>
      <c r="F1035" s="229" t="s">
        <v>16</v>
      </c>
      <c r="G1035" s="242" t="s">
        <v>2074</v>
      </c>
      <c r="H1035" s="244"/>
      <c r="I1035" s="242"/>
      <c r="J1035" s="242"/>
      <c r="K1035" s="242"/>
    </row>
    <row r="1036" spans="1:11" ht="15" thickBot="1">
      <c r="A1036" s="207"/>
      <c r="B1036" s="204"/>
      <c r="C1036" s="236"/>
      <c r="D1036" s="224" t="s">
        <v>1892</v>
      </c>
      <c r="E1036" s="227" t="s">
        <v>1893</v>
      </c>
      <c r="F1036" s="229" t="s">
        <v>23</v>
      </c>
      <c r="G1036" s="242" t="s">
        <v>1765</v>
      </c>
      <c r="H1036" s="244"/>
      <c r="I1036" s="242"/>
      <c r="J1036" s="242"/>
      <c r="K1036" s="242"/>
    </row>
    <row r="1037" spans="1:11" ht="15" thickBot="1">
      <c r="A1037" s="207"/>
      <c r="B1037" s="204"/>
      <c r="C1037" s="236" t="s">
        <v>1673</v>
      </c>
      <c r="D1037" s="224" t="s">
        <v>1894</v>
      </c>
      <c r="E1037" s="227" t="s">
        <v>1895</v>
      </c>
      <c r="F1037" s="227" t="s">
        <v>16</v>
      </c>
      <c r="G1037" s="242" t="s">
        <v>1777</v>
      </c>
      <c r="H1037" s="244"/>
      <c r="I1037" s="242"/>
      <c r="J1037" s="242"/>
      <c r="K1037" s="242"/>
    </row>
    <row r="1038" spans="1:11" ht="15" thickBot="1">
      <c r="A1038" s="207"/>
      <c r="B1038" s="204"/>
      <c r="C1038" s="236"/>
      <c r="D1038" s="224" t="s">
        <v>1896</v>
      </c>
      <c r="E1038" s="227" t="s">
        <v>1897</v>
      </c>
      <c r="F1038" s="224" t="s">
        <v>23</v>
      </c>
      <c r="G1038" s="242" t="s">
        <v>2084</v>
      </c>
      <c r="H1038" s="244"/>
      <c r="I1038" s="242"/>
      <c r="J1038" s="242"/>
      <c r="K1038" s="242"/>
    </row>
    <row r="1039" spans="1:11" ht="15" thickBot="1">
      <c r="A1039" s="207"/>
      <c r="B1039" s="204"/>
      <c r="C1039" s="236"/>
      <c r="D1039" s="231" t="s">
        <v>1898</v>
      </c>
      <c r="E1039" s="227" t="s">
        <v>1899</v>
      </c>
      <c r="F1039" s="224" t="s">
        <v>58</v>
      </c>
      <c r="G1039" s="242" t="s">
        <v>2088</v>
      </c>
      <c r="H1039" s="244"/>
      <c r="I1039" s="242"/>
      <c r="J1039" s="242"/>
      <c r="K1039" s="242"/>
    </row>
    <row r="1040" spans="1:11" ht="15" thickBot="1">
      <c r="A1040" s="207"/>
      <c r="B1040" s="204"/>
      <c r="C1040" s="236"/>
      <c r="D1040" s="229" t="s">
        <v>1900</v>
      </c>
      <c r="E1040" s="224" t="s">
        <v>1901</v>
      </c>
      <c r="F1040" s="224" t="s">
        <v>16</v>
      </c>
      <c r="G1040" s="242" t="s">
        <v>646</v>
      </c>
      <c r="H1040" s="244"/>
      <c r="I1040" s="242"/>
      <c r="J1040" s="242"/>
      <c r="K1040" s="242"/>
    </row>
    <row r="1041" spans="1:11" ht="15" thickBot="1">
      <c r="A1041" s="207"/>
      <c r="B1041" s="204"/>
      <c r="C1041" s="236"/>
      <c r="D1041" s="229" t="s">
        <v>1902</v>
      </c>
      <c r="E1041" s="224" t="s">
        <v>1903</v>
      </c>
      <c r="F1041" s="224" t="s">
        <v>23</v>
      </c>
      <c r="G1041" s="242" t="s">
        <v>1783</v>
      </c>
      <c r="H1041" s="244"/>
      <c r="I1041" s="242"/>
      <c r="J1041" s="242"/>
      <c r="K1041" s="242"/>
    </row>
    <row r="1042" spans="1:11" ht="15" thickBot="1">
      <c r="A1042" s="207"/>
      <c r="B1042" s="204"/>
      <c r="C1042" s="236" t="s">
        <v>1674</v>
      </c>
      <c r="D1042" s="229" t="s">
        <v>1904</v>
      </c>
      <c r="E1042" s="227" t="s">
        <v>1905</v>
      </c>
      <c r="F1042" s="224" t="s">
        <v>16</v>
      </c>
      <c r="G1042" s="242" t="s">
        <v>671</v>
      </c>
      <c r="H1042" s="244"/>
      <c r="I1042" s="242"/>
      <c r="J1042" s="242"/>
      <c r="K1042" s="242"/>
    </row>
    <row r="1043" spans="1:11" ht="15" thickBot="1">
      <c r="A1043" s="207"/>
      <c r="B1043" s="204"/>
      <c r="C1043" s="236"/>
      <c r="D1043" s="229" t="s">
        <v>1906</v>
      </c>
      <c r="E1043" s="234" t="s">
        <v>1907</v>
      </c>
      <c r="F1043" s="224" t="s">
        <v>23</v>
      </c>
      <c r="G1043" s="242" t="s">
        <v>2079</v>
      </c>
      <c r="H1043" s="244"/>
      <c r="I1043" s="242"/>
      <c r="J1043" s="242"/>
      <c r="K1043" s="242"/>
    </row>
    <row r="1044" spans="1:11" ht="15" thickBot="1">
      <c r="A1044" s="207"/>
      <c r="B1044" s="204"/>
      <c r="C1044" s="236"/>
      <c r="D1044" s="229" t="s">
        <v>1908</v>
      </c>
      <c r="E1044" s="227" t="s">
        <v>1909</v>
      </c>
      <c r="F1044" s="235" t="s">
        <v>58</v>
      </c>
      <c r="G1044" s="242" t="s">
        <v>2071</v>
      </c>
      <c r="H1044" s="244"/>
      <c r="I1044" s="242"/>
      <c r="J1044" s="242"/>
      <c r="K1044" s="242"/>
    </row>
    <row r="1045" spans="1:11" ht="15" thickBot="1">
      <c r="A1045" s="207"/>
      <c r="B1045" s="204"/>
      <c r="C1045" s="236"/>
      <c r="D1045" s="229" t="s">
        <v>1910</v>
      </c>
      <c r="E1045" s="230" t="s">
        <v>1911</v>
      </c>
      <c r="F1045" s="229" t="s">
        <v>16</v>
      </c>
      <c r="G1045" s="242" t="s">
        <v>2080</v>
      </c>
      <c r="H1045" s="244"/>
      <c r="I1045" s="242"/>
      <c r="J1045" s="242"/>
      <c r="K1045" s="242"/>
    </row>
    <row r="1046" spans="1:11" ht="15" thickBot="1">
      <c r="A1046" s="207"/>
      <c r="B1046" s="204"/>
      <c r="C1046" s="236"/>
      <c r="D1046" s="227" t="s">
        <v>1912</v>
      </c>
      <c r="E1046" s="229" t="s">
        <v>1913</v>
      </c>
      <c r="F1046" s="229" t="s">
        <v>23</v>
      </c>
      <c r="G1046" s="242" t="s">
        <v>2085</v>
      </c>
      <c r="H1046" s="244"/>
      <c r="I1046" s="242"/>
      <c r="J1046" s="242"/>
      <c r="K1046" s="242"/>
    </row>
    <row r="1047" spans="1:11" ht="15" thickBot="1">
      <c r="A1047" s="207"/>
      <c r="B1047" s="204"/>
      <c r="C1047" s="236" t="s">
        <v>1675</v>
      </c>
      <c r="D1047" s="224" t="s">
        <v>1914</v>
      </c>
      <c r="E1047" s="229" t="s">
        <v>1915</v>
      </c>
      <c r="F1047" s="229" t="s">
        <v>16</v>
      </c>
      <c r="G1047" s="242" t="s">
        <v>2079</v>
      </c>
      <c r="H1047" s="244"/>
      <c r="I1047" s="242"/>
      <c r="J1047" s="242"/>
      <c r="K1047" s="242"/>
    </row>
    <row r="1048" spans="1:11" ht="15" thickBot="1">
      <c r="A1048" s="207"/>
      <c r="B1048" s="204"/>
      <c r="C1048" s="236"/>
      <c r="D1048" s="224" t="s">
        <v>1916</v>
      </c>
      <c r="E1048" s="227" t="s">
        <v>1917</v>
      </c>
      <c r="F1048" s="227" t="s">
        <v>23</v>
      </c>
      <c r="G1048" s="242" t="s">
        <v>2085</v>
      </c>
      <c r="H1048" s="244"/>
      <c r="I1048" s="242"/>
      <c r="J1048" s="242"/>
      <c r="K1048" s="242"/>
    </row>
    <row r="1049" spans="1:11" ht="15" thickBot="1">
      <c r="A1049" s="207"/>
      <c r="B1049" s="204"/>
      <c r="C1049" s="236"/>
      <c r="D1049" s="224" t="s">
        <v>1918</v>
      </c>
      <c r="E1049" s="224" t="s">
        <v>1919</v>
      </c>
      <c r="F1049" s="224" t="s">
        <v>58</v>
      </c>
      <c r="G1049" s="242" t="s">
        <v>2089</v>
      </c>
      <c r="H1049" s="244"/>
      <c r="I1049" s="242"/>
      <c r="J1049" s="242"/>
      <c r="K1049" s="242"/>
    </row>
    <row r="1050" spans="1:11" ht="15" thickBot="1">
      <c r="A1050" s="207"/>
      <c r="B1050" s="204"/>
      <c r="C1050" s="236"/>
      <c r="D1050" s="224" t="s">
        <v>1920</v>
      </c>
      <c r="E1050" s="224" t="s">
        <v>1921</v>
      </c>
      <c r="F1050" s="224" t="s">
        <v>16</v>
      </c>
      <c r="G1050" s="242" t="s">
        <v>2085</v>
      </c>
      <c r="H1050" s="244"/>
      <c r="I1050" s="242"/>
      <c r="J1050" s="242"/>
      <c r="K1050" s="242"/>
    </row>
    <row r="1051" spans="1:11" ht="15" thickBot="1">
      <c r="A1051" s="207"/>
      <c r="B1051" s="205"/>
      <c r="C1051" s="236"/>
      <c r="D1051" s="227" t="s">
        <v>1922</v>
      </c>
      <c r="E1051" s="228" t="s">
        <v>1923</v>
      </c>
      <c r="F1051" s="227" t="s">
        <v>23</v>
      </c>
      <c r="G1051" s="242" t="s">
        <v>2090</v>
      </c>
      <c r="H1051" s="244"/>
      <c r="I1051" s="242"/>
      <c r="J1051" s="242"/>
      <c r="K1051" s="242"/>
    </row>
    <row r="1052" spans="1:11" ht="15" thickBot="1">
      <c r="A1052" s="207"/>
      <c r="B1052" s="203" t="s">
        <v>1650</v>
      </c>
      <c r="C1052" s="236" t="s">
        <v>1676</v>
      </c>
      <c r="D1052" s="214" t="s">
        <v>1924</v>
      </c>
      <c r="E1052" s="220" t="s">
        <v>1925</v>
      </c>
      <c r="F1052" s="220" t="s">
        <v>16</v>
      </c>
      <c r="G1052" s="242" t="s">
        <v>1765</v>
      </c>
      <c r="H1052" s="244"/>
      <c r="I1052" s="242"/>
      <c r="J1052" s="242"/>
      <c r="K1052" s="242"/>
    </row>
    <row r="1053" spans="1:11" ht="15" thickBot="1">
      <c r="A1053" s="207"/>
      <c r="B1053" s="204"/>
      <c r="C1053" s="236"/>
      <c r="D1053" s="218" t="s">
        <v>1926</v>
      </c>
      <c r="E1053" s="220" t="s">
        <v>1927</v>
      </c>
      <c r="F1053" s="220" t="s">
        <v>23</v>
      </c>
      <c r="G1053" s="242" t="s">
        <v>2084</v>
      </c>
      <c r="H1053" s="244"/>
      <c r="I1053" s="242"/>
      <c r="J1053" s="242"/>
      <c r="K1053" s="242"/>
    </row>
    <row r="1054" spans="1:11" ht="15" thickBot="1">
      <c r="A1054" s="207"/>
      <c r="B1054" s="204"/>
      <c r="C1054" s="236"/>
      <c r="D1054" s="218" t="s">
        <v>1928</v>
      </c>
      <c r="E1054" s="220" t="s">
        <v>1929</v>
      </c>
      <c r="F1054" s="220" t="s">
        <v>58</v>
      </c>
      <c r="G1054" s="242" t="s">
        <v>2072</v>
      </c>
      <c r="H1054" s="244"/>
      <c r="I1054" s="242"/>
      <c r="J1054" s="242"/>
      <c r="K1054" s="242"/>
    </row>
    <row r="1055" spans="1:11" ht="15" thickBot="1">
      <c r="A1055" s="207"/>
      <c r="B1055" s="204"/>
      <c r="C1055" s="236"/>
      <c r="D1055" s="218" t="s">
        <v>1930</v>
      </c>
      <c r="E1055" s="220" t="s">
        <v>1931</v>
      </c>
      <c r="F1055" s="220" t="s">
        <v>16</v>
      </c>
      <c r="G1055" s="242" t="s">
        <v>2069</v>
      </c>
      <c r="H1055" s="244"/>
      <c r="I1055" s="242"/>
      <c r="J1055" s="242"/>
      <c r="K1055" s="242"/>
    </row>
    <row r="1056" spans="1:11" ht="15" thickBot="1">
      <c r="A1056" s="207"/>
      <c r="B1056" s="204"/>
      <c r="C1056" s="236"/>
      <c r="D1056" s="218" t="s">
        <v>1932</v>
      </c>
      <c r="E1056" s="220" t="s">
        <v>1933</v>
      </c>
      <c r="F1056" s="220" t="s">
        <v>23</v>
      </c>
      <c r="G1056" s="242" t="s">
        <v>2089</v>
      </c>
      <c r="H1056" s="244"/>
      <c r="I1056" s="242"/>
      <c r="J1056" s="242"/>
      <c r="K1056" s="242"/>
    </row>
    <row r="1057" spans="1:11" ht="15" thickBot="1">
      <c r="A1057" s="207"/>
      <c r="B1057" s="204"/>
      <c r="C1057" s="236" t="s">
        <v>1677</v>
      </c>
      <c r="D1057" s="218" t="s">
        <v>1934</v>
      </c>
      <c r="E1057" s="220" t="s">
        <v>1935</v>
      </c>
      <c r="F1057" s="220" t="s">
        <v>16</v>
      </c>
      <c r="G1057" s="242" t="s">
        <v>2064</v>
      </c>
      <c r="H1057" s="244"/>
      <c r="I1057" s="242"/>
      <c r="J1057" s="242"/>
      <c r="K1057" s="242"/>
    </row>
    <row r="1058" spans="1:11" ht="15" thickBot="1">
      <c r="A1058" s="207"/>
      <c r="B1058" s="204"/>
      <c r="C1058" s="236"/>
      <c r="D1058" s="218" t="s">
        <v>1936</v>
      </c>
      <c r="E1058" s="220" t="s">
        <v>1937</v>
      </c>
      <c r="F1058" s="220" t="s">
        <v>23</v>
      </c>
      <c r="G1058" s="242" t="s">
        <v>2090</v>
      </c>
      <c r="H1058" s="244"/>
      <c r="I1058" s="242"/>
      <c r="J1058" s="242"/>
      <c r="K1058" s="242"/>
    </row>
    <row r="1059" spans="1:11" ht="15" thickBot="1">
      <c r="A1059" s="207"/>
      <c r="B1059" s="204"/>
      <c r="C1059" s="236"/>
      <c r="D1059" s="218" t="s">
        <v>1938</v>
      </c>
      <c r="E1059" s="220" t="s">
        <v>1939</v>
      </c>
      <c r="F1059" s="220" t="s">
        <v>58</v>
      </c>
      <c r="G1059" s="242" t="s">
        <v>2086</v>
      </c>
      <c r="H1059" s="244"/>
      <c r="I1059" s="242"/>
      <c r="J1059" s="242"/>
      <c r="K1059" s="242"/>
    </row>
    <row r="1060" spans="1:11" ht="15" thickBot="1">
      <c r="A1060" s="207"/>
      <c r="B1060" s="204"/>
      <c r="C1060" s="236"/>
      <c r="D1060" s="218" t="s">
        <v>1940</v>
      </c>
      <c r="E1060" s="220" t="s">
        <v>1941</v>
      </c>
      <c r="F1060" s="220" t="s">
        <v>16</v>
      </c>
      <c r="G1060" s="242" t="s">
        <v>2069</v>
      </c>
      <c r="H1060" s="244"/>
      <c r="I1060" s="242"/>
      <c r="J1060" s="242"/>
      <c r="K1060" s="242"/>
    </row>
    <row r="1061" spans="1:11" ht="15" thickBot="1">
      <c r="A1061" s="207"/>
      <c r="B1061" s="204"/>
      <c r="C1061" s="236"/>
      <c r="D1061" s="224" t="s">
        <v>1942</v>
      </c>
      <c r="E1061" s="220" t="s">
        <v>1943</v>
      </c>
      <c r="F1061" s="220" t="s">
        <v>23</v>
      </c>
      <c r="G1061" s="242" t="s">
        <v>2078</v>
      </c>
      <c r="H1061" s="244"/>
      <c r="I1061" s="242"/>
      <c r="J1061" s="242"/>
      <c r="K1061" s="242"/>
    </row>
    <row r="1062" spans="1:11" ht="15" thickBot="1">
      <c r="A1062" s="207"/>
      <c r="B1062" s="204"/>
      <c r="C1062" s="236" t="s">
        <v>1678</v>
      </c>
      <c r="D1062" s="218" t="s">
        <v>1944</v>
      </c>
      <c r="E1062" s="220" t="s">
        <v>1945</v>
      </c>
      <c r="F1062" s="220" t="s">
        <v>23</v>
      </c>
      <c r="G1062" s="242" t="s">
        <v>1774</v>
      </c>
      <c r="H1062" s="244"/>
      <c r="I1062" s="242"/>
      <c r="J1062" s="242"/>
      <c r="K1062" s="242"/>
    </row>
    <row r="1063" spans="1:11" ht="15" thickBot="1">
      <c r="A1063" s="207"/>
      <c r="B1063" s="204"/>
      <c r="C1063" s="236"/>
      <c r="D1063" s="218" t="s">
        <v>1946</v>
      </c>
      <c r="E1063" s="220" t="s">
        <v>1947</v>
      </c>
      <c r="F1063" s="220" t="s">
        <v>16</v>
      </c>
      <c r="G1063" s="242" t="s">
        <v>2091</v>
      </c>
      <c r="H1063" s="244"/>
      <c r="I1063" s="242"/>
      <c r="J1063" s="242"/>
      <c r="K1063" s="242"/>
    </row>
    <row r="1064" spans="1:11" ht="15" thickBot="1">
      <c r="A1064" s="207"/>
      <c r="B1064" s="204"/>
      <c r="C1064" s="236"/>
      <c r="D1064" s="218" t="s">
        <v>1948</v>
      </c>
      <c r="E1064" s="220" t="s">
        <v>1949</v>
      </c>
      <c r="F1064" s="220" t="s">
        <v>58</v>
      </c>
      <c r="G1064" s="242" t="s">
        <v>2066</v>
      </c>
      <c r="H1064" s="244"/>
      <c r="I1064" s="242"/>
      <c r="J1064" s="242"/>
      <c r="K1064" s="242"/>
    </row>
    <row r="1065" spans="1:11" ht="15" thickBot="1">
      <c r="A1065" s="207"/>
      <c r="B1065" s="204"/>
      <c r="C1065" s="236"/>
      <c r="D1065" s="218" t="s">
        <v>1950</v>
      </c>
      <c r="E1065" s="220" t="s">
        <v>1951</v>
      </c>
      <c r="F1065" s="220" t="s">
        <v>16</v>
      </c>
      <c r="G1065" s="242" t="s">
        <v>2092</v>
      </c>
      <c r="H1065" s="244"/>
      <c r="I1065" s="242"/>
      <c r="J1065" s="242"/>
      <c r="K1065" s="242"/>
    </row>
    <row r="1066" spans="1:11" ht="15" thickBot="1">
      <c r="A1066" s="207"/>
      <c r="B1066" s="204"/>
      <c r="C1066" s="236"/>
      <c r="D1066" s="224" t="s">
        <v>1952</v>
      </c>
      <c r="E1066" s="220" t="s">
        <v>1953</v>
      </c>
      <c r="F1066" s="220" t="s">
        <v>23</v>
      </c>
      <c r="G1066" s="242" t="s">
        <v>2066</v>
      </c>
      <c r="H1066" s="244"/>
      <c r="I1066" s="242"/>
      <c r="J1066" s="242"/>
      <c r="K1066" s="242"/>
    </row>
    <row r="1067" spans="1:11" ht="15" thickBot="1">
      <c r="A1067" s="207"/>
      <c r="B1067" s="204"/>
      <c r="C1067" s="236" t="s">
        <v>1679</v>
      </c>
      <c r="D1067" s="218" t="s">
        <v>1954</v>
      </c>
      <c r="E1067" s="220" t="s">
        <v>1955</v>
      </c>
      <c r="F1067" s="220" t="s">
        <v>16</v>
      </c>
      <c r="G1067" s="242" t="s">
        <v>2089</v>
      </c>
      <c r="H1067" s="244"/>
      <c r="I1067" s="242"/>
      <c r="J1067" s="242"/>
      <c r="K1067" s="242"/>
    </row>
    <row r="1068" spans="1:11" ht="15" thickBot="1">
      <c r="A1068" s="207"/>
      <c r="B1068" s="204"/>
      <c r="C1068" s="236"/>
      <c r="D1068" s="218" t="s">
        <v>1956</v>
      </c>
      <c r="E1068" s="220" t="s">
        <v>1957</v>
      </c>
      <c r="F1068" s="220" t="s">
        <v>23</v>
      </c>
      <c r="G1068" s="242" t="s">
        <v>2078</v>
      </c>
      <c r="H1068" s="244"/>
      <c r="I1068" s="242"/>
      <c r="J1068" s="242"/>
      <c r="K1068" s="242"/>
    </row>
    <row r="1069" spans="1:11" ht="15" thickBot="1">
      <c r="A1069" s="207"/>
      <c r="B1069" s="204"/>
      <c r="C1069" s="236"/>
      <c r="D1069" s="218" t="s">
        <v>1958</v>
      </c>
      <c r="E1069" s="220" t="s">
        <v>1959</v>
      </c>
      <c r="F1069" s="220" t="s">
        <v>58</v>
      </c>
      <c r="G1069" s="242" t="s">
        <v>2064</v>
      </c>
      <c r="H1069" s="244"/>
      <c r="I1069" s="242"/>
      <c r="J1069" s="242"/>
      <c r="K1069" s="242"/>
    </row>
    <row r="1070" spans="1:11" ht="15" thickBot="1">
      <c r="A1070" s="207"/>
      <c r="B1070" s="204"/>
      <c r="C1070" s="236"/>
      <c r="D1070" s="218" t="s">
        <v>1960</v>
      </c>
      <c r="E1070" s="220" t="s">
        <v>1961</v>
      </c>
      <c r="F1070" s="220" t="s">
        <v>16</v>
      </c>
      <c r="G1070" s="242" t="s">
        <v>2075</v>
      </c>
      <c r="H1070" s="244"/>
      <c r="I1070" s="242"/>
      <c r="J1070" s="242"/>
      <c r="K1070" s="242"/>
    </row>
    <row r="1071" spans="1:11" ht="15" thickBot="1">
      <c r="A1071" s="207"/>
      <c r="B1071" s="204"/>
      <c r="C1071" s="236"/>
      <c r="D1071" s="218" t="s">
        <v>1962</v>
      </c>
      <c r="E1071" s="220" t="s">
        <v>1963</v>
      </c>
      <c r="F1071" s="220" t="s">
        <v>23</v>
      </c>
      <c r="G1071" s="242" t="s">
        <v>2081</v>
      </c>
      <c r="H1071" s="244"/>
      <c r="I1071" s="242"/>
      <c r="J1071" s="242"/>
      <c r="K1071" s="242"/>
    </row>
    <row r="1072" spans="1:11" ht="15" thickBot="1">
      <c r="A1072" s="207"/>
      <c r="B1072" s="204"/>
      <c r="C1072" s="236" t="s">
        <v>1680</v>
      </c>
      <c r="D1072" s="218" t="s">
        <v>1964</v>
      </c>
      <c r="E1072" s="220" t="s">
        <v>1965</v>
      </c>
      <c r="F1072" s="220" t="s">
        <v>16</v>
      </c>
      <c r="G1072" s="242" t="s">
        <v>2078</v>
      </c>
      <c r="H1072" s="244"/>
      <c r="I1072" s="242"/>
      <c r="J1072" s="242"/>
      <c r="K1072" s="242"/>
    </row>
    <row r="1073" spans="1:11" ht="15" thickBot="1">
      <c r="A1073" s="207"/>
      <c r="B1073" s="204"/>
      <c r="C1073" s="236"/>
      <c r="D1073" s="218" t="s">
        <v>1966</v>
      </c>
      <c r="E1073" s="220" t="s">
        <v>1967</v>
      </c>
      <c r="F1073" s="220" t="s">
        <v>23</v>
      </c>
      <c r="G1073" s="242" t="s">
        <v>2072</v>
      </c>
      <c r="H1073" s="244"/>
      <c r="I1073" s="242"/>
      <c r="J1073" s="242"/>
      <c r="K1073" s="242"/>
    </row>
    <row r="1074" spans="1:11" ht="15" thickBot="1">
      <c r="A1074" s="207"/>
      <c r="B1074" s="204"/>
      <c r="C1074" s="236"/>
      <c r="D1074" s="218" t="s">
        <v>1968</v>
      </c>
      <c r="E1074" s="220" t="s">
        <v>1969</v>
      </c>
      <c r="F1074" s="220" t="s">
        <v>58</v>
      </c>
      <c r="G1074" s="242" t="s">
        <v>2093</v>
      </c>
      <c r="H1074" s="244"/>
      <c r="I1074" s="242"/>
      <c r="J1074" s="242"/>
      <c r="K1074" s="242"/>
    </row>
    <row r="1075" spans="1:11" ht="15" thickBot="1">
      <c r="A1075" s="207"/>
      <c r="B1075" s="204"/>
      <c r="C1075" s="236"/>
      <c r="D1075" s="218" t="s">
        <v>1970</v>
      </c>
      <c r="E1075" s="220" t="s">
        <v>1971</v>
      </c>
      <c r="F1075" s="220" t="s">
        <v>16</v>
      </c>
      <c r="G1075" s="242" t="s">
        <v>2093</v>
      </c>
      <c r="H1075" s="244"/>
      <c r="I1075" s="242"/>
      <c r="J1075" s="242"/>
      <c r="K1075" s="242"/>
    </row>
    <row r="1076" spans="1:11" ht="15" thickBot="1">
      <c r="A1076" s="207"/>
      <c r="B1076" s="205"/>
      <c r="C1076" s="236"/>
      <c r="D1076" s="218" t="s">
        <v>1972</v>
      </c>
      <c r="E1076" s="220" t="s">
        <v>1973</v>
      </c>
      <c r="F1076" s="220" t="s">
        <v>23</v>
      </c>
      <c r="G1076" s="242" t="s">
        <v>2065</v>
      </c>
      <c r="H1076" s="244"/>
      <c r="I1076" s="242"/>
      <c r="J1076" s="242"/>
      <c r="K1076" s="242"/>
    </row>
    <row r="1077" spans="1:11" ht="16" thickBot="1">
      <c r="A1077" s="207"/>
      <c r="B1077" s="203" t="s">
        <v>1651</v>
      </c>
      <c r="C1077" s="236" t="s">
        <v>1681</v>
      </c>
      <c r="D1077" s="215" t="s">
        <v>2094</v>
      </c>
      <c r="E1077" s="217" t="s">
        <v>2095</v>
      </c>
      <c r="F1077" s="217" t="s">
        <v>16</v>
      </c>
      <c r="G1077" s="217" t="s">
        <v>599</v>
      </c>
      <c r="H1077" s="244"/>
      <c r="I1077" s="242"/>
      <c r="J1077" s="242"/>
      <c r="K1077" s="242"/>
    </row>
    <row r="1078" spans="1:11" ht="16" thickBot="1">
      <c r="A1078" s="207"/>
      <c r="B1078" s="204"/>
      <c r="C1078" s="236"/>
      <c r="D1078" s="219" t="s">
        <v>2096</v>
      </c>
      <c r="E1078" s="221" t="s">
        <v>2097</v>
      </c>
      <c r="F1078" s="221" t="s">
        <v>23</v>
      </c>
      <c r="G1078" s="221" t="s">
        <v>1771</v>
      </c>
      <c r="H1078" s="244"/>
      <c r="I1078" s="242"/>
      <c r="J1078" s="242"/>
      <c r="K1078" s="242"/>
    </row>
    <row r="1079" spans="1:11" ht="16" thickBot="1">
      <c r="A1079" s="207"/>
      <c r="B1079" s="204"/>
      <c r="C1079" s="236"/>
      <c r="D1079" s="219" t="s">
        <v>2098</v>
      </c>
      <c r="E1079" s="221" t="s">
        <v>2099</v>
      </c>
      <c r="F1079" s="221" t="s">
        <v>16</v>
      </c>
      <c r="G1079" s="221" t="s">
        <v>646</v>
      </c>
      <c r="H1079" s="244"/>
      <c r="I1079" s="242"/>
      <c r="J1079" s="242"/>
      <c r="K1079" s="242"/>
    </row>
    <row r="1080" spans="1:11" ht="16" thickBot="1">
      <c r="A1080" s="207"/>
      <c r="B1080" s="204"/>
      <c r="C1080" s="236"/>
      <c r="D1080" s="219" t="s">
        <v>2100</v>
      </c>
      <c r="E1080" s="221" t="s">
        <v>2101</v>
      </c>
      <c r="F1080" s="221" t="s">
        <v>58</v>
      </c>
      <c r="G1080" s="221" t="s">
        <v>1762</v>
      </c>
      <c r="H1080" s="244"/>
      <c r="I1080" s="242"/>
      <c r="J1080" s="242"/>
      <c r="K1080" s="242"/>
    </row>
    <row r="1081" spans="1:11" ht="16" thickBot="1">
      <c r="A1081" s="207"/>
      <c r="B1081" s="204"/>
      <c r="C1081" s="236"/>
      <c r="D1081" s="219" t="s">
        <v>2102</v>
      </c>
      <c r="E1081" s="221" t="s">
        <v>2103</v>
      </c>
      <c r="F1081" s="221" t="s">
        <v>23</v>
      </c>
      <c r="G1081" s="221" t="s">
        <v>2065</v>
      </c>
      <c r="H1081" s="244"/>
      <c r="I1081" s="242"/>
      <c r="J1081" s="242"/>
      <c r="K1081" s="242"/>
    </row>
    <row r="1082" spans="1:11" ht="16" thickBot="1">
      <c r="A1082" s="207"/>
      <c r="B1082" s="204"/>
      <c r="C1082" s="236" t="s">
        <v>1682</v>
      </c>
      <c r="D1082" s="219" t="s">
        <v>2104</v>
      </c>
      <c r="E1082" s="221" t="s">
        <v>2105</v>
      </c>
      <c r="F1082" s="221" t="s">
        <v>16</v>
      </c>
      <c r="G1082" s="221" t="s">
        <v>1793</v>
      </c>
      <c r="H1082" s="244"/>
      <c r="I1082" s="242"/>
      <c r="J1082" s="242"/>
      <c r="K1082" s="242"/>
    </row>
    <row r="1083" spans="1:11" ht="16" thickBot="1">
      <c r="A1083" s="207"/>
      <c r="B1083" s="204"/>
      <c r="C1083" s="236"/>
      <c r="D1083" s="219" t="s">
        <v>2106</v>
      </c>
      <c r="E1083" s="221" t="s">
        <v>2107</v>
      </c>
      <c r="F1083" s="221" t="s">
        <v>58</v>
      </c>
      <c r="G1083" s="221" t="s">
        <v>2108</v>
      </c>
      <c r="H1083" s="244"/>
      <c r="I1083" s="242"/>
      <c r="J1083" s="242"/>
      <c r="K1083" s="242"/>
    </row>
    <row r="1084" spans="1:11" ht="16" thickBot="1">
      <c r="A1084" s="207"/>
      <c r="B1084" s="204"/>
      <c r="C1084" s="236"/>
      <c r="D1084" s="219" t="s">
        <v>2109</v>
      </c>
      <c r="E1084" s="221" t="s">
        <v>2110</v>
      </c>
      <c r="F1084" s="221" t="s">
        <v>23</v>
      </c>
      <c r="G1084" s="221" t="s">
        <v>1768</v>
      </c>
      <c r="H1084" s="244"/>
      <c r="I1084" s="242"/>
      <c r="J1084" s="242"/>
      <c r="K1084" s="242"/>
    </row>
    <row r="1085" spans="1:11" ht="16" thickBot="1">
      <c r="A1085" s="207"/>
      <c r="B1085" s="204"/>
      <c r="C1085" s="236"/>
      <c r="D1085" s="219" t="s">
        <v>2111</v>
      </c>
      <c r="E1085" s="221" t="s">
        <v>2112</v>
      </c>
      <c r="F1085" s="221" t="s">
        <v>16</v>
      </c>
      <c r="G1085" s="221" t="s">
        <v>2064</v>
      </c>
      <c r="H1085" s="244"/>
      <c r="I1085" s="242"/>
      <c r="J1085" s="242"/>
      <c r="K1085" s="242"/>
    </row>
    <row r="1086" spans="1:11" ht="16" thickBot="1">
      <c r="A1086" s="207"/>
      <c r="B1086" s="204"/>
      <c r="C1086" s="236"/>
      <c r="D1086" s="219" t="s">
        <v>2113</v>
      </c>
      <c r="E1086" s="221" t="s">
        <v>2114</v>
      </c>
      <c r="F1086" s="221" t="s">
        <v>23</v>
      </c>
      <c r="G1086" s="221" t="s">
        <v>1771</v>
      </c>
      <c r="H1086" s="242"/>
      <c r="I1086" s="242"/>
      <c r="J1086" s="242"/>
      <c r="K1086" s="242"/>
    </row>
    <row r="1087" spans="1:11" ht="16" thickBot="1">
      <c r="A1087" s="207"/>
      <c r="B1087" s="204"/>
      <c r="C1087" s="236" t="s">
        <v>1683</v>
      </c>
      <c r="D1087" s="219" t="s">
        <v>2115</v>
      </c>
      <c r="E1087" s="221" t="s">
        <v>2116</v>
      </c>
      <c r="F1087" s="221" t="s">
        <v>23</v>
      </c>
      <c r="G1087" s="221" t="s">
        <v>2069</v>
      </c>
      <c r="H1087" s="242"/>
      <c r="I1087" s="242"/>
      <c r="J1087" s="242"/>
      <c r="K1087" s="242"/>
    </row>
    <row r="1088" spans="1:11" ht="16" thickBot="1">
      <c r="A1088" s="207"/>
      <c r="B1088" s="204"/>
      <c r="C1088" s="236"/>
      <c r="D1088" s="219" t="s">
        <v>2117</v>
      </c>
      <c r="E1088" s="221" t="s">
        <v>2118</v>
      </c>
      <c r="F1088" s="221" t="s">
        <v>16</v>
      </c>
      <c r="G1088" s="221" t="s">
        <v>2066</v>
      </c>
      <c r="H1088" s="242"/>
      <c r="I1088" s="242"/>
      <c r="J1088" s="242"/>
      <c r="K1088" s="242"/>
    </row>
    <row r="1089" spans="1:11" ht="16" thickBot="1">
      <c r="A1089" s="207"/>
      <c r="B1089" s="204"/>
      <c r="C1089" s="236"/>
      <c r="D1089" s="219" t="s">
        <v>2119</v>
      </c>
      <c r="E1089" s="221" t="s">
        <v>2120</v>
      </c>
      <c r="F1089" s="221" t="s">
        <v>16</v>
      </c>
      <c r="G1089" s="221" t="s">
        <v>2080</v>
      </c>
      <c r="H1089" s="242"/>
      <c r="I1089" s="242"/>
      <c r="J1089" s="242"/>
      <c r="K1089" s="242"/>
    </row>
    <row r="1090" spans="1:11" ht="16" thickBot="1">
      <c r="A1090" s="207"/>
      <c r="B1090" s="204"/>
      <c r="C1090" s="236"/>
      <c r="D1090" s="219" t="s">
        <v>2121</v>
      </c>
      <c r="E1090" s="221" t="s">
        <v>2122</v>
      </c>
      <c r="F1090" s="221" t="s">
        <v>58</v>
      </c>
      <c r="G1090" s="221" t="s">
        <v>646</v>
      </c>
      <c r="H1090" s="242"/>
      <c r="I1090" s="242"/>
      <c r="J1090" s="242"/>
      <c r="K1090" s="242"/>
    </row>
    <row r="1091" spans="1:11" ht="16" thickBot="1">
      <c r="A1091" s="207"/>
      <c r="B1091" s="204"/>
      <c r="C1091" s="236"/>
      <c r="D1091" s="219" t="s">
        <v>2123</v>
      </c>
      <c r="E1091" s="221" t="s">
        <v>2124</v>
      </c>
      <c r="F1091" s="221" t="s">
        <v>23</v>
      </c>
      <c r="G1091" s="221" t="s">
        <v>2083</v>
      </c>
      <c r="H1091" s="242"/>
      <c r="I1091" s="242"/>
      <c r="J1091" s="242"/>
      <c r="K1091" s="242"/>
    </row>
    <row r="1092" spans="1:11" ht="16" thickBot="1">
      <c r="A1092" s="207"/>
      <c r="B1092" s="204"/>
      <c r="C1092" s="236" t="s">
        <v>1684</v>
      </c>
      <c r="D1092" s="215" t="s">
        <v>2125</v>
      </c>
      <c r="E1092" s="217" t="s">
        <v>2126</v>
      </c>
      <c r="F1092" s="217" t="s">
        <v>23</v>
      </c>
      <c r="G1092" s="217" t="s">
        <v>1793</v>
      </c>
      <c r="H1092" s="242"/>
      <c r="I1092" s="242"/>
      <c r="J1092" s="242"/>
      <c r="K1092" s="242"/>
    </row>
    <row r="1093" spans="1:11" ht="16" thickBot="1">
      <c r="A1093" s="207"/>
      <c r="B1093" s="204"/>
      <c r="C1093" s="236"/>
      <c r="D1093" s="219" t="s">
        <v>2127</v>
      </c>
      <c r="E1093" s="221" t="s">
        <v>2128</v>
      </c>
      <c r="F1093" s="221" t="s">
        <v>16</v>
      </c>
      <c r="G1093" s="221" t="s">
        <v>1768</v>
      </c>
      <c r="H1093" s="242"/>
      <c r="I1093" s="242"/>
      <c r="J1093" s="242"/>
      <c r="K1093" s="242"/>
    </row>
    <row r="1094" spans="1:11" ht="16" thickBot="1">
      <c r="A1094" s="207"/>
      <c r="B1094" s="204"/>
      <c r="C1094" s="236"/>
      <c r="D1094" s="219" t="s">
        <v>2129</v>
      </c>
      <c r="E1094" s="221" t="s">
        <v>2130</v>
      </c>
      <c r="F1094" s="221" t="s">
        <v>58</v>
      </c>
      <c r="G1094" s="221" t="s">
        <v>1771</v>
      </c>
      <c r="H1094" s="242"/>
      <c r="I1094" s="242"/>
      <c r="J1094" s="242"/>
      <c r="K1094" s="242"/>
    </row>
    <row r="1095" spans="1:11" ht="16" thickBot="1">
      <c r="A1095" s="207"/>
      <c r="B1095" s="204"/>
      <c r="C1095" s="236"/>
      <c r="D1095" s="219" t="s">
        <v>2131</v>
      </c>
      <c r="E1095" s="221" t="s">
        <v>2132</v>
      </c>
      <c r="F1095" s="221" t="s">
        <v>23</v>
      </c>
      <c r="G1095" s="221" t="s">
        <v>599</v>
      </c>
      <c r="H1095" s="242"/>
      <c r="I1095" s="242"/>
      <c r="J1095" s="242"/>
      <c r="K1095" s="242"/>
    </row>
    <row r="1096" spans="1:11" ht="16" thickBot="1">
      <c r="A1096" s="207"/>
      <c r="B1096" s="204"/>
      <c r="C1096" s="236"/>
      <c r="D1096" s="219" t="s">
        <v>2133</v>
      </c>
      <c r="E1096" s="221" t="s">
        <v>2134</v>
      </c>
      <c r="F1096" s="221" t="s">
        <v>16</v>
      </c>
      <c r="G1096" s="221" t="s">
        <v>2064</v>
      </c>
      <c r="H1096" s="242"/>
      <c r="I1096" s="242"/>
      <c r="J1096" s="242"/>
      <c r="K1096" s="242"/>
    </row>
    <row r="1097" spans="1:11" ht="16" thickBot="1">
      <c r="A1097" s="207"/>
      <c r="B1097" s="204"/>
      <c r="C1097" s="236" t="s">
        <v>1685</v>
      </c>
      <c r="D1097" s="219" t="s">
        <v>2135</v>
      </c>
      <c r="E1097" s="221" t="s">
        <v>2136</v>
      </c>
      <c r="F1097" s="221" t="s">
        <v>23</v>
      </c>
      <c r="G1097" s="221" t="s">
        <v>2070</v>
      </c>
      <c r="H1097" s="242"/>
      <c r="I1097" s="242"/>
      <c r="J1097" s="242"/>
      <c r="K1097" s="242"/>
    </row>
    <row r="1098" spans="1:11" ht="16" thickBot="1">
      <c r="A1098" s="207"/>
      <c r="B1098" s="204"/>
      <c r="C1098" s="236"/>
      <c r="D1098" s="219" t="s">
        <v>2137</v>
      </c>
      <c r="E1098" s="221" t="s">
        <v>2138</v>
      </c>
      <c r="F1098" s="221" t="s">
        <v>16</v>
      </c>
      <c r="G1098" s="221" t="s">
        <v>2081</v>
      </c>
      <c r="H1098" s="242"/>
      <c r="I1098" s="242"/>
      <c r="J1098" s="242"/>
      <c r="K1098" s="242"/>
    </row>
    <row r="1099" spans="1:11" ht="16" thickBot="1">
      <c r="A1099" s="207"/>
      <c r="B1099" s="204"/>
      <c r="C1099" s="236"/>
      <c r="D1099" s="219" t="s">
        <v>2139</v>
      </c>
      <c r="E1099" s="221" t="s">
        <v>2140</v>
      </c>
      <c r="F1099" s="221" t="s">
        <v>58</v>
      </c>
      <c r="G1099" s="221" t="s">
        <v>1786</v>
      </c>
      <c r="H1099" s="242"/>
      <c r="I1099" s="242"/>
      <c r="J1099" s="242"/>
      <c r="K1099" s="242"/>
    </row>
    <row r="1100" spans="1:11" ht="16" thickBot="1">
      <c r="A1100" s="207"/>
      <c r="B1100" s="204"/>
      <c r="C1100" s="236"/>
      <c r="D1100" s="219" t="s">
        <v>2141</v>
      </c>
      <c r="E1100" s="221" t="s">
        <v>2142</v>
      </c>
      <c r="F1100" s="221" t="s">
        <v>16</v>
      </c>
      <c r="G1100" s="221" t="s">
        <v>2064</v>
      </c>
      <c r="H1100" s="242"/>
      <c r="I1100" s="242"/>
      <c r="J1100" s="242"/>
      <c r="K1100" s="242"/>
    </row>
    <row r="1101" spans="1:11" ht="16" thickBot="1">
      <c r="A1101" s="207"/>
      <c r="B1101" s="205"/>
      <c r="C1101" s="236"/>
      <c r="D1101" s="219" t="s">
        <v>2143</v>
      </c>
      <c r="E1101" s="221" t="s">
        <v>2144</v>
      </c>
      <c r="F1101" s="221" t="s">
        <v>23</v>
      </c>
      <c r="G1101" s="221" t="s">
        <v>2145</v>
      </c>
      <c r="H1101" s="242"/>
      <c r="I1101" s="242"/>
      <c r="J1101" s="242"/>
      <c r="K1101" s="242"/>
    </row>
    <row r="1102" spans="1:11" ht="16" thickBot="1">
      <c r="A1102" s="207"/>
      <c r="B1102" s="203" t="s">
        <v>1652</v>
      </c>
      <c r="C1102" s="236" t="s">
        <v>1686</v>
      </c>
      <c r="D1102" s="219" t="s">
        <v>2146</v>
      </c>
      <c r="E1102" s="221" t="s">
        <v>2147</v>
      </c>
      <c r="F1102" s="221" t="s">
        <v>16</v>
      </c>
      <c r="G1102" s="221" t="s">
        <v>599</v>
      </c>
      <c r="H1102" s="242"/>
      <c r="I1102" s="242"/>
      <c r="J1102" s="242"/>
      <c r="K1102" s="242"/>
    </row>
    <row r="1103" spans="1:11" ht="16" thickBot="1">
      <c r="A1103" s="207"/>
      <c r="B1103" s="204"/>
      <c r="C1103" s="236"/>
      <c r="D1103" s="219" t="s">
        <v>2148</v>
      </c>
      <c r="E1103" s="221" t="s">
        <v>2149</v>
      </c>
      <c r="F1103" s="221" t="s">
        <v>23</v>
      </c>
      <c r="G1103" s="221" t="s">
        <v>1786</v>
      </c>
      <c r="H1103" s="242"/>
      <c r="I1103" s="242"/>
      <c r="J1103" s="242"/>
      <c r="K1103" s="242"/>
    </row>
    <row r="1104" spans="1:11" ht="16" thickBot="1">
      <c r="A1104" s="207"/>
      <c r="B1104" s="204"/>
      <c r="C1104" s="236"/>
      <c r="D1104" s="219" t="s">
        <v>2150</v>
      </c>
      <c r="E1104" s="221" t="s">
        <v>2151</v>
      </c>
      <c r="F1104" s="221" t="s">
        <v>16</v>
      </c>
      <c r="G1104" s="221" t="s">
        <v>646</v>
      </c>
      <c r="H1104" s="242"/>
      <c r="I1104" s="242"/>
      <c r="J1104" s="242"/>
      <c r="K1104" s="242"/>
    </row>
    <row r="1105" spans="1:11" ht="16" thickBot="1">
      <c r="A1105" s="207"/>
      <c r="B1105" s="204"/>
      <c r="C1105" s="236"/>
      <c r="D1105" s="219" t="s">
        <v>2152</v>
      </c>
      <c r="E1105" s="221" t="s">
        <v>2153</v>
      </c>
      <c r="F1105" s="221" t="s">
        <v>58</v>
      </c>
      <c r="G1105" s="221" t="s">
        <v>1780</v>
      </c>
      <c r="H1105" s="242"/>
      <c r="I1105" s="242"/>
      <c r="J1105" s="242"/>
      <c r="K1105" s="242"/>
    </row>
    <row r="1106" spans="1:11" ht="16" thickBot="1">
      <c r="A1106" s="207"/>
      <c r="B1106" s="204"/>
      <c r="C1106" s="236"/>
      <c r="D1106" s="219" t="s">
        <v>2154</v>
      </c>
      <c r="E1106" s="221" t="s">
        <v>2155</v>
      </c>
      <c r="F1106" s="221" t="s">
        <v>23</v>
      </c>
      <c r="G1106" s="221" t="s">
        <v>1821</v>
      </c>
      <c r="H1106" s="242"/>
      <c r="I1106" s="242"/>
      <c r="J1106" s="242"/>
      <c r="K1106" s="242"/>
    </row>
    <row r="1107" spans="1:11" ht="16" thickBot="1">
      <c r="A1107" s="207"/>
      <c r="B1107" s="204"/>
      <c r="C1107" s="236" t="s">
        <v>1687</v>
      </c>
      <c r="D1107" s="219" t="s">
        <v>2156</v>
      </c>
      <c r="E1107" s="221" t="s">
        <v>2157</v>
      </c>
      <c r="F1107" s="221" t="s">
        <v>16</v>
      </c>
      <c r="G1107" s="221" t="s">
        <v>599</v>
      </c>
      <c r="H1107" s="242"/>
      <c r="I1107" s="242"/>
      <c r="J1107" s="242"/>
      <c r="K1107" s="242"/>
    </row>
    <row r="1108" spans="1:11" ht="16" thickBot="1">
      <c r="A1108" s="207"/>
      <c r="B1108" s="204"/>
      <c r="C1108" s="236"/>
      <c r="D1108" s="219" t="s">
        <v>2158</v>
      </c>
      <c r="E1108" s="221" t="s">
        <v>2159</v>
      </c>
      <c r="F1108" s="221" t="s">
        <v>23</v>
      </c>
      <c r="G1108" s="221" t="s">
        <v>2145</v>
      </c>
      <c r="H1108" s="242"/>
      <c r="I1108" s="242"/>
      <c r="J1108" s="242"/>
      <c r="K1108" s="242"/>
    </row>
    <row r="1109" spans="1:11" ht="16" thickBot="1">
      <c r="A1109" s="207"/>
      <c r="B1109" s="204"/>
      <c r="C1109" s="236"/>
      <c r="D1109" s="219" t="s">
        <v>2160</v>
      </c>
      <c r="E1109" s="221" t="s">
        <v>2161</v>
      </c>
      <c r="F1109" s="221" t="s">
        <v>16</v>
      </c>
      <c r="G1109" s="221" t="s">
        <v>2065</v>
      </c>
      <c r="H1109" s="242"/>
      <c r="I1109" s="242"/>
      <c r="J1109" s="242"/>
      <c r="K1109" s="242"/>
    </row>
    <row r="1110" spans="1:11" ht="16" thickBot="1">
      <c r="A1110" s="207"/>
      <c r="B1110" s="204"/>
      <c r="C1110" s="236"/>
      <c r="D1110" s="219" t="s">
        <v>2162</v>
      </c>
      <c r="E1110" s="221" t="s">
        <v>2163</v>
      </c>
      <c r="F1110" s="221" t="s">
        <v>58</v>
      </c>
      <c r="G1110" s="221" t="s">
        <v>1821</v>
      </c>
      <c r="H1110" s="242"/>
      <c r="I1110" s="242"/>
      <c r="J1110" s="242"/>
      <c r="K1110" s="242"/>
    </row>
    <row r="1111" spans="1:11" ht="16" thickBot="1">
      <c r="A1111" s="207"/>
      <c r="B1111" s="204"/>
      <c r="C1111" s="236"/>
      <c r="D1111" s="219" t="s">
        <v>2164</v>
      </c>
      <c r="E1111" s="221" t="s">
        <v>2165</v>
      </c>
      <c r="F1111" s="221" t="s">
        <v>23</v>
      </c>
      <c r="G1111" s="221" t="s">
        <v>1771</v>
      </c>
      <c r="H1111" s="242"/>
      <c r="I1111" s="242"/>
      <c r="J1111" s="242"/>
      <c r="K1111" s="242"/>
    </row>
    <row r="1112" spans="1:11" ht="16" thickBot="1">
      <c r="A1112" s="207"/>
      <c r="B1112" s="204"/>
      <c r="C1112" s="236" t="s">
        <v>1688</v>
      </c>
      <c r="D1112" s="219" t="s">
        <v>2166</v>
      </c>
      <c r="E1112" s="221" t="s">
        <v>2167</v>
      </c>
      <c r="F1112" s="221" t="s">
        <v>23</v>
      </c>
      <c r="G1112" s="221" t="s">
        <v>1793</v>
      </c>
      <c r="H1112" s="242"/>
      <c r="I1112" s="242"/>
      <c r="J1112" s="242"/>
      <c r="K1112" s="242"/>
    </row>
    <row r="1113" spans="1:11" ht="16" thickBot="1">
      <c r="A1113" s="207"/>
      <c r="B1113" s="204"/>
      <c r="C1113" s="236"/>
      <c r="D1113" s="219" t="s">
        <v>2168</v>
      </c>
      <c r="E1113" s="221" t="s">
        <v>2169</v>
      </c>
      <c r="F1113" s="221" t="s">
        <v>16</v>
      </c>
      <c r="G1113" s="221" t="s">
        <v>2092</v>
      </c>
      <c r="H1113" s="242"/>
      <c r="I1113" s="242"/>
      <c r="J1113" s="242"/>
      <c r="K1113" s="242"/>
    </row>
    <row r="1114" spans="1:11" ht="16" thickBot="1">
      <c r="A1114" s="207"/>
      <c r="B1114" s="204"/>
      <c r="C1114" s="236"/>
      <c r="D1114" s="219" t="s">
        <v>2170</v>
      </c>
      <c r="E1114" s="221" t="s">
        <v>2171</v>
      </c>
      <c r="F1114" s="221" t="s">
        <v>58</v>
      </c>
      <c r="G1114" s="221" t="s">
        <v>2064</v>
      </c>
      <c r="H1114" s="242"/>
      <c r="I1114" s="242"/>
      <c r="J1114" s="242"/>
      <c r="K1114" s="242"/>
    </row>
    <row r="1115" spans="1:11" ht="16" thickBot="1">
      <c r="A1115" s="207"/>
      <c r="B1115" s="204"/>
      <c r="C1115" s="236"/>
      <c r="D1115" s="219" t="s">
        <v>2172</v>
      </c>
      <c r="E1115" s="221" t="s">
        <v>2173</v>
      </c>
      <c r="F1115" s="221" t="s">
        <v>23</v>
      </c>
      <c r="G1115" s="221" t="s">
        <v>1786</v>
      </c>
      <c r="H1115" s="242"/>
      <c r="I1115" s="242"/>
      <c r="J1115" s="242"/>
      <c r="K1115" s="242"/>
    </row>
    <row r="1116" spans="1:11" ht="16" thickBot="1">
      <c r="A1116" s="207"/>
      <c r="B1116" s="204"/>
      <c r="C1116" s="236"/>
      <c r="D1116" s="219" t="s">
        <v>2174</v>
      </c>
      <c r="E1116" s="221" t="s">
        <v>2175</v>
      </c>
      <c r="F1116" s="221" t="s">
        <v>16</v>
      </c>
      <c r="G1116" s="221" t="s">
        <v>2176</v>
      </c>
      <c r="H1116" s="242"/>
      <c r="I1116" s="242"/>
      <c r="J1116" s="242"/>
      <c r="K1116" s="242"/>
    </row>
    <row r="1117" spans="1:11" ht="16" thickBot="1">
      <c r="A1117" s="207"/>
      <c r="B1117" s="204"/>
      <c r="C1117" s="236" t="s">
        <v>1689</v>
      </c>
      <c r="D1117" s="219" t="s">
        <v>2177</v>
      </c>
      <c r="E1117" s="221" t="s">
        <v>2178</v>
      </c>
      <c r="F1117" s="221" t="s">
        <v>16</v>
      </c>
      <c r="G1117" s="221" t="s">
        <v>1793</v>
      </c>
      <c r="H1117" s="242"/>
      <c r="I1117" s="242"/>
      <c r="J1117" s="242"/>
      <c r="K1117" s="242"/>
    </row>
    <row r="1118" spans="1:11" ht="16" thickBot="1">
      <c r="A1118" s="207"/>
      <c r="B1118" s="204"/>
      <c r="C1118" s="236"/>
      <c r="D1118" s="219" t="s">
        <v>2179</v>
      </c>
      <c r="E1118" s="221" t="s">
        <v>2180</v>
      </c>
      <c r="F1118" s="221" t="s">
        <v>23</v>
      </c>
      <c r="G1118" s="221" t="s">
        <v>1786</v>
      </c>
      <c r="H1118" s="242"/>
      <c r="I1118" s="242"/>
      <c r="J1118" s="242"/>
      <c r="K1118" s="242"/>
    </row>
    <row r="1119" spans="1:11" ht="16" thickBot="1">
      <c r="A1119" s="207"/>
      <c r="B1119" s="204"/>
      <c r="C1119" s="236"/>
      <c r="D1119" s="219" t="s">
        <v>2181</v>
      </c>
      <c r="E1119" s="221" t="s">
        <v>2182</v>
      </c>
      <c r="F1119" s="221" t="s">
        <v>58</v>
      </c>
      <c r="G1119" s="221" t="s">
        <v>2064</v>
      </c>
      <c r="H1119" s="242"/>
      <c r="I1119" s="242"/>
      <c r="J1119" s="242"/>
      <c r="K1119" s="242"/>
    </row>
    <row r="1120" spans="1:11" ht="16" thickBot="1">
      <c r="A1120" s="207"/>
      <c r="B1120" s="204"/>
      <c r="C1120" s="236"/>
      <c r="D1120" s="219" t="s">
        <v>2183</v>
      </c>
      <c r="E1120" s="221" t="s">
        <v>2184</v>
      </c>
      <c r="F1120" s="221" t="s">
        <v>16</v>
      </c>
      <c r="G1120" s="221" t="s">
        <v>599</v>
      </c>
      <c r="H1120" s="242"/>
      <c r="I1120" s="242"/>
      <c r="J1120" s="242"/>
      <c r="K1120" s="242"/>
    </row>
    <row r="1121" spans="1:11" ht="16" thickBot="1">
      <c r="A1121" s="207"/>
      <c r="B1121" s="204"/>
      <c r="C1121" s="236"/>
      <c r="D1121" s="219" t="s">
        <v>2185</v>
      </c>
      <c r="E1121" s="221" t="s">
        <v>2186</v>
      </c>
      <c r="F1121" s="221" t="s">
        <v>23</v>
      </c>
      <c r="G1121" s="221" t="s">
        <v>1771</v>
      </c>
      <c r="H1121" s="242"/>
      <c r="I1121" s="242"/>
      <c r="J1121" s="242"/>
      <c r="K1121" s="242"/>
    </row>
    <row r="1122" spans="1:11" ht="16" thickBot="1">
      <c r="A1122" s="207"/>
      <c r="B1122" s="204"/>
      <c r="C1122" s="236" t="s">
        <v>1690</v>
      </c>
      <c r="D1122" s="219" t="s">
        <v>2187</v>
      </c>
      <c r="E1122" s="221" t="s">
        <v>2188</v>
      </c>
      <c r="F1122" s="221" t="s">
        <v>23</v>
      </c>
      <c r="G1122" s="221" t="s">
        <v>2065</v>
      </c>
      <c r="H1122" s="242"/>
      <c r="I1122" s="242"/>
      <c r="J1122" s="242"/>
      <c r="K1122" s="242"/>
    </row>
    <row r="1123" spans="1:11" ht="16" thickBot="1">
      <c r="A1123" s="207"/>
      <c r="B1123" s="204"/>
      <c r="C1123" s="236"/>
      <c r="D1123" s="219" t="s">
        <v>2189</v>
      </c>
      <c r="E1123" s="221" t="s">
        <v>2190</v>
      </c>
      <c r="F1123" s="221" t="s">
        <v>16</v>
      </c>
      <c r="G1123" s="221" t="s">
        <v>2191</v>
      </c>
      <c r="H1123" s="242"/>
      <c r="I1123" s="242"/>
      <c r="J1123" s="242"/>
      <c r="K1123" s="242"/>
    </row>
    <row r="1124" spans="1:11" ht="16" thickBot="1">
      <c r="A1124" s="207"/>
      <c r="B1124" s="204"/>
      <c r="C1124" s="236"/>
      <c r="D1124" s="219" t="s">
        <v>2192</v>
      </c>
      <c r="E1124" s="221" t="s">
        <v>2193</v>
      </c>
      <c r="F1124" s="221" t="s">
        <v>23</v>
      </c>
      <c r="G1124" s="221" t="s">
        <v>2145</v>
      </c>
      <c r="H1124" s="242"/>
      <c r="I1124" s="242"/>
      <c r="J1124" s="242"/>
      <c r="K1124" s="242"/>
    </row>
    <row r="1125" spans="1:11" ht="16" thickBot="1">
      <c r="A1125" s="207"/>
      <c r="B1125" s="204"/>
      <c r="C1125" s="236"/>
      <c r="D1125" s="219" t="s">
        <v>2194</v>
      </c>
      <c r="E1125" s="221" t="s">
        <v>2195</v>
      </c>
      <c r="F1125" s="221" t="s">
        <v>16</v>
      </c>
      <c r="G1125" s="221" t="s">
        <v>1780</v>
      </c>
      <c r="H1125" s="242"/>
      <c r="I1125" s="242"/>
      <c r="J1125" s="242"/>
      <c r="K1125" s="242"/>
    </row>
    <row r="1126" spans="1:11" ht="16" thickBot="1">
      <c r="A1126" s="207"/>
      <c r="B1126" s="205"/>
      <c r="C1126" s="236"/>
      <c r="D1126" s="219" t="s">
        <v>2196</v>
      </c>
      <c r="E1126" s="221" t="s">
        <v>2197</v>
      </c>
      <c r="F1126" s="221" t="s">
        <v>58</v>
      </c>
      <c r="G1126" s="221" t="s">
        <v>2198</v>
      </c>
      <c r="H1126" s="242"/>
      <c r="I1126" s="242"/>
      <c r="J1126" s="242"/>
      <c r="K1126" s="242"/>
    </row>
    <row r="1127" spans="1:11" ht="16" thickBot="1">
      <c r="A1127" s="207"/>
      <c r="B1127" s="203" t="s">
        <v>1653</v>
      </c>
      <c r="C1127" s="236" t="s">
        <v>1691</v>
      </c>
      <c r="D1127" s="215" t="s">
        <v>2199</v>
      </c>
      <c r="E1127" s="217" t="s">
        <v>2200</v>
      </c>
      <c r="F1127" s="217" t="s">
        <v>16</v>
      </c>
      <c r="G1127" s="217" t="s">
        <v>1793</v>
      </c>
      <c r="H1127" s="242"/>
      <c r="I1127" s="242"/>
      <c r="J1127" s="242"/>
      <c r="K1127" s="242"/>
    </row>
    <row r="1128" spans="1:11" ht="16" thickBot="1">
      <c r="A1128" s="207"/>
      <c r="B1128" s="204"/>
      <c r="C1128" s="236"/>
      <c r="D1128" s="219" t="s">
        <v>2201</v>
      </c>
      <c r="E1128" s="221" t="s">
        <v>2202</v>
      </c>
      <c r="F1128" s="221" t="s">
        <v>23</v>
      </c>
      <c r="G1128" s="221" t="s">
        <v>1771</v>
      </c>
      <c r="H1128" s="242"/>
      <c r="I1128" s="242"/>
      <c r="J1128" s="242"/>
      <c r="K1128" s="242"/>
    </row>
    <row r="1129" spans="1:11" ht="16" thickBot="1">
      <c r="A1129" s="207"/>
      <c r="B1129" s="204"/>
      <c r="C1129" s="236"/>
      <c r="D1129" s="219" t="s">
        <v>2203</v>
      </c>
      <c r="E1129" s="221" t="s">
        <v>2204</v>
      </c>
      <c r="F1129" s="221" t="s">
        <v>16</v>
      </c>
      <c r="G1129" s="221" t="s">
        <v>1786</v>
      </c>
      <c r="H1129" s="242"/>
      <c r="I1129" s="242"/>
      <c r="J1129" s="242"/>
      <c r="K1129" s="242"/>
    </row>
    <row r="1130" spans="1:11" ht="16" thickBot="1">
      <c r="A1130" s="207"/>
      <c r="B1130" s="204"/>
      <c r="C1130" s="236"/>
      <c r="D1130" s="219" t="s">
        <v>2205</v>
      </c>
      <c r="E1130" s="221" t="s">
        <v>2206</v>
      </c>
      <c r="F1130" s="221" t="s">
        <v>58</v>
      </c>
      <c r="G1130" s="221" t="s">
        <v>658</v>
      </c>
      <c r="H1130" s="242"/>
      <c r="I1130" s="242"/>
      <c r="J1130" s="242"/>
      <c r="K1130" s="242"/>
    </row>
    <row r="1131" spans="1:11" ht="16" thickBot="1">
      <c r="A1131" s="207"/>
      <c r="B1131" s="204"/>
      <c r="C1131" s="236"/>
      <c r="D1131" s="219" t="s">
        <v>2207</v>
      </c>
      <c r="E1131" s="221" t="s">
        <v>2208</v>
      </c>
      <c r="F1131" s="221" t="s">
        <v>23</v>
      </c>
      <c r="G1131" s="221" t="s">
        <v>646</v>
      </c>
      <c r="H1131" s="242"/>
      <c r="I1131" s="242"/>
      <c r="J1131" s="242"/>
      <c r="K1131" s="242"/>
    </row>
    <row r="1132" spans="1:11" ht="16" thickBot="1">
      <c r="A1132" s="207"/>
      <c r="B1132" s="204"/>
      <c r="C1132" s="236" t="s">
        <v>1692</v>
      </c>
      <c r="D1132" s="219" t="s">
        <v>2209</v>
      </c>
      <c r="E1132" s="221" t="s">
        <v>2210</v>
      </c>
      <c r="F1132" s="221" t="s">
        <v>23</v>
      </c>
      <c r="G1132" s="221" t="s">
        <v>1821</v>
      </c>
      <c r="H1132" s="242"/>
      <c r="I1132" s="242"/>
      <c r="J1132" s="242"/>
      <c r="K1132" s="242"/>
    </row>
    <row r="1133" spans="1:11" ht="16" thickBot="1">
      <c r="A1133" s="207"/>
      <c r="B1133" s="204"/>
      <c r="C1133" s="236"/>
      <c r="D1133" s="219" t="s">
        <v>2211</v>
      </c>
      <c r="E1133" s="221" t="s">
        <v>2212</v>
      </c>
      <c r="F1133" s="221" t="s">
        <v>16</v>
      </c>
      <c r="G1133" s="221" t="s">
        <v>2076</v>
      </c>
      <c r="H1133" s="242"/>
      <c r="I1133" s="242"/>
      <c r="J1133" s="242"/>
      <c r="K1133" s="242"/>
    </row>
    <row r="1134" spans="1:11" ht="16" thickBot="1">
      <c r="A1134" s="207"/>
      <c r="B1134" s="204"/>
      <c r="C1134" s="236"/>
      <c r="D1134" s="219" t="s">
        <v>2213</v>
      </c>
      <c r="E1134" s="221" t="s">
        <v>2214</v>
      </c>
      <c r="F1134" s="221" t="s">
        <v>58</v>
      </c>
      <c r="G1134" s="221" t="s">
        <v>2070</v>
      </c>
      <c r="H1134" s="242"/>
      <c r="I1134" s="242"/>
      <c r="J1134" s="242"/>
      <c r="K1134" s="242"/>
    </row>
    <row r="1135" spans="1:11" ht="16" thickBot="1">
      <c r="A1135" s="207"/>
      <c r="B1135" s="204"/>
      <c r="C1135" s="236"/>
      <c r="D1135" s="219" t="s">
        <v>2215</v>
      </c>
      <c r="E1135" s="221" t="s">
        <v>2216</v>
      </c>
      <c r="F1135" s="221" t="s">
        <v>16</v>
      </c>
      <c r="G1135" s="221" t="s">
        <v>2217</v>
      </c>
      <c r="H1135" s="242"/>
      <c r="I1135" s="242"/>
      <c r="J1135" s="242"/>
      <c r="K1135" s="242"/>
    </row>
    <row r="1136" spans="1:11" ht="16" thickBot="1">
      <c r="A1136" s="207"/>
      <c r="B1136" s="204"/>
      <c r="C1136" s="236"/>
      <c r="D1136" s="219" t="s">
        <v>2218</v>
      </c>
      <c r="E1136" s="221" t="s">
        <v>2219</v>
      </c>
      <c r="F1136" s="221" t="s">
        <v>23</v>
      </c>
      <c r="G1136" s="221" t="s">
        <v>671</v>
      </c>
      <c r="H1136" s="242"/>
      <c r="I1136" s="242"/>
      <c r="J1136" s="242"/>
      <c r="K1136" s="242"/>
    </row>
    <row r="1137" spans="1:11" ht="16" thickBot="1">
      <c r="A1137" s="207"/>
      <c r="B1137" s="204"/>
      <c r="C1137" s="236" t="s">
        <v>1693</v>
      </c>
      <c r="D1137" s="219" t="s">
        <v>2220</v>
      </c>
      <c r="E1137" s="221" t="s">
        <v>2221</v>
      </c>
      <c r="F1137" s="221" t="s">
        <v>16</v>
      </c>
      <c r="G1137" s="221" t="s">
        <v>1812</v>
      </c>
      <c r="H1137" s="242"/>
      <c r="I1137" s="242"/>
      <c r="J1137" s="242"/>
      <c r="K1137" s="242"/>
    </row>
    <row r="1138" spans="1:11" ht="16" thickBot="1">
      <c r="A1138" s="207"/>
      <c r="B1138" s="204"/>
      <c r="C1138" s="236"/>
      <c r="D1138" s="219" t="s">
        <v>2222</v>
      </c>
      <c r="E1138" s="221" t="s">
        <v>2223</v>
      </c>
      <c r="F1138" s="221" t="s">
        <v>23</v>
      </c>
      <c r="G1138" s="221" t="s">
        <v>2078</v>
      </c>
      <c r="H1138" s="242"/>
      <c r="I1138" s="242"/>
      <c r="J1138" s="242"/>
      <c r="K1138" s="242"/>
    </row>
    <row r="1139" spans="1:11" ht="16" thickBot="1">
      <c r="A1139" s="207"/>
      <c r="B1139" s="204"/>
      <c r="C1139" s="236"/>
      <c r="D1139" s="219" t="s">
        <v>2224</v>
      </c>
      <c r="E1139" s="221" t="s">
        <v>2225</v>
      </c>
      <c r="F1139" s="221" t="s">
        <v>16</v>
      </c>
      <c r="G1139" s="221" t="s">
        <v>646</v>
      </c>
      <c r="H1139" s="242"/>
      <c r="I1139" s="242"/>
      <c r="J1139" s="242"/>
      <c r="K1139" s="242"/>
    </row>
    <row r="1140" spans="1:11" ht="16" thickBot="1">
      <c r="A1140" s="207"/>
      <c r="B1140" s="204"/>
      <c r="C1140" s="236"/>
      <c r="D1140" s="219" t="s">
        <v>2226</v>
      </c>
      <c r="E1140" s="221" t="s">
        <v>2227</v>
      </c>
      <c r="F1140" s="221" t="s">
        <v>58</v>
      </c>
      <c r="G1140" s="221" t="s">
        <v>2065</v>
      </c>
      <c r="H1140" s="242"/>
      <c r="I1140" s="242"/>
      <c r="J1140" s="242"/>
      <c r="K1140" s="242"/>
    </row>
    <row r="1141" spans="1:11" ht="16" thickBot="1">
      <c r="A1141" s="207"/>
      <c r="B1141" s="204"/>
      <c r="C1141" s="236"/>
      <c r="D1141" s="219" t="s">
        <v>2228</v>
      </c>
      <c r="E1141" s="221" t="s">
        <v>2229</v>
      </c>
      <c r="F1141" s="221" t="s">
        <v>23</v>
      </c>
      <c r="G1141" s="221" t="s">
        <v>2230</v>
      </c>
      <c r="H1141" s="242"/>
      <c r="I1141" s="242"/>
      <c r="J1141" s="242"/>
      <c r="K1141" s="242"/>
    </row>
    <row r="1142" spans="1:11" ht="16" thickBot="1">
      <c r="A1142" s="207"/>
      <c r="B1142" s="204"/>
      <c r="C1142" s="236" t="s">
        <v>1694</v>
      </c>
      <c r="D1142" s="219" t="s">
        <v>2231</v>
      </c>
      <c r="E1142" s="221" t="s">
        <v>2232</v>
      </c>
      <c r="F1142" s="221" t="s">
        <v>16</v>
      </c>
      <c r="G1142" s="221" t="s">
        <v>2076</v>
      </c>
      <c r="H1142" s="242"/>
      <c r="I1142" s="242"/>
      <c r="J1142" s="242"/>
      <c r="K1142" s="242"/>
    </row>
    <row r="1143" spans="1:11" ht="16" thickBot="1">
      <c r="A1143" s="207"/>
      <c r="B1143" s="204"/>
      <c r="C1143" s="236"/>
      <c r="D1143" s="219" t="s">
        <v>2233</v>
      </c>
      <c r="E1143" s="221" t="s">
        <v>2234</v>
      </c>
      <c r="F1143" s="221" t="s">
        <v>23</v>
      </c>
      <c r="G1143" s="221" t="s">
        <v>2235</v>
      </c>
      <c r="H1143" s="242"/>
      <c r="I1143" s="242"/>
      <c r="J1143" s="242"/>
      <c r="K1143" s="242"/>
    </row>
    <row r="1144" spans="1:11" ht="16" thickBot="1">
      <c r="A1144" s="207"/>
      <c r="B1144" s="204"/>
      <c r="C1144" s="236"/>
      <c r="D1144" s="219" t="s">
        <v>2236</v>
      </c>
      <c r="E1144" s="221" t="s">
        <v>2237</v>
      </c>
      <c r="F1144" s="221" t="s">
        <v>58</v>
      </c>
      <c r="G1144" s="221" t="s">
        <v>2081</v>
      </c>
      <c r="H1144" s="242"/>
      <c r="I1144" s="242"/>
      <c r="J1144" s="242"/>
      <c r="K1144" s="242"/>
    </row>
    <row r="1145" spans="1:11" ht="16" thickBot="1">
      <c r="A1145" s="207"/>
      <c r="B1145" s="204"/>
      <c r="C1145" s="236"/>
      <c r="D1145" s="219" t="s">
        <v>2238</v>
      </c>
      <c r="E1145" s="221" t="s">
        <v>2239</v>
      </c>
      <c r="F1145" s="221" t="s">
        <v>16</v>
      </c>
      <c r="G1145" s="221" t="s">
        <v>2191</v>
      </c>
      <c r="H1145" s="242"/>
      <c r="I1145" s="242"/>
      <c r="J1145" s="242"/>
      <c r="K1145" s="242"/>
    </row>
    <row r="1146" spans="1:11" ht="16" thickBot="1">
      <c r="A1146" s="207"/>
      <c r="B1146" s="204"/>
      <c r="C1146" s="236"/>
      <c r="D1146" s="219" t="s">
        <v>2240</v>
      </c>
      <c r="E1146" s="221" t="s">
        <v>2241</v>
      </c>
      <c r="F1146" s="221" t="s">
        <v>23</v>
      </c>
      <c r="G1146" s="221" t="s">
        <v>1793</v>
      </c>
      <c r="H1146" s="242"/>
      <c r="I1146" s="242"/>
      <c r="J1146" s="242"/>
      <c r="K1146" s="242"/>
    </row>
    <row r="1147" spans="1:11" ht="16" thickBot="1">
      <c r="A1147" s="207"/>
      <c r="B1147" s="204"/>
      <c r="C1147" s="236" t="s">
        <v>1695</v>
      </c>
      <c r="D1147" s="219" t="s">
        <v>2242</v>
      </c>
      <c r="E1147" s="221" t="s">
        <v>2243</v>
      </c>
      <c r="F1147" s="221" t="s">
        <v>16</v>
      </c>
      <c r="G1147" s="221" t="s">
        <v>1821</v>
      </c>
      <c r="H1147" s="242"/>
      <c r="I1147" s="242"/>
      <c r="J1147" s="242"/>
      <c r="K1147" s="242"/>
    </row>
    <row r="1148" spans="1:11" ht="16" thickBot="1">
      <c r="A1148" s="207"/>
      <c r="B1148" s="204"/>
      <c r="C1148" s="236"/>
      <c r="D1148" s="219" t="s">
        <v>2244</v>
      </c>
      <c r="E1148" s="221" t="s">
        <v>2245</v>
      </c>
      <c r="F1148" s="221" t="s">
        <v>23</v>
      </c>
      <c r="G1148" s="221" t="s">
        <v>2064</v>
      </c>
      <c r="H1148" s="242"/>
      <c r="I1148" s="242"/>
      <c r="J1148" s="242"/>
      <c r="K1148" s="242"/>
    </row>
    <row r="1149" spans="1:11" ht="16" thickBot="1">
      <c r="A1149" s="207"/>
      <c r="B1149" s="204"/>
      <c r="C1149" s="236"/>
      <c r="D1149" s="219" t="s">
        <v>2246</v>
      </c>
      <c r="E1149" s="221" t="s">
        <v>2247</v>
      </c>
      <c r="F1149" s="221" t="s">
        <v>16</v>
      </c>
      <c r="G1149" s="221" t="s">
        <v>2248</v>
      </c>
      <c r="H1149" s="242"/>
      <c r="I1149" s="242"/>
      <c r="J1149" s="242"/>
      <c r="K1149" s="242"/>
    </row>
    <row r="1150" spans="1:11" ht="16" thickBot="1">
      <c r="A1150" s="207"/>
      <c r="B1150" s="204"/>
      <c r="C1150" s="236"/>
      <c r="D1150" s="219" t="s">
        <v>2249</v>
      </c>
      <c r="E1150" s="221" t="s">
        <v>2250</v>
      </c>
      <c r="F1150" s="221" t="s">
        <v>58</v>
      </c>
      <c r="G1150" s="221" t="s">
        <v>658</v>
      </c>
      <c r="H1150" s="242"/>
      <c r="I1150" s="242"/>
      <c r="J1150" s="242"/>
      <c r="K1150" s="242"/>
    </row>
    <row r="1151" spans="1:11" ht="16" thickBot="1">
      <c r="A1151" s="207"/>
      <c r="B1151" s="205"/>
      <c r="C1151" s="236"/>
      <c r="D1151" s="219" t="s">
        <v>2251</v>
      </c>
      <c r="E1151" s="221" t="s">
        <v>2252</v>
      </c>
      <c r="F1151" s="221" t="s">
        <v>23</v>
      </c>
      <c r="G1151" s="221" t="s">
        <v>2253</v>
      </c>
      <c r="H1151" s="242"/>
      <c r="I1151" s="242"/>
      <c r="J1151" s="242"/>
      <c r="K1151" s="242"/>
    </row>
    <row r="1152" spans="1:11" ht="16" thickBot="1">
      <c r="A1152" s="207"/>
      <c r="B1152" s="203" t="s">
        <v>1654</v>
      </c>
      <c r="C1152" s="236" t="s">
        <v>1696</v>
      </c>
      <c r="D1152" s="219" t="s">
        <v>2254</v>
      </c>
      <c r="E1152" s="221" t="s">
        <v>2255</v>
      </c>
      <c r="F1152" s="221" t="s">
        <v>16</v>
      </c>
      <c r="G1152" s="221" t="s">
        <v>599</v>
      </c>
      <c r="H1152" s="242"/>
      <c r="I1152" s="242"/>
      <c r="J1152" s="242"/>
      <c r="K1152" s="242"/>
    </row>
    <row r="1153" spans="1:11" ht="16" thickBot="1">
      <c r="A1153" s="207"/>
      <c r="B1153" s="204"/>
      <c r="C1153" s="236"/>
      <c r="D1153" s="219" t="s">
        <v>2256</v>
      </c>
      <c r="E1153" s="221" t="s">
        <v>2257</v>
      </c>
      <c r="F1153" s="221" t="s">
        <v>23</v>
      </c>
      <c r="G1153" s="221" t="s">
        <v>2108</v>
      </c>
      <c r="H1153" s="242"/>
      <c r="I1153" s="242"/>
      <c r="J1153" s="242"/>
      <c r="K1153" s="242"/>
    </row>
    <row r="1154" spans="1:11" ht="16" thickBot="1">
      <c r="A1154" s="207"/>
      <c r="B1154" s="204"/>
      <c r="C1154" s="236"/>
      <c r="D1154" s="219" t="s">
        <v>2098</v>
      </c>
      <c r="E1154" s="221" t="s">
        <v>2258</v>
      </c>
      <c r="F1154" s="221" t="s">
        <v>58</v>
      </c>
      <c r="G1154" s="221" t="s">
        <v>646</v>
      </c>
      <c r="H1154" s="242"/>
      <c r="I1154" s="242"/>
      <c r="J1154" s="242"/>
      <c r="K1154" s="242"/>
    </row>
    <row r="1155" spans="1:11" ht="16" thickBot="1">
      <c r="A1155" s="207"/>
      <c r="B1155" s="204"/>
      <c r="C1155" s="236"/>
      <c r="D1155" s="219" t="s">
        <v>2259</v>
      </c>
      <c r="E1155" s="221" t="s">
        <v>2260</v>
      </c>
      <c r="F1155" s="221" t="s">
        <v>16</v>
      </c>
      <c r="G1155" s="221" t="s">
        <v>2261</v>
      </c>
      <c r="H1155" s="242"/>
      <c r="I1155" s="242"/>
      <c r="J1155" s="242"/>
      <c r="K1155" s="242"/>
    </row>
    <row r="1156" spans="1:11" ht="16" thickBot="1">
      <c r="A1156" s="207"/>
      <c r="B1156" s="204"/>
      <c r="C1156" s="236"/>
      <c r="D1156" s="219" t="s">
        <v>2262</v>
      </c>
      <c r="E1156" s="221" t="s">
        <v>2263</v>
      </c>
      <c r="F1156" s="221" t="s">
        <v>23</v>
      </c>
      <c r="G1156" s="221" t="s">
        <v>2065</v>
      </c>
      <c r="H1156" s="242"/>
      <c r="I1156" s="242"/>
      <c r="J1156" s="242"/>
      <c r="K1156" s="242"/>
    </row>
    <row r="1157" spans="1:11" ht="16" thickBot="1">
      <c r="A1157" s="207"/>
      <c r="B1157" s="204"/>
      <c r="C1157" s="236" t="s">
        <v>1697</v>
      </c>
      <c r="D1157" s="215" t="s">
        <v>2264</v>
      </c>
      <c r="E1157" s="217" t="s">
        <v>2265</v>
      </c>
      <c r="F1157" s="217" t="s">
        <v>16</v>
      </c>
      <c r="G1157" s="217" t="s">
        <v>2081</v>
      </c>
      <c r="H1157" s="242"/>
      <c r="I1157" s="242"/>
      <c r="J1157" s="242"/>
      <c r="K1157" s="242"/>
    </row>
    <row r="1158" spans="1:11" ht="16" thickBot="1">
      <c r="A1158" s="207"/>
      <c r="B1158" s="204"/>
      <c r="C1158" s="236"/>
      <c r="D1158" s="219" t="s">
        <v>2266</v>
      </c>
      <c r="E1158" s="221" t="s">
        <v>2267</v>
      </c>
      <c r="F1158" s="221" t="s">
        <v>23</v>
      </c>
      <c r="G1158" s="221" t="s">
        <v>2069</v>
      </c>
      <c r="H1158" s="242"/>
      <c r="I1158" s="242"/>
      <c r="J1158" s="242"/>
      <c r="K1158" s="242"/>
    </row>
    <row r="1159" spans="1:11" ht="16" thickBot="1">
      <c r="A1159" s="207"/>
      <c r="B1159" s="204"/>
      <c r="C1159" s="236"/>
      <c r="D1159" s="219" t="s">
        <v>2268</v>
      </c>
      <c r="E1159" s="221" t="s">
        <v>2269</v>
      </c>
      <c r="F1159" s="221" t="s">
        <v>58</v>
      </c>
      <c r="G1159" s="221" t="s">
        <v>1780</v>
      </c>
      <c r="H1159" s="242"/>
      <c r="I1159" s="242"/>
      <c r="J1159" s="242"/>
      <c r="K1159" s="242"/>
    </row>
    <row r="1160" spans="1:11" ht="16" thickBot="1">
      <c r="A1160" s="207"/>
      <c r="B1160" s="204"/>
      <c r="C1160" s="236"/>
      <c r="D1160" s="219" t="s">
        <v>2270</v>
      </c>
      <c r="E1160" s="223" t="s">
        <v>2271</v>
      </c>
      <c r="F1160" s="221" t="s">
        <v>16</v>
      </c>
      <c r="G1160" s="221" t="s">
        <v>2080</v>
      </c>
      <c r="H1160" s="242"/>
      <c r="I1160" s="242"/>
      <c r="J1160" s="242"/>
      <c r="K1160" s="242"/>
    </row>
    <row r="1161" spans="1:11" ht="16" thickBot="1">
      <c r="A1161" s="207"/>
      <c r="B1161" s="204"/>
      <c r="C1161" s="236"/>
      <c r="D1161" s="219" t="s">
        <v>2272</v>
      </c>
      <c r="E1161" s="221" t="s">
        <v>2273</v>
      </c>
      <c r="F1161" s="221" t="s">
        <v>23</v>
      </c>
      <c r="G1161" s="221" t="s">
        <v>599</v>
      </c>
      <c r="H1161" s="242"/>
      <c r="I1161" s="242"/>
      <c r="J1161" s="242"/>
      <c r="K1161" s="242"/>
    </row>
    <row r="1162" spans="1:11" ht="16" thickBot="1">
      <c r="A1162" s="207"/>
      <c r="B1162" s="204"/>
      <c r="C1162" s="236" t="s">
        <v>1698</v>
      </c>
      <c r="D1162" s="219" t="s">
        <v>2274</v>
      </c>
      <c r="E1162" s="221" t="s">
        <v>2275</v>
      </c>
      <c r="F1162" s="221" t="s">
        <v>16</v>
      </c>
      <c r="G1162" s="221" t="s">
        <v>2065</v>
      </c>
      <c r="H1162" s="242"/>
      <c r="I1162" s="242"/>
      <c r="J1162" s="242"/>
      <c r="K1162" s="242"/>
    </row>
    <row r="1163" spans="1:11" ht="16" thickBot="1">
      <c r="A1163" s="207"/>
      <c r="B1163" s="204"/>
      <c r="C1163" s="236"/>
      <c r="D1163" s="219" t="s">
        <v>2276</v>
      </c>
      <c r="E1163" s="221" t="s">
        <v>2277</v>
      </c>
      <c r="F1163" s="221" t="s">
        <v>23</v>
      </c>
      <c r="G1163" s="221" t="s">
        <v>1771</v>
      </c>
      <c r="H1163" s="242"/>
      <c r="I1163" s="242"/>
      <c r="J1163" s="242"/>
      <c r="K1163" s="242"/>
    </row>
    <row r="1164" spans="1:11" ht="16" thickBot="1">
      <c r="A1164" s="207"/>
      <c r="B1164" s="204"/>
      <c r="C1164" s="236"/>
      <c r="D1164" s="219" t="s">
        <v>2278</v>
      </c>
      <c r="E1164" s="221" t="s">
        <v>2279</v>
      </c>
      <c r="F1164" s="221" t="s">
        <v>16</v>
      </c>
      <c r="G1164" s="221" t="s">
        <v>2145</v>
      </c>
      <c r="H1164" s="242"/>
      <c r="I1164" s="242"/>
      <c r="J1164" s="242"/>
      <c r="K1164" s="242"/>
    </row>
    <row r="1165" spans="1:11" ht="16" thickBot="1">
      <c r="A1165" s="207"/>
      <c r="B1165" s="204"/>
      <c r="C1165" s="236"/>
      <c r="D1165" s="219" t="s">
        <v>2154</v>
      </c>
      <c r="E1165" s="221" t="s">
        <v>2280</v>
      </c>
      <c r="F1165" s="221" t="s">
        <v>58</v>
      </c>
      <c r="G1165" s="221" t="s">
        <v>1821</v>
      </c>
      <c r="H1165" s="242"/>
      <c r="I1165" s="242"/>
      <c r="J1165" s="242"/>
      <c r="K1165" s="242"/>
    </row>
    <row r="1166" spans="1:11" ht="16" thickBot="1">
      <c r="A1166" s="207"/>
      <c r="B1166" s="204"/>
      <c r="C1166" s="236"/>
      <c r="D1166" s="219" t="s">
        <v>2281</v>
      </c>
      <c r="E1166" s="221" t="s">
        <v>2282</v>
      </c>
      <c r="F1166" s="221" t="s">
        <v>23</v>
      </c>
      <c r="G1166" s="221" t="s">
        <v>646</v>
      </c>
      <c r="H1166" s="242"/>
      <c r="I1166" s="242"/>
      <c r="J1166" s="242"/>
      <c r="K1166" s="242"/>
    </row>
    <row r="1167" spans="1:11" ht="16" thickBot="1">
      <c r="A1167" s="207"/>
      <c r="B1167" s="204"/>
      <c r="C1167" s="236" t="s">
        <v>1699</v>
      </c>
      <c r="D1167" s="219" t="s">
        <v>2283</v>
      </c>
      <c r="E1167" s="221" t="s">
        <v>2284</v>
      </c>
      <c r="F1167" s="221" t="s">
        <v>16</v>
      </c>
      <c r="G1167" s="221" t="s">
        <v>1786</v>
      </c>
      <c r="H1167" s="242"/>
      <c r="I1167" s="242"/>
      <c r="J1167" s="242"/>
      <c r="K1167" s="242"/>
    </row>
    <row r="1168" spans="1:11" ht="16" thickBot="1">
      <c r="A1168" s="207"/>
      <c r="B1168" s="204"/>
      <c r="C1168" s="236"/>
      <c r="D1168" s="219" t="s">
        <v>2285</v>
      </c>
      <c r="E1168" s="221" t="s">
        <v>2286</v>
      </c>
      <c r="F1168" s="221" t="s">
        <v>23</v>
      </c>
      <c r="G1168" s="221" t="s">
        <v>1780</v>
      </c>
      <c r="H1168" s="242"/>
      <c r="I1168" s="242"/>
      <c r="J1168" s="242"/>
      <c r="K1168" s="242"/>
    </row>
    <row r="1169" spans="1:11" ht="16" thickBot="1">
      <c r="A1169" s="207"/>
      <c r="B1169" s="204"/>
      <c r="C1169" s="236"/>
      <c r="D1169" s="219" t="s">
        <v>2287</v>
      </c>
      <c r="E1169" s="221" t="s">
        <v>2288</v>
      </c>
      <c r="F1169" s="221" t="s">
        <v>58</v>
      </c>
      <c r="G1169" s="221" t="s">
        <v>1793</v>
      </c>
      <c r="H1169" s="242"/>
      <c r="I1169" s="242"/>
      <c r="J1169" s="242"/>
      <c r="K1169" s="242"/>
    </row>
    <row r="1170" spans="1:11" ht="16" thickBot="1">
      <c r="A1170" s="207"/>
      <c r="B1170" s="204"/>
      <c r="C1170" s="236"/>
      <c r="D1170" s="219" t="s">
        <v>2289</v>
      </c>
      <c r="E1170" s="221" t="s">
        <v>2290</v>
      </c>
      <c r="F1170" s="221" t="s">
        <v>16</v>
      </c>
      <c r="G1170" s="221" t="s">
        <v>2070</v>
      </c>
      <c r="H1170" s="242"/>
      <c r="I1170" s="242"/>
      <c r="J1170" s="242"/>
      <c r="K1170" s="242"/>
    </row>
    <row r="1171" spans="1:11" ht="16" thickBot="1">
      <c r="A1171" s="207"/>
      <c r="B1171" s="204"/>
      <c r="C1171" s="236"/>
      <c r="D1171" s="219" t="s">
        <v>2291</v>
      </c>
      <c r="E1171" s="223" t="s">
        <v>2292</v>
      </c>
      <c r="F1171" s="221" t="s">
        <v>23</v>
      </c>
      <c r="G1171" s="221" t="s">
        <v>646</v>
      </c>
      <c r="H1171" s="242"/>
      <c r="I1171" s="242"/>
      <c r="J1171" s="242"/>
      <c r="K1171" s="242"/>
    </row>
    <row r="1172" spans="1:11" ht="16" thickBot="1">
      <c r="A1172" s="207"/>
      <c r="B1172" s="204"/>
      <c r="C1172" s="236" t="s">
        <v>1700</v>
      </c>
      <c r="D1172" s="219" t="s">
        <v>2293</v>
      </c>
      <c r="E1172" s="221" t="s">
        <v>2294</v>
      </c>
      <c r="F1172" s="221" t="s">
        <v>16</v>
      </c>
      <c r="G1172" s="221" t="s">
        <v>1793</v>
      </c>
      <c r="H1172" s="242"/>
      <c r="I1172" s="242"/>
      <c r="J1172" s="242"/>
      <c r="K1172" s="242"/>
    </row>
    <row r="1173" spans="1:11" ht="16" thickBot="1">
      <c r="A1173" s="207"/>
      <c r="B1173" s="204"/>
      <c r="C1173" s="236"/>
      <c r="D1173" s="219" t="s">
        <v>2295</v>
      </c>
      <c r="E1173" s="221" t="s">
        <v>2296</v>
      </c>
      <c r="F1173" s="221" t="s">
        <v>23</v>
      </c>
      <c r="G1173" s="221" t="s">
        <v>1780</v>
      </c>
      <c r="H1173" s="242"/>
      <c r="I1173" s="242"/>
      <c r="J1173" s="242"/>
      <c r="K1173" s="242"/>
    </row>
    <row r="1174" spans="1:11" ht="16" thickBot="1">
      <c r="A1174" s="207"/>
      <c r="B1174" s="204"/>
      <c r="C1174" s="236"/>
      <c r="D1174" s="219" t="s">
        <v>2297</v>
      </c>
      <c r="E1174" s="221" t="s">
        <v>2298</v>
      </c>
      <c r="F1174" s="221" t="s">
        <v>58</v>
      </c>
      <c r="G1174" s="221" t="s">
        <v>2299</v>
      </c>
      <c r="H1174" s="242"/>
      <c r="I1174" s="242"/>
      <c r="J1174" s="242"/>
      <c r="K1174" s="242"/>
    </row>
    <row r="1175" spans="1:11" ht="16" thickBot="1">
      <c r="A1175" s="207"/>
      <c r="B1175" s="204"/>
      <c r="C1175" s="236"/>
      <c r="D1175" s="219" t="s">
        <v>2300</v>
      </c>
      <c r="E1175" s="221" t="s">
        <v>2301</v>
      </c>
      <c r="F1175" s="221" t="s">
        <v>16</v>
      </c>
      <c r="G1175" s="221" t="s">
        <v>1812</v>
      </c>
      <c r="H1175" s="242"/>
      <c r="I1175" s="242"/>
      <c r="J1175" s="242"/>
      <c r="K1175" s="242"/>
    </row>
    <row r="1176" spans="1:11" ht="16" thickBot="1">
      <c r="A1176" s="207"/>
      <c r="B1176" s="205"/>
      <c r="C1176" s="236"/>
      <c r="D1176" s="219" t="s">
        <v>2302</v>
      </c>
      <c r="E1176" s="221" t="s">
        <v>2303</v>
      </c>
      <c r="F1176" s="221" t="s">
        <v>23</v>
      </c>
      <c r="G1176" s="221" t="s">
        <v>1786</v>
      </c>
      <c r="H1176" s="242"/>
      <c r="I1176" s="242"/>
      <c r="J1176" s="242"/>
      <c r="K1176" s="242"/>
    </row>
    <row r="1177" spans="1:11" ht="16" thickBot="1">
      <c r="A1177" s="207"/>
      <c r="B1177" s="203" t="s">
        <v>1655</v>
      </c>
      <c r="C1177" s="236" t="s">
        <v>1701</v>
      </c>
      <c r="D1177" s="219" t="s">
        <v>2304</v>
      </c>
      <c r="E1177" s="221" t="s">
        <v>2305</v>
      </c>
      <c r="F1177" s="221" t="s">
        <v>16</v>
      </c>
      <c r="G1177" s="221" t="s">
        <v>2248</v>
      </c>
      <c r="H1177" s="242"/>
      <c r="I1177" s="242"/>
      <c r="J1177" s="242"/>
      <c r="K1177" s="242"/>
    </row>
    <row r="1178" spans="1:11" ht="16" thickBot="1">
      <c r="A1178" s="207"/>
      <c r="B1178" s="204"/>
      <c r="C1178" s="236"/>
      <c r="D1178" s="219" t="s">
        <v>2306</v>
      </c>
      <c r="E1178" s="221" t="s">
        <v>2307</v>
      </c>
      <c r="F1178" s="221" t="s">
        <v>23</v>
      </c>
      <c r="G1178" s="221" t="s">
        <v>1793</v>
      </c>
      <c r="H1178" s="242"/>
      <c r="I1178" s="242"/>
      <c r="J1178" s="242"/>
      <c r="K1178" s="242"/>
    </row>
    <row r="1179" spans="1:11" ht="16" thickBot="1">
      <c r="A1179" s="207"/>
      <c r="B1179" s="204"/>
      <c r="C1179" s="236"/>
      <c r="D1179" s="219" t="s">
        <v>2308</v>
      </c>
      <c r="E1179" s="221" t="s">
        <v>2309</v>
      </c>
      <c r="F1179" s="221" t="s">
        <v>58</v>
      </c>
      <c r="G1179" s="221" t="s">
        <v>2077</v>
      </c>
      <c r="H1179" s="242"/>
      <c r="I1179" s="242"/>
      <c r="J1179" s="242"/>
      <c r="K1179" s="242"/>
    </row>
    <row r="1180" spans="1:11" ht="16" thickBot="1">
      <c r="A1180" s="207"/>
      <c r="B1180" s="204"/>
      <c r="C1180" s="236"/>
      <c r="D1180" s="219" t="s">
        <v>2310</v>
      </c>
      <c r="E1180" s="221" t="s">
        <v>2311</v>
      </c>
      <c r="F1180" s="221" t="s">
        <v>16</v>
      </c>
      <c r="G1180" s="221" t="s">
        <v>1796</v>
      </c>
      <c r="H1180" s="242"/>
      <c r="I1180" s="242"/>
      <c r="J1180" s="242"/>
      <c r="K1180" s="242"/>
    </row>
    <row r="1181" spans="1:11" ht="16" thickBot="1">
      <c r="A1181" s="207"/>
      <c r="B1181" s="204"/>
      <c r="C1181" s="236"/>
      <c r="D1181" s="219" t="s">
        <v>2312</v>
      </c>
      <c r="E1181" s="221" t="s">
        <v>2313</v>
      </c>
      <c r="F1181" s="221" t="s">
        <v>23</v>
      </c>
      <c r="G1181" s="221" t="s">
        <v>2064</v>
      </c>
      <c r="H1181" s="242"/>
      <c r="I1181" s="242"/>
      <c r="J1181" s="242"/>
      <c r="K1181" s="242"/>
    </row>
    <row r="1182" spans="1:11" ht="16" thickBot="1">
      <c r="A1182" s="207"/>
      <c r="B1182" s="204"/>
      <c r="C1182" s="236" t="s">
        <v>1697</v>
      </c>
      <c r="D1182" s="215" t="s">
        <v>2314</v>
      </c>
      <c r="E1182" s="217" t="s">
        <v>2315</v>
      </c>
      <c r="F1182" s="217" t="s">
        <v>23</v>
      </c>
      <c r="G1182" s="217" t="s">
        <v>1793</v>
      </c>
      <c r="H1182" s="242"/>
      <c r="I1182" s="242"/>
      <c r="J1182" s="242"/>
      <c r="K1182" s="242"/>
    </row>
    <row r="1183" spans="1:11" ht="16" thickBot="1">
      <c r="A1183" s="207"/>
      <c r="B1183" s="204"/>
      <c r="C1183" s="236"/>
      <c r="D1183" s="219" t="s">
        <v>2316</v>
      </c>
      <c r="E1183" s="221" t="s">
        <v>2317</v>
      </c>
      <c r="F1183" s="221" t="s">
        <v>16</v>
      </c>
      <c r="G1183" s="221" t="s">
        <v>1780</v>
      </c>
      <c r="H1183" s="242"/>
      <c r="I1183" s="242"/>
      <c r="J1183" s="242"/>
      <c r="K1183" s="242"/>
    </row>
    <row r="1184" spans="1:11" ht="16" thickBot="1">
      <c r="A1184" s="207"/>
      <c r="B1184" s="204"/>
      <c r="C1184" s="236"/>
      <c r="D1184" s="219" t="s">
        <v>2318</v>
      </c>
      <c r="E1184" s="221" t="s">
        <v>2319</v>
      </c>
      <c r="F1184" s="221" t="s">
        <v>58</v>
      </c>
      <c r="G1184" s="221" t="s">
        <v>2068</v>
      </c>
      <c r="H1184" s="242"/>
      <c r="I1184" s="242"/>
      <c r="J1184" s="242"/>
      <c r="K1184" s="242"/>
    </row>
    <row r="1185" spans="1:11" ht="16" thickBot="1">
      <c r="A1185" s="207"/>
      <c r="B1185" s="204"/>
      <c r="C1185" s="236"/>
      <c r="D1185" s="219" t="s">
        <v>2320</v>
      </c>
      <c r="E1185" s="221" t="s">
        <v>2321</v>
      </c>
      <c r="F1185" s="221" t="s">
        <v>16</v>
      </c>
      <c r="G1185" s="221" t="s">
        <v>1786</v>
      </c>
      <c r="H1185" s="242"/>
      <c r="I1185" s="242"/>
      <c r="J1185" s="242"/>
      <c r="K1185" s="242"/>
    </row>
    <row r="1186" spans="1:11" ht="16" thickBot="1">
      <c r="A1186" s="207"/>
      <c r="B1186" s="204"/>
      <c r="C1186" s="236"/>
      <c r="D1186" s="219" t="s">
        <v>2322</v>
      </c>
      <c r="E1186" s="221" t="s">
        <v>2323</v>
      </c>
      <c r="F1186" s="221" t="s">
        <v>23</v>
      </c>
      <c r="G1186" s="221" t="s">
        <v>658</v>
      </c>
      <c r="H1186" s="242"/>
      <c r="I1186" s="242"/>
      <c r="J1186" s="242"/>
      <c r="K1186" s="242"/>
    </row>
    <row r="1187" spans="1:11" ht="16" thickBot="1">
      <c r="A1187" s="207"/>
      <c r="B1187" s="204"/>
      <c r="C1187" s="236" t="s">
        <v>1702</v>
      </c>
      <c r="D1187" s="219" t="s">
        <v>2324</v>
      </c>
      <c r="E1187" s="221" t="s">
        <v>2325</v>
      </c>
      <c r="F1187" s="221" t="s">
        <v>16</v>
      </c>
      <c r="G1187" s="221" t="s">
        <v>1803</v>
      </c>
      <c r="H1187" s="242"/>
      <c r="I1187" s="242"/>
      <c r="J1187" s="242"/>
      <c r="K1187" s="242"/>
    </row>
    <row r="1188" spans="1:11" ht="16" thickBot="1">
      <c r="A1188" s="207"/>
      <c r="B1188" s="204"/>
      <c r="C1188" s="236"/>
      <c r="D1188" s="219" t="s">
        <v>2326</v>
      </c>
      <c r="E1188" s="221" t="s">
        <v>2327</v>
      </c>
      <c r="F1188" s="221" t="s">
        <v>23</v>
      </c>
      <c r="G1188" s="221" t="s">
        <v>1780</v>
      </c>
      <c r="H1188" s="242"/>
      <c r="I1188" s="242"/>
      <c r="J1188" s="242"/>
      <c r="K1188" s="242"/>
    </row>
    <row r="1189" spans="1:11" ht="16" thickBot="1">
      <c r="A1189" s="207"/>
      <c r="B1189" s="204"/>
      <c r="C1189" s="236"/>
      <c r="D1189" s="219" t="s">
        <v>2328</v>
      </c>
      <c r="E1189" s="221" t="s">
        <v>2329</v>
      </c>
      <c r="F1189" s="221" t="s">
        <v>58</v>
      </c>
      <c r="G1189" s="221" t="s">
        <v>599</v>
      </c>
      <c r="H1189" s="242"/>
      <c r="I1189" s="242"/>
      <c r="J1189" s="242"/>
      <c r="K1189" s="242"/>
    </row>
    <row r="1190" spans="1:11" ht="16" thickBot="1">
      <c r="A1190" s="207"/>
      <c r="B1190" s="204"/>
      <c r="C1190" s="236"/>
      <c r="D1190" s="219" t="s">
        <v>2330</v>
      </c>
      <c r="E1190" s="221" t="s">
        <v>2331</v>
      </c>
      <c r="F1190" s="221" t="s">
        <v>16</v>
      </c>
      <c r="G1190" s="221" t="s">
        <v>1796</v>
      </c>
      <c r="H1190" s="242"/>
      <c r="I1190" s="242"/>
      <c r="J1190" s="242"/>
      <c r="K1190" s="242"/>
    </row>
    <row r="1191" spans="1:11" ht="16" thickBot="1">
      <c r="A1191" s="207"/>
      <c r="B1191" s="204"/>
      <c r="C1191" s="236"/>
      <c r="D1191" s="219" t="s">
        <v>2332</v>
      </c>
      <c r="E1191" s="221" t="s">
        <v>2333</v>
      </c>
      <c r="F1191" s="221" t="s">
        <v>23</v>
      </c>
      <c r="G1191" s="221" t="s">
        <v>2248</v>
      </c>
      <c r="H1191" s="242"/>
      <c r="I1191" s="242"/>
      <c r="J1191" s="242"/>
      <c r="K1191" s="242"/>
    </row>
    <row r="1192" spans="1:11" ht="16" thickBot="1">
      <c r="A1192" s="207"/>
      <c r="B1192" s="204"/>
      <c r="C1192" s="236" t="s">
        <v>1703</v>
      </c>
      <c r="D1192" s="219" t="s">
        <v>2334</v>
      </c>
      <c r="E1192" s="221" t="s">
        <v>2335</v>
      </c>
      <c r="F1192" s="221" t="s">
        <v>23</v>
      </c>
      <c r="G1192" s="221" t="s">
        <v>1783</v>
      </c>
      <c r="H1192" s="242"/>
      <c r="I1192" s="242"/>
      <c r="J1192" s="242"/>
      <c r="K1192" s="242"/>
    </row>
    <row r="1193" spans="1:11" ht="16" thickBot="1">
      <c r="A1193" s="207"/>
      <c r="B1193" s="204"/>
      <c r="C1193" s="236"/>
      <c r="D1193" s="219" t="s">
        <v>2336</v>
      </c>
      <c r="E1193" s="221" t="s">
        <v>2337</v>
      </c>
      <c r="F1193" s="221" t="s">
        <v>16</v>
      </c>
      <c r="G1193" s="221" t="s">
        <v>1793</v>
      </c>
      <c r="H1193" s="242"/>
      <c r="I1193" s="242"/>
      <c r="J1193" s="242"/>
      <c r="K1193" s="242"/>
    </row>
    <row r="1194" spans="1:11" ht="16" thickBot="1">
      <c r="A1194" s="207"/>
      <c r="B1194" s="204"/>
      <c r="C1194" s="236"/>
      <c r="D1194" s="219" t="s">
        <v>2338</v>
      </c>
      <c r="E1194" s="221" t="s">
        <v>2339</v>
      </c>
      <c r="F1194" s="221" t="s">
        <v>58</v>
      </c>
      <c r="G1194" s="221" t="s">
        <v>1771</v>
      </c>
      <c r="H1194" s="242"/>
      <c r="I1194" s="242"/>
      <c r="J1194" s="242"/>
      <c r="K1194" s="242"/>
    </row>
    <row r="1195" spans="1:11" ht="16" thickBot="1">
      <c r="A1195" s="207"/>
      <c r="B1195" s="204"/>
      <c r="C1195" s="236"/>
      <c r="D1195" s="219" t="s">
        <v>2340</v>
      </c>
      <c r="E1195" s="221" t="s">
        <v>2341</v>
      </c>
      <c r="F1195" s="221" t="s">
        <v>16</v>
      </c>
      <c r="G1195" s="221" t="s">
        <v>2145</v>
      </c>
      <c r="H1195" s="242"/>
      <c r="I1195" s="242"/>
      <c r="J1195" s="242"/>
      <c r="K1195" s="242"/>
    </row>
    <row r="1196" spans="1:11" ht="16" thickBot="1">
      <c r="A1196" s="207"/>
      <c r="B1196" s="204"/>
      <c r="C1196" s="236"/>
      <c r="D1196" s="219" t="s">
        <v>2342</v>
      </c>
      <c r="E1196" s="221" t="s">
        <v>2343</v>
      </c>
      <c r="F1196" s="221" t="s">
        <v>23</v>
      </c>
      <c r="G1196" s="221" t="s">
        <v>1780</v>
      </c>
      <c r="H1196" s="242"/>
      <c r="I1196" s="242"/>
      <c r="J1196" s="242"/>
      <c r="K1196" s="242"/>
    </row>
    <row r="1197" spans="1:11" ht="16" thickBot="1">
      <c r="A1197" s="207"/>
      <c r="B1197" s="204"/>
      <c r="C1197" s="236" t="s">
        <v>1704</v>
      </c>
      <c r="D1197" s="219" t="s">
        <v>2344</v>
      </c>
      <c r="E1197" s="221" t="s">
        <v>2345</v>
      </c>
      <c r="F1197" s="221" t="s">
        <v>16</v>
      </c>
      <c r="G1197" s="221" t="s">
        <v>658</v>
      </c>
      <c r="H1197" s="242"/>
      <c r="I1197" s="242"/>
      <c r="J1197" s="242"/>
      <c r="K1197" s="242"/>
    </row>
    <row r="1198" spans="1:11" ht="16" thickBot="1">
      <c r="A1198" s="207"/>
      <c r="B1198" s="204"/>
      <c r="C1198" s="236"/>
      <c r="D1198" s="219" t="s">
        <v>2346</v>
      </c>
      <c r="E1198" s="221" t="s">
        <v>2347</v>
      </c>
      <c r="F1198" s="221" t="s">
        <v>23</v>
      </c>
      <c r="G1198" s="221" t="s">
        <v>1771</v>
      </c>
      <c r="H1198" s="242"/>
      <c r="I1198" s="242"/>
      <c r="J1198" s="242"/>
      <c r="K1198" s="242"/>
    </row>
    <row r="1199" spans="1:11" ht="16" thickBot="1">
      <c r="A1199" s="207"/>
      <c r="B1199" s="204"/>
      <c r="C1199" s="236"/>
      <c r="D1199" s="219" t="s">
        <v>2348</v>
      </c>
      <c r="E1199" s="221" t="s">
        <v>2349</v>
      </c>
      <c r="F1199" s="221" t="s">
        <v>58</v>
      </c>
      <c r="G1199" s="221" t="s">
        <v>646</v>
      </c>
      <c r="H1199" s="242"/>
      <c r="I1199" s="242"/>
      <c r="J1199" s="242"/>
      <c r="K1199" s="242"/>
    </row>
    <row r="1200" spans="1:11" ht="16" thickBot="1">
      <c r="A1200" s="207"/>
      <c r="B1200" s="204"/>
      <c r="C1200" s="236"/>
      <c r="D1200" s="219" t="s">
        <v>2350</v>
      </c>
      <c r="E1200" s="221" t="s">
        <v>2351</v>
      </c>
      <c r="F1200" s="221" t="s">
        <v>16</v>
      </c>
      <c r="G1200" s="221" t="s">
        <v>2064</v>
      </c>
      <c r="H1200" s="242"/>
      <c r="I1200" s="242"/>
      <c r="J1200" s="242"/>
      <c r="K1200" s="242"/>
    </row>
    <row r="1201" spans="1:11" ht="16" thickBot="1">
      <c r="A1201" s="207"/>
      <c r="B1201" s="205"/>
      <c r="C1201" s="236"/>
      <c r="D1201" s="219" t="s">
        <v>2352</v>
      </c>
      <c r="E1201" s="221" t="s">
        <v>2353</v>
      </c>
      <c r="F1201" s="221" t="s">
        <v>23</v>
      </c>
      <c r="G1201" s="221" t="s">
        <v>1793</v>
      </c>
      <c r="H1201" s="242"/>
      <c r="I1201" s="242"/>
      <c r="J1201" s="242"/>
      <c r="K1201" s="242"/>
    </row>
    <row r="1202" spans="1:11" ht="16" thickBot="1">
      <c r="A1202" s="207"/>
      <c r="B1202" s="203" t="s">
        <v>1656</v>
      </c>
      <c r="C1202" s="236" t="s">
        <v>1705</v>
      </c>
      <c r="D1202" s="219" t="s">
        <v>2354</v>
      </c>
      <c r="E1202" s="221" t="s">
        <v>2355</v>
      </c>
      <c r="F1202" s="221" t="s">
        <v>16</v>
      </c>
      <c r="G1202" s="221" t="s">
        <v>599</v>
      </c>
      <c r="H1202" s="242"/>
      <c r="I1202" s="242"/>
      <c r="J1202" s="242"/>
      <c r="K1202" s="242"/>
    </row>
    <row r="1203" spans="1:11" ht="16" thickBot="1">
      <c r="A1203" s="207"/>
      <c r="B1203" s="204"/>
      <c r="C1203" s="236"/>
      <c r="D1203" s="219" t="s">
        <v>2356</v>
      </c>
      <c r="E1203" s="221" t="s">
        <v>2357</v>
      </c>
      <c r="F1203" s="221" t="s">
        <v>23</v>
      </c>
      <c r="G1203" s="221" t="s">
        <v>2080</v>
      </c>
      <c r="H1203" s="242"/>
      <c r="I1203" s="242"/>
      <c r="J1203" s="242"/>
      <c r="K1203" s="242"/>
    </row>
    <row r="1204" spans="1:11" ht="16" thickBot="1">
      <c r="A1204" s="207"/>
      <c r="B1204" s="204"/>
      <c r="C1204" s="236"/>
      <c r="D1204" s="219" t="s">
        <v>2358</v>
      </c>
      <c r="E1204" s="221" t="s">
        <v>2359</v>
      </c>
      <c r="F1204" s="221" t="s">
        <v>16</v>
      </c>
      <c r="G1204" s="221" t="s">
        <v>1796</v>
      </c>
      <c r="H1204" s="242"/>
      <c r="I1204" s="242"/>
      <c r="J1204" s="242"/>
      <c r="K1204" s="242"/>
    </row>
    <row r="1205" spans="1:11" ht="16" thickBot="1">
      <c r="A1205" s="207"/>
      <c r="B1205" s="204"/>
      <c r="C1205" s="236"/>
      <c r="D1205" s="219" t="s">
        <v>2360</v>
      </c>
      <c r="E1205" s="221" t="s">
        <v>2361</v>
      </c>
      <c r="F1205" s="221" t="s">
        <v>58</v>
      </c>
      <c r="G1205" s="221" t="s">
        <v>646</v>
      </c>
      <c r="H1205" s="242"/>
      <c r="I1205" s="242"/>
      <c r="J1205" s="242"/>
      <c r="K1205" s="242"/>
    </row>
    <row r="1206" spans="1:11" ht="16" thickBot="1">
      <c r="A1206" s="207"/>
      <c r="B1206" s="204"/>
      <c r="C1206" s="236"/>
      <c r="D1206" s="219" t="s">
        <v>2362</v>
      </c>
      <c r="E1206" s="221" t="s">
        <v>2363</v>
      </c>
      <c r="F1206" s="221" t="s">
        <v>23</v>
      </c>
      <c r="G1206" s="221" t="s">
        <v>1821</v>
      </c>
      <c r="H1206" s="242"/>
      <c r="I1206" s="242"/>
      <c r="J1206" s="242"/>
      <c r="K1206" s="242"/>
    </row>
    <row r="1207" spans="1:11" ht="16" thickBot="1">
      <c r="A1207" s="207"/>
      <c r="B1207" s="204"/>
      <c r="C1207" s="236" t="s">
        <v>1706</v>
      </c>
      <c r="D1207" s="215" t="s">
        <v>2364</v>
      </c>
      <c r="E1207" s="217" t="s">
        <v>2355</v>
      </c>
      <c r="F1207" s="217" t="s">
        <v>16</v>
      </c>
      <c r="G1207" s="217" t="s">
        <v>599</v>
      </c>
      <c r="H1207" s="242"/>
      <c r="I1207" s="242"/>
      <c r="J1207" s="242"/>
      <c r="K1207" s="242"/>
    </row>
    <row r="1208" spans="1:11" ht="16" thickBot="1">
      <c r="A1208" s="207"/>
      <c r="B1208" s="204"/>
      <c r="C1208" s="236"/>
      <c r="D1208" s="219" t="s">
        <v>2365</v>
      </c>
      <c r="E1208" s="221" t="s">
        <v>2366</v>
      </c>
      <c r="F1208" s="221" t="s">
        <v>23</v>
      </c>
      <c r="G1208" s="221" t="s">
        <v>2080</v>
      </c>
      <c r="H1208" s="242"/>
      <c r="I1208" s="242"/>
      <c r="J1208" s="242"/>
      <c r="K1208" s="242"/>
    </row>
    <row r="1209" spans="1:11" ht="16" thickBot="1">
      <c r="A1209" s="207"/>
      <c r="B1209" s="204"/>
      <c r="C1209" s="236"/>
      <c r="D1209" s="219" t="s">
        <v>2367</v>
      </c>
      <c r="E1209" s="221" t="s">
        <v>2368</v>
      </c>
      <c r="F1209" s="221" t="s">
        <v>16</v>
      </c>
      <c r="G1209" s="221" t="s">
        <v>1796</v>
      </c>
      <c r="H1209" s="242"/>
      <c r="I1209" s="242"/>
      <c r="J1209" s="242"/>
      <c r="K1209" s="242"/>
    </row>
    <row r="1210" spans="1:11" ht="16" thickBot="1">
      <c r="A1210" s="207"/>
      <c r="B1210" s="204"/>
      <c r="C1210" s="236"/>
      <c r="D1210" s="219" t="s">
        <v>2369</v>
      </c>
      <c r="E1210" s="221" t="s">
        <v>2370</v>
      </c>
      <c r="F1210" s="221" t="s">
        <v>58</v>
      </c>
      <c r="G1210" s="221" t="s">
        <v>646</v>
      </c>
      <c r="H1210" s="242"/>
      <c r="I1210" s="242"/>
      <c r="J1210" s="242"/>
      <c r="K1210" s="242"/>
    </row>
    <row r="1211" spans="1:11" ht="16" thickBot="1">
      <c r="A1211" s="207"/>
      <c r="B1211" s="204"/>
      <c r="C1211" s="236"/>
      <c r="D1211" s="219" t="s">
        <v>2371</v>
      </c>
      <c r="E1211" s="221" t="s">
        <v>2372</v>
      </c>
      <c r="F1211" s="221" t="s">
        <v>23</v>
      </c>
      <c r="G1211" s="221" t="s">
        <v>1821</v>
      </c>
      <c r="H1211" s="242"/>
      <c r="I1211" s="242"/>
      <c r="J1211" s="242"/>
      <c r="K1211" s="242"/>
    </row>
    <row r="1212" spans="1:11" ht="16" thickBot="1">
      <c r="A1212" s="207"/>
      <c r="B1212" s="204"/>
      <c r="C1212" s="236" t="s">
        <v>1707</v>
      </c>
      <c r="D1212" s="215" t="s">
        <v>2373</v>
      </c>
      <c r="E1212" s="217" t="s">
        <v>2374</v>
      </c>
      <c r="F1212" s="217" t="s">
        <v>23</v>
      </c>
      <c r="G1212" s="217" t="s">
        <v>2084</v>
      </c>
      <c r="H1212" s="242"/>
      <c r="I1212" s="242"/>
      <c r="J1212" s="242"/>
      <c r="K1212" s="242"/>
    </row>
    <row r="1213" spans="1:11" ht="16" thickBot="1">
      <c r="A1213" s="207"/>
      <c r="B1213" s="204"/>
      <c r="C1213" s="236"/>
      <c r="D1213" s="219" t="s">
        <v>2375</v>
      </c>
      <c r="E1213" s="221" t="s">
        <v>2376</v>
      </c>
      <c r="F1213" s="221" t="s">
        <v>16</v>
      </c>
      <c r="G1213" s="221" t="s">
        <v>658</v>
      </c>
      <c r="H1213" s="242"/>
      <c r="I1213" s="242"/>
      <c r="J1213" s="242"/>
      <c r="K1213" s="242"/>
    </row>
    <row r="1214" spans="1:11" ht="16" thickBot="1">
      <c r="A1214" s="207"/>
      <c r="B1214" s="204"/>
      <c r="C1214" s="236"/>
      <c r="D1214" s="219" t="s">
        <v>2377</v>
      </c>
      <c r="E1214" s="221" t="s">
        <v>2378</v>
      </c>
      <c r="F1214" s="221" t="s">
        <v>16</v>
      </c>
      <c r="G1214" s="221" t="s">
        <v>1777</v>
      </c>
      <c r="H1214" s="242"/>
      <c r="I1214" s="242"/>
      <c r="J1214" s="242"/>
      <c r="K1214" s="242"/>
    </row>
    <row r="1215" spans="1:11" ht="16" thickBot="1">
      <c r="A1215" s="207"/>
      <c r="B1215" s="204"/>
      <c r="C1215" s="236"/>
      <c r="D1215" s="219" t="s">
        <v>2379</v>
      </c>
      <c r="E1215" s="221" t="s">
        <v>2380</v>
      </c>
      <c r="F1215" s="221" t="s">
        <v>16</v>
      </c>
      <c r="G1215" s="221" t="s">
        <v>2083</v>
      </c>
      <c r="H1215" s="242"/>
      <c r="I1215" s="242"/>
      <c r="J1215" s="242"/>
      <c r="K1215" s="242"/>
    </row>
    <row r="1216" spans="1:11" ht="16" thickBot="1">
      <c r="A1216" s="207"/>
      <c r="B1216" s="204"/>
      <c r="C1216" s="236"/>
      <c r="D1216" s="219" t="s">
        <v>2381</v>
      </c>
      <c r="E1216" s="221" t="s">
        <v>2382</v>
      </c>
      <c r="F1216" s="221" t="s">
        <v>58</v>
      </c>
      <c r="G1216" s="221" t="s">
        <v>1777</v>
      </c>
      <c r="H1216" s="242"/>
      <c r="I1216" s="242"/>
      <c r="J1216" s="242"/>
      <c r="K1216" s="242"/>
    </row>
    <row r="1217" spans="1:11" ht="16" thickBot="1">
      <c r="A1217" s="207"/>
      <c r="B1217" s="204"/>
      <c r="C1217" s="236" t="s">
        <v>1708</v>
      </c>
      <c r="D1217" s="219" t="s">
        <v>2383</v>
      </c>
      <c r="E1217" s="221" t="s">
        <v>2384</v>
      </c>
      <c r="F1217" s="221" t="s">
        <v>23</v>
      </c>
      <c r="G1217" s="221" t="s">
        <v>2385</v>
      </c>
      <c r="H1217" s="242"/>
      <c r="I1217" s="242"/>
      <c r="J1217" s="242"/>
      <c r="K1217" s="242"/>
    </row>
    <row r="1218" spans="1:11" ht="16" thickBot="1">
      <c r="A1218" s="207"/>
      <c r="B1218" s="204"/>
      <c r="C1218" s="236"/>
      <c r="D1218" s="219" t="s">
        <v>2386</v>
      </c>
      <c r="E1218" s="221" t="s">
        <v>2387</v>
      </c>
      <c r="F1218" s="221" t="s">
        <v>16</v>
      </c>
      <c r="G1218" s="221" t="s">
        <v>2078</v>
      </c>
      <c r="H1218" s="242"/>
      <c r="I1218" s="242"/>
      <c r="J1218" s="242"/>
      <c r="K1218" s="242"/>
    </row>
    <row r="1219" spans="1:11" ht="16" thickBot="1">
      <c r="A1219" s="207"/>
      <c r="B1219" s="204"/>
      <c r="C1219" s="236"/>
      <c r="D1219" s="219" t="s">
        <v>2388</v>
      </c>
      <c r="E1219" s="221" t="s">
        <v>2389</v>
      </c>
      <c r="F1219" s="221" t="s">
        <v>23</v>
      </c>
      <c r="G1219" s="221" t="s">
        <v>1768</v>
      </c>
      <c r="H1219" s="242"/>
      <c r="I1219" s="242"/>
      <c r="J1219" s="242"/>
      <c r="K1219" s="242"/>
    </row>
    <row r="1220" spans="1:11" ht="16" thickBot="1">
      <c r="A1220" s="207"/>
      <c r="B1220" s="204"/>
      <c r="C1220" s="236"/>
      <c r="D1220" s="219" t="s">
        <v>2390</v>
      </c>
      <c r="E1220" s="221" t="s">
        <v>2391</v>
      </c>
      <c r="F1220" s="221" t="s">
        <v>58</v>
      </c>
      <c r="G1220" s="221" t="s">
        <v>1765</v>
      </c>
      <c r="H1220" s="242"/>
      <c r="I1220" s="242"/>
      <c r="J1220" s="242"/>
      <c r="K1220" s="242"/>
    </row>
    <row r="1221" spans="1:11" ht="16" thickBot="1">
      <c r="A1221" s="207"/>
      <c r="B1221" s="204"/>
      <c r="C1221" s="236"/>
      <c r="D1221" s="219" t="s">
        <v>2392</v>
      </c>
      <c r="E1221" s="221" t="s">
        <v>2393</v>
      </c>
      <c r="F1221" s="221" t="s">
        <v>16</v>
      </c>
      <c r="G1221" s="221" t="s">
        <v>2394</v>
      </c>
      <c r="H1221" s="242"/>
      <c r="I1221" s="242"/>
      <c r="J1221" s="242"/>
      <c r="K1221" s="242"/>
    </row>
    <row r="1222" spans="1:11" ht="16" thickBot="1">
      <c r="A1222" s="207"/>
      <c r="B1222" s="204"/>
      <c r="C1222" s="236" t="s">
        <v>1709</v>
      </c>
      <c r="D1222" s="219" t="s">
        <v>2395</v>
      </c>
      <c r="E1222" s="221" t="s">
        <v>2396</v>
      </c>
      <c r="F1222" s="221" t="s">
        <v>58</v>
      </c>
      <c r="G1222" s="221" t="s">
        <v>2087</v>
      </c>
      <c r="H1222" s="242"/>
      <c r="I1222" s="242"/>
      <c r="J1222" s="242"/>
      <c r="K1222" s="242"/>
    </row>
    <row r="1223" spans="1:11" ht="16" thickBot="1">
      <c r="A1223" s="207"/>
      <c r="B1223" s="204"/>
      <c r="C1223" s="236"/>
      <c r="D1223" s="219" t="s">
        <v>2397</v>
      </c>
      <c r="E1223" s="221" t="s">
        <v>2398</v>
      </c>
      <c r="F1223" s="221" t="s">
        <v>23</v>
      </c>
      <c r="G1223" s="221" t="s">
        <v>2065</v>
      </c>
      <c r="H1223" s="242"/>
      <c r="I1223" s="242"/>
      <c r="J1223" s="242"/>
      <c r="K1223" s="242"/>
    </row>
    <row r="1224" spans="1:11" ht="16" thickBot="1">
      <c r="A1224" s="207"/>
      <c r="B1224" s="204"/>
      <c r="C1224" s="236"/>
      <c r="D1224" s="219" t="s">
        <v>2399</v>
      </c>
      <c r="E1224" s="221" t="s">
        <v>2400</v>
      </c>
      <c r="F1224" s="221" t="s">
        <v>58</v>
      </c>
      <c r="G1224" s="221" t="s">
        <v>2073</v>
      </c>
      <c r="H1224" s="242"/>
      <c r="I1224" s="242"/>
      <c r="J1224" s="242"/>
      <c r="K1224" s="242"/>
    </row>
    <row r="1225" spans="1:11" ht="16" thickBot="1">
      <c r="A1225" s="207"/>
      <c r="B1225" s="204"/>
      <c r="C1225" s="236"/>
      <c r="D1225" s="219" t="s">
        <v>2401</v>
      </c>
      <c r="E1225" s="221" t="s">
        <v>2402</v>
      </c>
      <c r="F1225" s="221" t="s">
        <v>23</v>
      </c>
      <c r="G1225" s="221" t="s">
        <v>2403</v>
      </c>
      <c r="H1225" s="242"/>
      <c r="I1225" s="242"/>
      <c r="J1225" s="242"/>
      <c r="K1225" s="242"/>
    </row>
    <row r="1226" spans="1:11" ht="16" thickBot="1">
      <c r="A1226" s="207"/>
      <c r="B1226" s="205"/>
      <c r="C1226" s="236"/>
      <c r="D1226" s="219" t="s">
        <v>2404</v>
      </c>
      <c r="E1226" s="221" t="s">
        <v>2405</v>
      </c>
      <c r="F1226" s="221" t="s">
        <v>23</v>
      </c>
      <c r="G1226" s="221" t="s">
        <v>2108</v>
      </c>
      <c r="H1226" s="242"/>
      <c r="I1226" s="242"/>
      <c r="J1226" s="242"/>
      <c r="K1226" s="242"/>
    </row>
    <row r="1227" spans="1:11" ht="16" thickBot="1">
      <c r="A1227" s="207"/>
      <c r="B1227" s="203" t="s">
        <v>1710</v>
      </c>
      <c r="C1227" s="236" t="s">
        <v>1711</v>
      </c>
      <c r="D1227" s="219" t="s">
        <v>2406</v>
      </c>
      <c r="E1227" s="221" t="s">
        <v>2407</v>
      </c>
      <c r="F1227" s="221" t="s">
        <v>23</v>
      </c>
      <c r="G1227" s="221" t="s">
        <v>1793</v>
      </c>
      <c r="H1227" s="242"/>
      <c r="I1227" s="242"/>
      <c r="J1227" s="242"/>
      <c r="K1227" s="242"/>
    </row>
    <row r="1228" spans="1:11" ht="16" thickBot="1">
      <c r="A1228" s="207"/>
      <c r="B1228" s="204"/>
      <c r="C1228" s="236"/>
      <c r="D1228" s="219" t="s">
        <v>2408</v>
      </c>
      <c r="E1228" s="221" t="s">
        <v>2409</v>
      </c>
      <c r="F1228" s="221" t="s">
        <v>23</v>
      </c>
      <c r="G1228" s="221" t="s">
        <v>1774</v>
      </c>
      <c r="H1228" s="242"/>
      <c r="I1228" s="242"/>
      <c r="J1228" s="242"/>
      <c r="K1228" s="242"/>
    </row>
    <row r="1229" spans="1:11" ht="16" thickBot="1">
      <c r="A1229" s="207"/>
      <c r="B1229" s="204"/>
      <c r="C1229" s="236"/>
      <c r="D1229" s="222" t="s">
        <v>2410</v>
      </c>
      <c r="E1229" s="221" t="s">
        <v>2411</v>
      </c>
      <c r="F1229" s="221" t="s">
        <v>16</v>
      </c>
      <c r="G1229" s="221" t="s">
        <v>646</v>
      </c>
      <c r="H1229" s="242"/>
      <c r="I1229" s="242"/>
      <c r="J1229" s="242"/>
      <c r="K1229" s="242"/>
    </row>
    <row r="1230" spans="1:11" ht="16" thickBot="1">
      <c r="A1230" s="207"/>
      <c r="B1230" s="204"/>
      <c r="C1230" s="236"/>
      <c r="D1230" s="219" t="s">
        <v>2412</v>
      </c>
      <c r="E1230" s="221" t="s">
        <v>2413</v>
      </c>
      <c r="F1230" s="221" t="s">
        <v>58</v>
      </c>
      <c r="G1230" s="221" t="s">
        <v>599</v>
      </c>
      <c r="H1230" s="242"/>
      <c r="I1230" s="242"/>
      <c r="J1230" s="242"/>
      <c r="K1230" s="242"/>
    </row>
    <row r="1231" spans="1:11" ht="16" thickBot="1">
      <c r="A1231" s="207"/>
      <c r="B1231" s="204"/>
      <c r="C1231" s="236"/>
      <c r="D1231" s="222" t="s">
        <v>2414</v>
      </c>
      <c r="E1231" s="221" t="s">
        <v>2415</v>
      </c>
      <c r="F1231" s="221" t="s">
        <v>16</v>
      </c>
      <c r="G1231" s="221" t="s">
        <v>1796</v>
      </c>
      <c r="H1231" s="242"/>
      <c r="I1231" s="242"/>
      <c r="J1231" s="242"/>
      <c r="K1231" s="242"/>
    </row>
    <row r="1232" spans="1:11" ht="16" thickBot="1">
      <c r="A1232" s="207"/>
      <c r="B1232" s="204"/>
      <c r="C1232" s="236" t="s">
        <v>1712</v>
      </c>
      <c r="D1232" s="219" t="s">
        <v>2416</v>
      </c>
      <c r="E1232" s="221" t="s">
        <v>2417</v>
      </c>
      <c r="F1232" s="221" t="s">
        <v>23</v>
      </c>
      <c r="G1232" s="221" t="s">
        <v>1777</v>
      </c>
      <c r="H1232" s="242"/>
      <c r="I1232" s="242"/>
      <c r="J1232" s="242"/>
      <c r="K1232" s="242"/>
    </row>
    <row r="1233" spans="1:11" ht="16" thickBot="1">
      <c r="A1233" s="207"/>
      <c r="B1233" s="204"/>
      <c r="C1233" s="236"/>
      <c r="D1233" s="219" t="s">
        <v>2418</v>
      </c>
      <c r="E1233" s="221" t="s">
        <v>2419</v>
      </c>
      <c r="F1233" s="221" t="s">
        <v>58</v>
      </c>
      <c r="G1233" s="221" t="s">
        <v>1793</v>
      </c>
      <c r="H1233" s="242"/>
      <c r="I1233" s="242"/>
      <c r="J1233" s="242"/>
      <c r="K1233" s="242"/>
    </row>
    <row r="1234" spans="1:11" ht="16" thickBot="1">
      <c r="A1234" s="207"/>
      <c r="B1234" s="204"/>
      <c r="C1234" s="236"/>
      <c r="D1234" s="219" t="s">
        <v>2420</v>
      </c>
      <c r="E1234" s="221" t="s">
        <v>2421</v>
      </c>
      <c r="F1234" s="221" t="s">
        <v>23</v>
      </c>
      <c r="G1234" s="221" t="s">
        <v>1771</v>
      </c>
      <c r="H1234" s="242"/>
      <c r="I1234" s="242"/>
      <c r="J1234" s="242"/>
      <c r="K1234" s="242"/>
    </row>
    <row r="1235" spans="1:11" ht="16" thickBot="1">
      <c r="A1235" s="207"/>
      <c r="B1235" s="204"/>
      <c r="C1235" s="236"/>
      <c r="D1235" s="219" t="s">
        <v>2422</v>
      </c>
      <c r="E1235" s="221" t="s">
        <v>2423</v>
      </c>
      <c r="F1235" s="221" t="s">
        <v>16</v>
      </c>
      <c r="G1235" s="221" t="s">
        <v>658</v>
      </c>
      <c r="H1235" s="242"/>
      <c r="I1235" s="242"/>
      <c r="J1235" s="242"/>
      <c r="K1235" s="242"/>
    </row>
    <row r="1236" spans="1:11" ht="16" thickBot="1">
      <c r="A1236" s="207"/>
      <c r="B1236" s="204"/>
      <c r="C1236" s="236"/>
      <c r="D1236" s="222" t="s">
        <v>2424</v>
      </c>
      <c r="E1236" s="221" t="s">
        <v>2425</v>
      </c>
      <c r="F1236" s="221" t="s">
        <v>23</v>
      </c>
      <c r="G1236" s="221" t="s">
        <v>2064</v>
      </c>
      <c r="H1236" s="242"/>
      <c r="I1236" s="242"/>
      <c r="J1236" s="242"/>
      <c r="K1236" s="242"/>
    </row>
    <row r="1237" spans="1:11" ht="16" thickBot="1">
      <c r="A1237" s="207"/>
      <c r="B1237" s="204"/>
      <c r="C1237" s="236" t="s">
        <v>1713</v>
      </c>
      <c r="D1237" s="227" t="s">
        <v>5853</v>
      </c>
      <c r="E1237" s="215" t="s">
        <v>5854</v>
      </c>
      <c r="F1237" s="221" t="s">
        <v>23</v>
      </c>
      <c r="G1237" s="252"/>
      <c r="H1237" s="252"/>
      <c r="I1237" s="252"/>
      <c r="J1237" s="242"/>
      <c r="K1237" s="242"/>
    </row>
    <row r="1238" spans="1:11" ht="15" thickBot="1">
      <c r="A1238" s="207"/>
      <c r="B1238" s="204"/>
      <c r="C1238" s="236"/>
      <c r="D1238" s="224" t="s">
        <v>2426</v>
      </c>
      <c r="E1238" s="235" t="s">
        <v>2427</v>
      </c>
      <c r="F1238" s="235" t="s">
        <v>16</v>
      </c>
      <c r="G1238" s="235" t="s">
        <v>2428</v>
      </c>
      <c r="H1238" s="235" t="s">
        <v>2429</v>
      </c>
      <c r="I1238" s="235" t="s">
        <v>26</v>
      </c>
      <c r="J1238" s="242"/>
      <c r="K1238" s="242"/>
    </row>
    <row r="1239" spans="1:11" ht="15" thickBot="1">
      <c r="A1239" s="207"/>
      <c r="B1239" s="204"/>
      <c r="C1239" s="236"/>
      <c r="D1239" s="224" t="s">
        <v>2430</v>
      </c>
      <c r="E1239" s="235" t="s">
        <v>2431</v>
      </c>
      <c r="F1239" s="235" t="s">
        <v>23</v>
      </c>
      <c r="G1239" s="235" t="s">
        <v>599</v>
      </c>
      <c r="H1239" s="235" t="s">
        <v>2432</v>
      </c>
      <c r="I1239" s="235" t="s">
        <v>19</v>
      </c>
      <c r="J1239" s="242"/>
      <c r="K1239" s="242"/>
    </row>
    <row r="1240" spans="1:11" ht="15" thickBot="1">
      <c r="A1240" s="207"/>
      <c r="B1240" s="204"/>
      <c r="C1240" s="236"/>
      <c r="D1240" s="224" t="s">
        <v>2433</v>
      </c>
      <c r="E1240" s="235" t="s">
        <v>2434</v>
      </c>
      <c r="F1240" s="235" t="s">
        <v>16</v>
      </c>
      <c r="G1240" s="235" t="s">
        <v>2435</v>
      </c>
      <c r="H1240" s="235" t="s">
        <v>2436</v>
      </c>
      <c r="I1240" s="235" t="s">
        <v>206</v>
      </c>
      <c r="J1240" s="242"/>
      <c r="K1240" s="242"/>
    </row>
    <row r="1241" spans="1:11" ht="15" thickBot="1">
      <c r="A1241" s="207"/>
      <c r="B1241" s="204"/>
      <c r="C1241" s="236"/>
      <c r="D1241" s="224" t="s">
        <v>2437</v>
      </c>
      <c r="E1241" s="235" t="s">
        <v>2438</v>
      </c>
      <c r="F1241" s="235" t="s">
        <v>58</v>
      </c>
      <c r="G1241" s="235" t="s">
        <v>1780</v>
      </c>
      <c r="H1241" s="235" t="s">
        <v>2439</v>
      </c>
      <c r="I1241" s="235" t="s">
        <v>19</v>
      </c>
      <c r="J1241" s="242"/>
      <c r="K1241" s="242"/>
    </row>
    <row r="1242" spans="1:11" ht="15" thickBot="1">
      <c r="A1242" s="207"/>
      <c r="B1242" s="204"/>
      <c r="C1242" s="236" t="s">
        <v>1714</v>
      </c>
      <c r="D1242" s="224" t="s">
        <v>2440</v>
      </c>
      <c r="E1242" s="235" t="s">
        <v>2441</v>
      </c>
      <c r="F1242" s="235" t="s">
        <v>16</v>
      </c>
      <c r="G1242" s="235" t="s">
        <v>2064</v>
      </c>
      <c r="H1242" s="235" t="s">
        <v>2442</v>
      </c>
      <c r="I1242" s="235" t="s">
        <v>26</v>
      </c>
      <c r="J1242" s="242"/>
      <c r="K1242" s="242"/>
    </row>
    <row r="1243" spans="1:11" ht="15" thickBot="1">
      <c r="A1243" s="207"/>
      <c r="B1243" s="204"/>
      <c r="C1243" s="236"/>
      <c r="D1243" s="224" t="s">
        <v>2443</v>
      </c>
      <c r="E1243" s="235" t="s">
        <v>2444</v>
      </c>
      <c r="F1243" s="235" t="s">
        <v>23</v>
      </c>
      <c r="G1243" s="235" t="s">
        <v>2445</v>
      </c>
      <c r="H1243" s="235" t="s">
        <v>2446</v>
      </c>
      <c r="I1243" s="235" t="s">
        <v>19</v>
      </c>
      <c r="J1243" s="242"/>
      <c r="K1243" s="242"/>
    </row>
    <row r="1244" spans="1:11" ht="15" thickBot="1">
      <c r="A1244" s="207"/>
      <c r="B1244" s="204"/>
      <c r="C1244" s="236"/>
      <c r="D1244" s="224" t="s">
        <v>2447</v>
      </c>
      <c r="E1244" s="235" t="s">
        <v>2448</v>
      </c>
      <c r="F1244" s="235" t="s">
        <v>16</v>
      </c>
      <c r="G1244" s="235" t="s">
        <v>2191</v>
      </c>
      <c r="H1244" s="235" t="s">
        <v>2449</v>
      </c>
      <c r="I1244" s="235" t="s">
        <v>26</v>
      </c>
      <c r="J1244" s="242"/>
      <c r="K1244" s="242"/>
    </row>
    <row r="1245" spans="1:11" ht="15" thickBot="1">
      <c r="A1245" s="207"/>
      <c r="B1245" s="204"/>
      <c r="C1245" s="236"/>
      <c r="D1245" s="224" t="s">
        <v>2450</v>
      </c>
      <c r="E1245" s="235" t="s">
        <v>2451</v>
      </c>
      <c r="F1245" s="235" t="s">
        <v>58</v>
      </c>
      <c r="G1245" s="235" t="s">
        <v>2452</v>
      </c>
      <c r="H1245" s="235" t="s">
        <v>2453</v>
      </c>
      <c r="I1245" s="235" t="s">
        <v>19</v>
      </c>
      <c r="J1245" s="242"/>
      <c r="K1245" s="242"/>
    </row>
    <row r="1246" spans="1:11" ht="15" thickBot="1">
      <c r="A1246" s="207"/>
      <c r="B1246" s="204"/>
      <c r="C1246" s="236"/>
      <c r="D1246" s="224" t="s">
        <v>2454</v>
      </c>
      <c r="E1246" s="235" t="s">
        <v>2455</v>
      </c>
      <c r="F1246" s="235" t="s">
        <v>16</v>
      </c>
      <c r="G1246" s="235" t="s">
        <v>2456</v>
      </c>
      <c r="H1246" s="235" t="s">
        <v>2457</v>
      </c>
      <c r="I1246" s="235" t="s">
        <v>206</v>
      </c>
      <c r="J1246" s="242"/>
      <c r="K1246" s="242"/>
    </row>
    <row r="1247" spans="1:11" ht="15" thickBot="1">
      <c r="A1247" s="207"/>
      <c r="B1247" s="204"/>
      <c r="C1247" s="236" t="s">
        <v>1715</v>
      </c>
      <c r="D1247" s="224" t="s">
        <v>2458</v>
      </c>
      <c r="E1247" s="235" t="s">
        <v>2459</v>
      </c>
      <c r="F1247" s="235" t="s">
        <v>23</v>
      </c>
      <c r="G1247" s="235" t="s">
        <v>2460</v>
      </c>
      <c r="H1247" s="235" t="s">
        <v>2461</v>
      </c>
      <c r="I1247" s="235" t="s">
        <v>26</v>
      </c>
      <c r="J1247" s="242"/>
      <c r="K1247" s="242"/>
    </row>
    <row r="1248" spans="1:11" ht="15" thickBot="1">
      <c r="A1248" s="207"/>
      <c r="B1248" s="204"/>
      <c r="C1248" s="236"/>
      <c r="D1248" s="224" t="s">
        <v>2462</v>
      </c>
      <c r="E1248" s="235" t="s">
        <v>2463</v>
      </c>
      <c r="F1248" s="235" t="s">
        <v>16</v>
      </c>
      <c r="G1248" s="235" t="s">
        <v>2460</v>
      </c>
      <c r="H1248" s="235" t="s">
        <v>2464</v>
      </c>
      <c r="I1248" s="235" t="s">
        <v>26</v>
      </c>
      <c r="J1248" s="242"/>
      <c r="K1248" s="242"/>
    </row>
    <row r="1249" spans="1:11" ht="15" thickBot="1">
      <c r="A1249" s="207"/>
      <c r="B1249" s="204"/>
      <c r="C1249" s="236"/>
      <c r="D1249" s="224" t="s">
        <v>2465</v>
      </c>
      <c r="E1249" s="235" t="s">
        <v>2466</v>
      </c>
      <c r="F1249" s="235" t="s">
        <v>58</v>
      </c>
      <c r="G1249" s="235" t="s">
        <v>2073</v>
      </c>
      <c r="H1249" s="235" t="s">
        <v>2467</v>
      </c>
      <c r="I1249" s="235" t="s">
        <v>26</v>
      </c>
      <c r="J1249" s="242"/>
      <c r="K1249" s="242"/>
    </row>
    <row r="1250" spans="1:11" ht="15" thickBot="1">
      <c r="A1250" s="207"/>
      <c r="B1250" s="204"/>
      <c r="C1250" s="236"/>
      <c r="D1250" s="224" t="s">
        <v>2468</v>
      </c>
      <c r="E1250" s="235" t="s">
        <v>2469</v>
      </c>
      <c r="F1250" s="235" t="s">
        <v>23</v>
      </c>
      <c r="G1250" s="235" t="s">
        <v>2064</v>
      </c>
      <c r="H1250" s="235" t="s">
        <v>2470</v>
      </c>
      <c r="I1250" s="235" t="s">
        <v>19</v>
      </c>
      <c r="J1250" s="242"/>
      <c r="K1250" s="242"/>
    </row>
    <row r="1251" spans="1:11" ht="15" thickBot="1">
      <c r="A1251" s="207"/>
      <c r="B1251" s="205"/>
      <c r="C1251" s="236"/>
      <c r="D1251" s="224" t="s">
        <v>2471</v>
      </c>
      <c r="E1251" s="235" t="s">
        <v>2472</v>
      </c>
      <c r="F1251" s="235" t="s">
        <v>16</v>
      </c>
      <c r="G1251" s="235" t="s">
        <v>2473</v>
      </c>
      <c r="H1251" s="235" t="s">
        <v>2474</v>
      </c>
      <c r="I1251" s="235" t="s">
        <v>206</v>
      </c>
      <c r="J1251" s="242"/>
      <c r="K1251" s="242"/>
    </row>
    <row r="1252" spans="1:11" ht="15" thickBot="1">
      <c r="A1252" s="207"/>
      <c r="B1252" s="203" t="s">
        <v>1657</v>
      </c>
      <c r="C1252" s="236" t="s">
        <v>1716</v>
      </c>
      <c r="D1252" s="227" t="s">
        <v>5668</v>
      </c>
      <c r="E1252" s="355" t="s">
        <v>5669</v>
      </c>
      <c r="F1252" s="235" t="s">
        <v>16</v>
      </c>
      <c r="G1252" s="242"/>
      <c r="H1252" s="242"/>
      <c r="I1252" s="242"/>
      <c r="J1252" s="242"/>
      <c r="K1252" s="242"/>
    </row>
    <row r="1253" spans="1:11" ht="15" thickBot="1">
      <c r="A1253" s="207"/>
      <c r="B1253" s="204"/>
      <c r="C1253" s="236"/>
      <c r="D1253" s="227" t="s">
        <v>5670</v>
      </c>
      <c r="E1253" s="355" t="s">
        <v>5671</v>
      </c>
      <c r="F1253" s="235" t="s">
        <v>16</v>
      </c>
      <c r="G1253" s="242"/>
      <c r="H1253" s="242"/>
      <c r="I1253" s="242"/>
      <c r="J1253" s="242"/>
      <c r="K1253" s="242"/>
    </row>
    <row r="1254" spans="1:11" ht="15" thickBot="1">
      <c r="A1254" s="207"/>
      <c r="B1254" s="204"/>
      <c r="C1254" s="236"/>
      <c r="D1254" s="227" t="s">
        <v>5672</v>
      </c>
      <c r="E1254" s="355" t="s">
        <v>5673</v>
      </c>
      <c r="F1254" s="235" t="s">
        <v>16</v>
      </c>
      <c r="G1254" s="242"/>
      <c r="H1254" s="242"/>
      <c r="I1254" s="242"/>
      <c r="J1254" s="242"/>
      <c r="K1254" s="242"/>
    </row>
    <row r="1255" spans="1:11" ht="15" thickBot="1">
      <c r="A1255" s="207"/>
      <c r="B1255" s="204"/>
      <c r="C1255" s="236"/>
      <c r="D1255" s="227" t="s">
        <v>5674</v>
      </c>
      <c r="E1255" s="355" t="s">
        <v>5675</v>
      </c>
      <c r="F1255" s="235" t="s">
        <v>16</v>
      </c>
      <c r="G1255" s="242"/>
      <c r="H1255" s="242"/>
      <c r="I1255" s="242"/>
      <c r="J1255" s="242"/>
      <c r="K1255" s="242"/>
    </row>
    <row r="1256" spans="1:11" ht="15" thickBot="1">
      <c r="A1256" s="207"/>
      <c r="B1256" s="204"/>
      <c r="C1256" s="236"/>
      <c r="D1256" s="227" t="s">
        <v>5676</v>
      </c>
      <c r="E1256" s="355" t="s">
        <v>5677</v>
      </c>
      <c r="F1256" s="235" t="s">
        <v>16</v>
      </c>
      <c r="G1256" s="242"/>
      <c r="H1256" s="242"/>
      <c r="I1256" s="242"/>
      <c r="J1256" s="242"/>
      <c r="K1256" s="242"/>
    </row>
    <row r="1257" spans="1:11" ht="15" thickBot="1">
      <c r="A1257" s="207"/>
      <c r="B1257" s="204"/>
      <c r="C1257" s="236" t="s">
        <v>1717</v>
      </c>
      <c r="D1257" s="227" t="s">
        <v>5678</v>
      </c>
      <c r="E1257" s="355" t="s">
        <v>5679</v>
      </c>
      <c r="F1257" s="235" t="s">
        <v>16</v>
      </c>
      <c r="G1257" s="242"/>
      <c r="H1257" s="242"/>
      <c r="I1257" s="242"/>
      <c r="J1257" s="242"/>
      <c r="K1257" s="242"/>
    </row>
    <row r="1258" spans="1:11" ht="15" thickBot="1">
      <c r="A1258" s="207"/>
      <c r="B1258" s="204"/>
      <c r="C1258" s="236"/>
      <c r="D1258" s="227" t="s">
        <v>5680</v>
      </c>
      <c r="E1258" s="355" t="s">
        <v>5681</v>
      </c>
      <c r="F1258" s="235" t="s">
        <v>16</v>
      </c>
      <c r="G1258" s="242"/>
      <c r="H1258" s="242"/>
      <c r="I1258" s="242"/>
      <c r="J1258" s="242"/>
      <c r="K1258" s="242"/>
    </row>
    <row r="1259" spans="1:11" ht="15" thickBot="1">
      <c r="A1259" s="207"/>
      <c r="B1259" s="204"/>
      <c r="C1259" s="236"/>
      <c r="D1259" s="227" t="s">
        <v>5682</v>
      </c>
      <c r="E1259" s="355" t="s">
        <v>5683</v>
      </c>
      <c r="F1259" s="235" t="s">
        <v>16</v>
      </c>
      <c r="G1259" s="242"/>
      <c r="H1259" s="242"/>
      <c r="I1259" s="242"/>
      <c r="J1259" s="242"/>
      <c r="K1259" s="242"/>
    </row>
    <row r="1260" spans="1:11" ht="15" thickBot="1">
      <c r="A1260" s="207"/>
      <c r="B1260" s="204"/>
      <c r="C1260" s="236"/>
      <c r="D1260" s="227" t="s">
        <v>5684</v>
      </c>
      <c r="E1260" s="355" t="s">
        <v>5685</v>
      </c>
      <c r="F1260" s="235" t="s">
        <v>16</v>
      </c>
      <c r="G1260" s="242"/>
      <c r="H1260" s="242"/>
      <c r="I1260" s="242"/>
      <c r="J1260" s="242"/>
      <c r="K1260" s="242"/>
    </row>
    <row r="1261" spans="1:11" ht="15" thickBot="1">
      <c r="A1261" s="207"/>
      <c r="B1261" s="204"/>
      <c r="C1261" s="236"/>
      <c r="D1261" s="227" t="s">
        <v>5686</v>
      </c>
      <c r="E1261" s="355" t="s">
        <v>5687</v>
      </c>
      <c r="F1261" s="235" t="s">
        <v>16</v>
      </c>
      <c r="G1261" s="242"/>
      <c r="H1261" s="242"/>
      <c r="I1261" s="242"/>
      <c r="J1261" s="242"/>
      <c r="K1261" s="242"/>
    </row>
    <row r="1262" spans="1:11" ht="15" thickBot="1">
      <c r="A1262" s="207"/>
      <c r="B1262" s="204"/>
      <c r="C1262" s="236" t="s">
        <v>1718</v>
      </c>
      <c r="D1262" s="227" t="s">
        <v>5688</v>
      </c>
      <c r="E1262" s="355" t="s">
        <v>5689</v>
      </c>
      <c r="F1262" s="235" t="s">
        <v>16</v>
      </c>
      <c r="G1262" s="242"/>
      <c r="H1262" s="242"/>
      <c r="I1262" s="242"/>
      <c r="J1262" s="242"/>
      <c r="K1262" s="242"/>
    </row>
    <row r="1263" spans="1:11" ht="15" thickBot="1">
      <c r="A1263" s="207"/>
      <c r="B1263" s="204"/>
      <c r="C1263" s="236"/>
      <c r="D1263" s="227" t="s">
        <v>5690</v>
      </c>
      <c r="E1263" s="355" t="s">
        <v>5691</v>
      </c>
      <c r="F1263" s="235" t="s">
        <v>16</v>
      </c>
      <c r="G1263" s="242"/>
      <c r="H1263" s="242"/>
      <c r="I1263" s="242"/>
      <c r="J1263" s="242"/>
      <c r="K1263" s="242"/>
    </row>
    <row r="1264" spans="1:11" ht="15" thickBot="1">
      <c r="A1264" s="207"/>
      <c r="B1264" s="204"/>
      <c r="C1264" s="236"/>
      <c r="D1264" s="227" t="s">
        <v>5692</v>
      </c>
      <c r="E1264" s="355" t="s">
        <v>5693</v>
      </c>
      <c r="F1264" s="235" t="s">
        <v>16</v>
      </c>
      <c r="G1264" s="242"/>
      <c r="H1264" s="242"/>
      <c r="I1264" s="242"/>
      <c r="J1264" s="242"/>
      <c r="K1264" s="242"/>
    </row>
    <row r="1265" spans="1:11" ht="15" thickBot="1">
      <c r="A1265" s="207"/>
      <c r="B1265" s="204"/>
      <c r="C1265" s="236"/>
      <c r="D1265" s="227" t="s">
        <v>5694</v>
      </c>
      <c r="E1265" s="355" t="s">
        <v>5695</v>
      </c>
      <c r="F1265" s="235" t="s">
        <v>16</v>
      </c>
      <c r="G1265" s="242"/>
      <c r="H1265" s="242"/>
      <c r="I1265" s="242"/>
      <c r="J1265" s="242"/>
      <c r="K1265" s="242"/>
    </row>
    <row r="1266" spans="1:11" ht="15" thickBot="1">
      <c r="A1266" s="207"/>
      <c r="B1266" s="204"/>
      <c r="C1266" s="236"/>
      <c r="D1266" s="227" t="s">
        <v>5696</v>
      </c>
      <c r="E1266" s="355" t="s">
        <v>5697</v>
      </c>
      <c r="F1266" s="235" t="s">
        <v>16</v>
      </c>
      <c r="G1266" s="242"/>
      <c r="H1266" s="242"/>
      <c r="I1266" s="242"/>
      <c r="J1266" s="242"/>
      <c r="K1266" s="242"/>
    </row>
    <row r="1267" spans="1:11" ht="16" thickBot="1">
      <c r="A1267" s="207"/>
      <c r="B1267" s="204"/>
      <c r="C1267" s="236" t="s">
        <v>1719</v>
      </c>
      <c r="D1267" s="227" t="s">
        <v>5698</v>
      </c>
      <c r="E1267" s="356" t="s">
        <v>5699</v>
      </c>
      <c r="F1267" s="235" t="s">
        <v>16</v>
      </c>
      <c r="G1267" s="242"/>
      <c r="H1267" s="242"/>
      <c r="I1267" s="242"/>
      <c r="J1267" s="242"/>
      <c r="K1267" s="242"/>
    </row>
    <row r="1268" spans="1:11" ht="16" thickBot="1">
      <c r="A1268" s="207"/>
      <c r="B1268" s="204"/>
      <c r="C1268" s="236"/>
      <c r="D1268" s="227" t="s">
        <v>5700</v>
      </c>
      <c r="E1268" s="215" t="s">
        <v>5701</v>
      </c>
      <c r="F1268" s="235" t="s">
        <v>16</v>
      </c>
      <c r="G1268" s="242"/>
      <c r="H1268" s="242"/>
      <c r="I1268" s="242"/>
      <c r="J1268" s="242"/>
      <c r="K1268" s="242"/>
    </row>
    <row r="1269" spans="1:11" ht="16" thickBot="1">
      <c r="A1269" s="207"/>
      <c r="B1269" s="204"/>
      <c r="C1269" s="236"/>
      <c r="D1269" s="227" t="s">
        <v>5702</v>
      </c>
      <c r="E1269" s="215" t="s">
        <v>5703</v>
      </c>
      <c r="F1269" s="235" t="s">
        <v>16</v>
      </c>
      <c r="G1269" s="242"/>
      <c r="H1269" s="242"/>
      <c r="I1269" s="242"/>
      <c r="J1269" s="242"/>
      <c r="K1269" s="242"/>
    </row>
    <row r="1270" spans="1:11" ht="16" thickBot="1">
      <c r="A1270" s="207"/>
      <c r="B1270" s="204"/>
      <c r="C1270" s="236"/>
      <c r="D1270" s="227" t="s">
        <v>5704</v>
      </c>
      <c r="E1270" s="215" t="s">
        <v>5705</v>
      </c>
      <c r="F1270" s="235" t="s">
        <v>16</v>
      </c>
      <c r="G1270" s="242"/>
      <c r="H1270" s="242"/>
      <c r="I1270" s="242"/>
      <c r="J1270" s="242"/>
      <c r="K1270" s="242"/>
    </row>
    <row r="1271" spans="1:11" ht="16" thickBot="1">
      <c r="A1271" s="207"/>
      <c r="B1271" s="204"/>
      <c r="C1271" s="236"/>
      <c r="D1271" s="227" t="s">
        <v>5706</v>
      </c>
      <c r="E1271" s="356" t="s">
        <v>5707</v>
      </c>
      <c r="F1271" s="235" t="s">
        <v>16</v>
      </c>
      <c r="G1271" s="242"/>
      <c r="H1271" s="242"/>
      <c r="I1271" s="242"/>
      <c r="J1271" s="242"/>
      <c r="K1271" s="242"/>
    </row>
    <row r="1272" spans="1:11" ht="16" thickBot="1">
      <c r="A1272" s="207"/>
      <c r="B1272" s="204"/>
      <c r="C1272" s="236" t="s">
        <v>1720</v>
      </c>
      <c r="D1272" s="227" t="s">
        <v>5708</v>
      </c>
      <c r="E1272" s="356" t="s">
        <v>5709</v>
      </c>
      <c r="F1272" s="235" t="s">
        <v>16</v>
      </c>
      <c r="G1272" s="242"/>
      <c r="H1272" s="242"/>
      <c r="I1272" s="242"/>
      <c r="J1272" s="242"/>
      <c r="K1272" s="242"/>
    </row>
    <row r="1273" spans="1:11" ht="16" thickBot="1">
      <c r="A1273" s="207"/>
      <c r="B1273" s="204"/>
      <c r="C1273" s="236"/>
      <c r="D1273" s="227" t="s">
        <v>5710</v>
      </c>
      <c r="E1273" s="356" t="s">
        <v>5711</v>
      </c>
      <c r="F1273" s="235" t="s">
        <v>16</v>
      </c>
      <c r="G1273" s="242"/>
      <c r="H1273" s="242"/>
      <c r="I1273" s="242"/>
      <c r="J1273" s="242"/>
      <c r="K1273" s="242"/>
    </row>
    <row r="1274" spans="1:11" ht="16" thickBot="1">
      <c r="A1274" s="207"/>
      <c r="B1274" s="204"/>
      <c r="C1274" s="236"/>
      <c r="D1274" s="227" t="s">
        <v>5712</v>
      </c>
      <c r="E1274" s="356" t="s">
        <v>5713</v>
      </c>
      <c r="F1274" s="235" t="s">
        <v>16</v>
      </c>
      <c r="G1274" s="242"/>
      <c r="H1274" s="242"/>
      <c r="I1274" s="242"/>
      <c r="J1274" s="242"/>
      <c r="K1274" s="242"/>
    </row>
    <row r="1275" spans="1:11" ht="16" thickBot="1">
      <c r="A1275" s="207"/>
      <c r="B1275" s="204"/>
      <c r="C1275" s="236"/>
      <c r="D1275" s="227" t="s">
        <v>5714</v>
      </c>
      <c r="E1275" s="356" t="s">
        <v>5715</v>
      </c>
      <c r="F1275" s="235" t="s">
        <v>16</v>
      </c>
      <c r="G1275" s="242"/>
      <c r="H1275" s="242"/>
      <c r="I1275" s="242"/>
      <c r="J1275" s="242"/>
      <c r="K1275" s="242"/>
    </row>
    <row r="1276" spans="1:11" ht="16" thickBot="1">
      <c r="A1276" s="207"/>
      <c r="B1276" s="205"/>
      <c r="C1276" s="236"/>
      <c r="D1276" s="227" t="s">
        <v>5716</v>
      </c>
      <c r="E1276" s="215" t="s">
        <v>5717</v>
      </c>
      <c r="F1276" s="235" t="s">
        <v>16</v>
      </c>
      <c r="G1276" s="242"/>
      <c r="H1276" s="242"/>
      <c r="I1276" s="242"/>
      <c r="J1276" s="242"/>
      <c r="K1276" s="242"/>
    </row>
    <row r="1277" spans="1:11" ht="16" thickBot="1">
      <c r="A1277" s="207"/>
      <c r="B1277" s="203" t="s">
        <v>1658</v>
      </c>
      <c r="C1277" s="236" t="s">
        <v>1721</v>
      </c>
      <c r="D1277" s="227" t="s">
        <v>5718</v>
      </c>
      <c r="E1277" s="215" t="s">
        <v>5719</v>
      </c>
      <c r="F1277" s="235" t="s">
        <v>16</v>
      </c>
      <c r="G1277" s="242"/>
      <c r="H1277" s="242"/>
      <c r="I1277" s="242"/>
      <c r="J1277" s="242"/>
      <c r="K1277" s="242"/>
    </row>
    <row r="1278" spans="1:11" ht="16" thickBot="1">
      <c r="A1278" s="207"/>
      <c r="B1278" s="204"/>
      <c r="C1278" s="236"/>
      <c r="D1278" s="227" t="s">
        <v>5720</v>
      </c>
      <c r="E1278" s="215" t="s">
        <v>5721</v>
      </c>
      <c r="F1278" s="235" t="s">
        <v>16</v>
      </c>
      <c r="G1278" s="242"/>
      <c r="H1278" s="242"/>
      <c r="I1278" s="242"/>
      <c r="J1278" s="242"/>
      <c r="K1278" s="242"/>
    </row>
    <row r="1279" spans="1:11" ht="16" thickBot="1">
      <c r="A1279" s="207"/>
      <c r="B1279" s="204"/>
      <c r="C1279" s="236"/>
      <c r="D1279" s="227" t="s">
        <v>5722</v>
      </c>
      <c r="E1279" s="215" t="s">
        <v>5723</v>
      </c>
      <c r="F1279" s="235" t="s">
        <v>16</v>
      </c>
      <c r="G1279" s="242"/>
      <c r="H1279" s="242"/>
      <c r="I1279" s="242"/>
      <c r="J1279" s="242"/>
      <c r="K1279" s="242"/>
    </row>
    <row r="1280" spans="1:11" ht="16" thickBot="1">
      <c r="A1280" s="207"/>
      <c r="B1280" s="204"/>
      <c r="C1280" s="236"/>
      <c r="D1280" s="227" t="s">
        <v>5724</v>
      </c>
      <c r="E1280" s="215" t="s">
        <v>5725</v>
      </c>
      <c r="F1280" s="235" t="s">
        <v>16</v>
      </c>
      <c r="G1280" s="242"/>
      <c r="H1280" s="242"/>
      <c r="I1280" s="242"/>
      <c r="J1280" s="242"/>
      <c r="K1280" s="242"/>
    </row>
    <row r="1281" spans="1:11" ht="16" thickBot="1">
      <c r="A1281" s="207"/>
      <c r="B1281" s="204"/>
      <c r="C1281" s="236"/>
      <c r="D1281" s="227" t="s">
        <v>5726</v>
      </c>
      <c r="E1281" s="215" t="s">
        <v>5727</v>
      </c>
      <c r="F1281" s="235" t="s">
        <v>16</v>
      </c>
      <c r="G1281" s="242"/>
      <c r="H1281" s="242"/>
      <c r="I1281" s="242"/>
      <c r="J1281" s="242"/>
      <c r="K1281" s="242"/>
    </row>
    <row r="1282" spans="1:11" ht="16" thickBot="1">
      <c r="A1282" s="207"/>
      <c r="B1282" s="204"/>
      <c r="C1282" s="236" t="s">
        <v>1722</v>
      </c>
      <c r="D1282" s="227" t="s">
        <v>5678</v>
      </c>
      <c r="E1282" s="215" t="s">
        <v>5728</v>
      </c>
      <c r="F1282" s="235" t="s">
        <v>16</v>
      </c>
      <c r="G1282" s="242"/>
      <c r="H1282" s="242"/>
      <c r="I1282" s="242"/>
      <c r="J1282" s="242"/>
      <c r="K1282" s="242"/>
    </row>
    <row r="1283" spans="1:11" ht="16" thickBot="1">
      <c r="A1283" s="207"/>
      <c r="B1283" s="204"/>
      <c r="C1283" s="236"/>
      <c r="D1283" s="227" t="s">
        <v>5729</v>
      </c>
      <c r="E1283" s="215" t="s">
        <v>5730</v>
      </c>
      <c r="F1283" s="235" t="s">
        <v>16</v>
      </c>
      <c r="G1283" s="242"/>
      <c r="H1283" s="242"/>
      <c r="I1283" s="242"/>
      <c r="J1283" s="242"/>
      <c r="K1283" s="242"/>
    </row>
    <row r="1284" spans="1:11" ht="16" thickBot="1">
      <c r="A1284" s="207"/>
      <c r="B1284" s="204"/>
      <c r="C1284" s="236"/>
      <c r="D1284" s="227" t="s">
        <v>5731</v>
      </c>
      <c r="E1284" s="215" t="s">
        <v>5732</v>
      </c>
      <c r="F1284" s="235" t="s">
        <v>16</v>
      </c>
      <c r="G1284" s="242"/>
      <c r="H1284" s="242"/>
      <c r="I1284" s="242"/>
      <c r="J1284" s="242"/>
      <c r="K1284" s="242"/>
    </row>
    <row r="1285" spans="1:11" ht="16" thickBot="1">
      <c r="A1285" s="207"/>
      <c r="B1285" s="204"/>
      <c r="C1285" s="236"/>
      <c r="D1285" s="227" t="s">
        <v>5733</v>
      </c>
      <c r="E1285" s="215" t="s">
        <v>5734</v>
      </c>
      <c r="F1285" s="235" t="s">
        <v>16</v>
      </c>
      <c r="G1285" s="242"/>
      <c r="H1285" s="242"/>
      <c r="I1285" s="242"/>
      <c r="J1285" s="242"/>
      <c r="K1285" s="242"/>
    </row>
    <row r="1286" spans="1:11" ht="16" thickBot="1">
      <c r="A1286" s="207"/>
      <c r="B1286" s="204"/>
      <c r="C1286" s="236"/>
      <c r="D1286" s="227" t="s">
        <v>5716</v>
      </c>
      <c r="E1286" s="215" t="s">
        <v>5735</v>
      </c>
      <c r="F1286" s="235" t="s">
        <v>16</v>
      </c>
      <c r="G1286" s="242"/>
      <c r="H1286" s="242"/>
      <c r="I1286" s="242"/>
      <c r="J1286" s="242"/>
      <c r="K1286" s="242"/>
    </row>
    <row r="1287" spans="1:11" ht="16" thickBot="1">
      <c r="A1287" s="207"/>
      <c r="B1287" s="204"/>
      <c r="C1287" s="236" t="s">
        <v>1723</v>
      </c>
      <c r="D1287" s="227" t="s">
        <v>5736</v>
      </c>
      <c r="E1287" s="215" t="s">
        <v>5737</v>
      </c>
      <c r="F1287" s="235" t="s">
        <v>16</v>
      </c>
      <c r="G1287" s="242"/>
      <c r="H1287" s="242"/>
      <c r="I1287" s="242"/>
      <c r="J1287" s="242"/>
      <c r="K1287" s="242"/>
    </row>
    <row r="1288" spans="1:11" ht="16" thickBot="1">
      <c r="A1288" s="207"/>
      <c r="B1288" s="204"/>
      <c r="C1288" s="236"/>
      <c r="D1288" s="227" t="s">
        <v>5738</v>
      </c>
      <c r="E1288" s="215" t="s">
        <v>5739</v>
      </c>
      <c r="F1288" s="235" t="s">
        <v>16</v>
      </c>
      <c r="G1288" s="242"/>
      <c r="H1288" s="242"/>
      <c r="I1288" s="242"/>
      <c r="J1288" s="242"/>
      <c r="K1288" s="242"/>
    </row>
    <row r="1289" spans="1:11" ht="16" thickBot="1">
      <c r="A1289" s="207"/>
      <c r="B1289" s="204"/>
      <c r="C1289" s="236"/>
      <c r="D1289" s="227" t="s">
        <v>5740</v>
      </c>
      <c r="E1289" s="356" t="s">
        <v>5741</v>
      </c>
      <c r="F1289" s="235" t="s">
        <v>16</v>
      </c>
      <c r="G1289" s="242"/>
      <c r="H1289" s="242"/>
      <c r="I1289" s="242"/>
      <c r="J1289" s="242"/>
      <c r="K1289" s="242"/>
    </row>
    <row r="1290" spans="1:11" ht="16" thickBot="1">
      <c r="A1290" s="207"/>
      <c r="B1290" s="204"/>
      <c r="C1290" s="236"/>
      <c r="D1290" s="227" t="s">
        <v>5718</v>
      </c>
      <c r="E1290" s="215" t="s">
        <v>5742</v>
      </c>
      <c r="F1290" s="235" t="s">
        <v>16</v>
      </c>
      <c r="G1290" s="242"/>
      <c r="H1290" s="242"/>
      <c r="I1290" s="242"/>
      <c r="J1290" s="242"/>
      <c r="K1290" s="242"/>
    </row>
    <row r="1291" spans="1:11" ht="16" thickBot="1">
      <c r="A1291" s="207"/>
      <c r="B1291" s="204"/>
      <c r="C1291" s="236"/>
      <c r="D1291" s="227" t="s">
        <v>5743</v>
      </c>
      <c r="E1291" s="215" t="s">
        <v>5744</v>
      </c>
      <c r="F1291" s="235" t="s">
        <v>16</v>
      </c>
      <c r="G1291" s="242"/>
      <c r="H1291" s="242"/>
      <c r="I1291" s="242"/>
      <c r="J1291" s="242"/>
      <c r="K1291" s="242"/>
    </row>
    <row r="1292" spans="1:11" ht="16" thickBot="1">
      <c r="A1292" s="207"/>
      <c r="B1292" s="204"/>
      <c r="C1292" s="236" t="s">
        <v>1724</v>
      </c>
      <c r="D1292" s="227" t="s">
        <v>5745</v>
      </c>
      <c r="E1292" s="215" t="s">
        <v>5746</v>
      </c>
      <c r="F1292" s="235" t="s">
        <v>16</v>
      </c>
      <c r="G1292" s="242"/>
      <c r="H1292" s="242"/>
      <c r="I1292" s="242"/>
      <c r="J1292" s="242"/>
      <c r="K1292" s="242"/>
    </row>
    <row r="1293" spans="1:11" ht="16" thickBot="1">
      <c r="A1293" s="207"/>
      <c r="B1293" s="204"/>
      <c r="C1293" s="236"/>
      <c r="D1293" s="227" t="s">
        <v>5747</v>
      </c>
      <c r="E1293" s="356" t="s">
        <v>5748</v>
      </c>
      <c r="F1293" s="235" t="s">
        <v>16</v>
      </c>
      <c r="G1293" s="242"/>
      <c r="H1293" s="242"/>
      <c r="I1293" s="242"/>
      <c r="J1293" s="242"/>
      <c r="K1293" s="242"/>
    </row>
    <row r="1294" spans="1:11" ht="16" thickBot="1">
      <c r="A1294" s="207"/>
      <c r="B1294" s="204"/>
      <c r="C1294" s="236"/>
      <c r="D1294" s="227" t="s">
        <v>5749</v>
      </c>
      <c r="E1294" s="215" t="s">
        <v>5750</v>
      </c>
      <c r="F1294" s="235" t="s">
        <v>16</v>
      </c>
      <c r="G1294" s="242"/>
      <c r="H1294" s="242"/>
      <c r="I1294" s="242"/>
      <c r="J1294" s="242"/>
      <c r="K1294" s="242"/>
    </row>
    <row r="1295" spans="1:11" ht="16" thickBot="1">
      <c r="A1295" s="207"/>
      <c r="B1295" s="204"/>
      <c r="C1295" s="236"/>
      <c r="D1295" s="227" t="s">
        <v>5751</v>
      </c>
      <c r="E1295" s="215" t="s">
        <v>5752</v>
      </c>
      <c r="F1295" s="235" t="s">
        <v>16</v>
      </c>
      <c r="G1295" s="242"/>
      <c r="H1295" s="242"/>
      <c r="I1295" s="242"/>
      <c r="J1295" s="242"/>
      <c r="K1295" s="242"/>
    </row>
    <row r="1296" spans="1:11" ht="16" thickBot="1">
      <c r="A1296" s="207"/>
      <c r="B1296" s="204"/>
      <c r="C1296" s="236"/>
      <c r="D1296" s="227" t="s">
        <v>5753</v>
      </c>
      <c r="E1296" s="356" t="s">
        <v>5754</v>
      </c>
      <c r="F1296" s="235" t="s">
        <v>16</v>
      </c>
      <c r="G1296" s="242"/>
      <c r="H1296" s="242"/>
      <c r="I1296" s="242"/>
      <c r="J1296" s="242"/>
      <c r="K1296" s="242"/>
    </row>
    <row r="1297" spans="1:11" ht="16" thickBot="1">
      <c r="A1297" s="207"/>
      <c r="B1297" s="204"/>
      <c r="C1297" s="236" t="s">
        <v>1725</v>
      </c>
      <c r="D1297" s="227" t="s">
        <v>5755</v>
      </c>
      <c r="E1297" s="356" t="s">
        <v>5756</v>
      </c>
      <c r="F1297" s="235" t="s">
        <v>16</v>
      </c>
      <c r="G1297" s="242"/>
      <c r="H1297" s="242"/>
      <c r="I1297" s="242"/>
      <c r="J1297" s="242"/>
      <c r="K1297" s="242"/>
    </row>
    <row r="1298" spans="1:11" ht="16" thickBot="1">
      <c r="A1298" s="207"/>
      <c r="B1298" s="204"/>
      <c r="C1298" s="236"/>
      <c r="D1298" s="227" t="s">
        <v>5757</v>
      </c>
      <c r="E1298" s="356" t="s">
        <v>5758</v>
      </c>
      <c r="F1298" s="235" t="s">
        <v>16</v>
      </c>
      <c r="G1298" s="242"/>
      <c r="H1298" s="242"/>
      <c r="I1298" s="242"/>
      <c r="J1298" s="242"/>
      <c r="K1298" s="242"/>
    </row>
    <row r="1299" spans="1:11" ht="16" thickBot="1">
      <c r="A1299" s="207"/>
      <c r="B1299" s="204"/>
      <c r="C1299" s="236"/>
      <c r="D1299" s="227" t="s">
        <v>5759</v>
      </c>
      <c r="E1299" s="356" t="s">
        <v>5760</v>
      </c>
      <c r="F1299" s="235" t="s">
        <v>16</v>
      </c>
      <c r="G1299" s="242"/>
      <c r="H1299" s="242"/>
      <c r="I1299" s="242"/>
      <c r="J1299" s="242"/>
      <c r="K1299" s="242"/>
    </row>
    <row r="1300" spans="1:11" ht="16" thickBot="1">
      <c r="A1300" s="207"/>
      <c r="B1300" s="204"/>
      <c r="C1300" s="236"/>
      <c r="D1300" s="227" t="s">
        <v>5761</v>
      </c>
      <c r="E1300" s="356" t="s">
        <v>5762</v>
      </c>
      <c r="F1300" s="235" t="s">
        <v>16</v>
      </c>
      <c r="G1300" s="242"/>
      <c r="H1300" s="242"/>
      <c r="I1300" s="242"/>
      <c r="J1300" s="242"/>
      <c r="K1300" s="242"/>
    </row>
    <row r="1301" spans="1:11" ht="16" thickBot="1">
      <c r="A1301" s="207"/>
      <c r="B1301" s="205"/>
      <c r="C1301" s="236"/>
      <c r="D1301" s="227" t="s">
        <v>5678</v>
      </c>
      <c r="E1301" s="356" t="s">
        <v>5763</v>
      </c>
      <c r="F1301" s="235" t="s">
        <v>16</v>
      </c>
      <c r="G1301" s="242"/>
      <c r="H1301" s="242"/>
      <c r="I1301" s="242"/>
      <c r="J1301" s="242"/>
      <c r="K1301" s="242"/>
    </row>
    <row r="1302" spans="1:11" ht="16" thickBot="1">
      <c r="A1302" s="207"/>
      <c r="B1302" s="203" t="s">
        <v>1659</v>
      </c>
      <c r="C1302" s="236" t="s">
        <v>1726</v>
      </c>
      <c r="D1302" s="227" t="s">
        <v>5764</v>
      </c>
      <c r="E1302" s="215" t="s">
        <v>5765</v>
      </c>
      <c r="F1302" s="235" t="s">
        <v>16</v>
      </c>
      <c r="G1302" s="242"/>
      <c r="H1302" s="242"/>
      <c r="I1302" s="242"/>
      <c r="J1302" s="242"/>
      <c r="K1302" s="242"/>
    </row>
    <row r="1303" spans="1:11" ht="16" thickBot="1">
      <c r="A1303" s="207"/>
      <c r="B1303" s="204"/>
      <c r="C1303" s="236"/>
      <c r="D1303" s="227" t="s">
        <v>5766</v>
      </c>
      <c r="E1303" s="215" t="s">
        <v>5767</v>
      </c>
      <c r="F1303" s="242" t="s">
        <v>23</v>
      </c>
      <c r="G1303" s="242"/>
      <c r="H1303" s="242"/>
      <c r="I1303" s="242"/>
      <c r="J1303" s="242"/>
      <c r="K1303" s="242"/>
    </row>
    <row r="1304" spans="1:11" ht="16" thickBot="1">
      <c r="A1304" s="207"/>
      <c r="B1304" s="204"/>
      <c r="C1304" s="236"/>
      <c r="D1304" s="227" t="s">
        <v>5736</v>
      </c>
      <c r="E1304" s="215" t="s">
        <v>5768</v>
      </c>
      <c r="F1304" s="242" t="s">
        <v>23</v>
      </c>
      <c r="G1304" s="242"/>
      <c r="H1304" s="242"/>
      <c r="I1304" s="242"/>
      <c r="J1304" s="242"/>
      <c r="K1304" s="242"/>
    </row>
    <row r="1305" spans="1:11" ht="16" thickBot="1">
      <c r="A1305" s="207"/>
      <c r="B1305" s="204"/>
      <c r="C1305" s="236"/>
      <c r="D1305" s="227" t="s">
        <v>5769</v>
      </c>
      <c r="E1305" s="215" t="s">
        <v>5770</v>
      </c>
      <c r="F1305" s="242" t="s">
        <v>58</v>
      </c>
      <c r="G1305" s="242"/>
      <c r="H1305" s="242"/>
      <c r="I1305" s="242"/>
      <c r="J1305" s="242"/>
      <c r="K1305" s="242"/>
    </row>
    <row r="1306" spans="1:11" ht="16" thickBot="1">
      <c r="A1306" s="207"/>
      <c r="B1306" s="204"/>
      <c r="C1306" s="236"/>
      <c r="D1306" s="227" t="s">
        <v>5771</v>
      </c>
      <c r="E1306" s="215" t="s">
        <v>5772</v>
      </c>
      <c r="F1306" s="242" t="s">
        <v>23</v>
      </c>
      <c r="G1306" s="242"/>
      <c r="H1306" s="242"/>
      <c r="I1306" s="242"/>
      <c r="J1306" s="242"/>
      <c r="K1306" s="242"/>
    </row>
    <row r="1307" spans="1:11" ht="16" thickBot="1">
      <c r="A1307" s="207"/>
      <c r="B1307" s="204"/>
      <c r="C1307" s="236" t="s">
        <v>1727</v>
      </c>
      <c r="D1307" s="227" t="s">
        <v>5773</v>
      </c>
      <c r="E1307" s="215" t="s">
        <v>5774</v>
      </c>
      <c r="F1307" s="242" t="s">
        <v>58</v>
      </c>
      <c r="G1307" s="242"/>
      <c r="H1307" s="242"/>
      <c r="I1307" s="242"/>
      <c r="J1307" s="242"/>
      <c r="K1307" s="242"/>
    </row>
    <row r="1308" spans="1:11" ht="16" thickBot="1">
      <c r="A1308" s="207"/>
      <c r="B1308" s="204"/>
      <c r="C1308" s="236"/>
      <c r="D1308" s="227" t="s">
        <v>5775</v>
      </c>
      <c r="E1308" s="215" t="s">
        <v>5776</v>
      </c>
      <c r="F1308" s="242" t="s">
        <v>58</v>
      </c>
      <c r="G1308" s="242"/>
      <c r="H1308" s="242"/>
      <c r="I1308" s="242"/>
      <c r="J1308" s="242"/>
      <c r="K1308" s="242"/>
    </row>
    <row r="1309" spans="1:11" ht="16" thickBot="1">
      <c r="A1309" s="207"/>
      <c r="B1309" s="204"/>
      <c r="C1309" s="236"/>
      <c r="D1309" s="227" t="s">
        <v>5777</v>
      </c>
      <c r="E1309" s="215" t="s">
        <v>5778</v>
      </c>
      <c r="F1309" s="242" t="s">
        <v>58</v>
      </c>
      <c r="G1309" s="242"/>
      <c r="H1309" s="242"/>
      <c r="I1309" s="242"/>
      <c r="J1309" s="242"/>
      <c r="K1309" s="242"/>
    </row>
    <row r="1310" spans="1:11" ht="16" thickBot="1">
      <c r="A1310" s="207"/>
      <c r="B1310" s="204"/>
      <c r="C1310" s="236"/>
      <c r="D1310" s="227" t="s">
        <v>5779</v>
      </c>
      <c r="E1310" s="215" t="s">
        <v>5780</v>
      </c>
      <c r="F1310" s="242" t="s">
        <v>23</v>
      </c>
      <c r="G1310" s="242"/>
      <c r="H1310" s="242"/>
      <c r="I1310" s="242"/>
      <c r="J1310" s="242"/>
      <c r="K1310" s="242"/>
    </row>
    <row r="1311" spans="1:11" ht="16" thickBot="1">
      <c r="A1311" s="207"/>
      <c r="B1311" s="204"/>
      <c r="C1311" s="236"/>
      <c r="D1311" s="227" t="s">
        <v>5678</v>
      </c>
      <c r="E1311" s="215" t="s">
        <v>5781</v>
      </c>
      <c r="F1311" s="242" t="s">
        <v>23</v>
      </c>
      <c r="G1311" s="242"/>
      <c r="H1311" s="242"/>
      <c r="I1311" s="242"/>
      <c r="J1311" s="242"/>
      <c r="K1311" s="242"/>
    </row>
    <row r="1312" spans="1:11" ht="16" thickBot="1">
      <c r="A1312" s="207"/>
      <c r="B1312" s="204"/>
      <c r="C1312" s="236" t="s">
        <v>1728</v>
      </c>
      <c r="D1312" s="227" t="s">
        <v>5782</v>
      </c>
      <c r="E1312" s="215" t="s">
        <v>5783</v>
      </c>
      <c r="F1312" s="242" t="s">
        <v>16</v>
      </c>
      <c r="G1312" s="242"/>
      <c r="H1312" s="242"/>
      <c r="I1312" s="242"/>
      <c r="J1312" s="242"/>
      <c r="K1312" s="242"/>
    </row>
    <row r="1313" spans="1:11" ht="16" thickBot="1">
      <c r="A1313" s="207"/>
      <c r="B1313" s="204"/>
      <c r="C1313" s="236"/>
      <c r="D1313" s="227" t="s">
        <v>5784</v>
      </c>
      <c r="E1313" s="215" t="s">
        <v>5785</v>
      </c>
      <c r="F1313" s="242" t="s">
        <v>23</v>
      </c>
      <c r="G1313" s="242"/>
      <c r="H1313" s="242"/>
      <c r="I1313" s="242"/>
      <c r="J1313" s="242"/>
      <c r="K1313" s="242"/>
    </row>
    <row r="1314" spans="1:11" ht="16" thickBot="1">
      <c r="A1314" s="207"/>
      <c r="B1314" s="204"/>
      <c r="C1314" s="236"/>
      <c r="D1314" s="227" t="s">
        <v>5786</v>
      </c>
      <c r="E1314" s="215" t="s">
        <v>5787</v>
      </c>
      <c r="F1314" s="242" t="s">
        <v>23</v>
      </c>
      <c r="G1314" s="242"/>
      <c r="H1314" s="242"/>
      <c r="I1314" s="242"/>
      <c r="J1314" s="242"/>
      <c r="K1314" s="242"/>
    </row>
    <row r="1315" spans="1:11" ht="16" thickBot="1">
      <c r="A1315" s="207"/>
      <c r="B1315" s="204"/>
      <c r="C1315" s="236"/>
      <c r="D1315" s="227" t="s">
        <v>5788</v>
      </c>
      <c r="E1315" s="215" t="s">
        <v>5789</v>
      </c>
      <c r="F1315" s="242" t="s">
        <v>23</v>
      </c>
      <c r="G1315" s="242"/>
      <c r="H1315" s="242"/>
      <c r="I1315" s="242"/>
      <c r="J1315" s="242"/>
      <c r="K1315" s="242"/>
    </row>
    <row r="1316" spans="1:11" ht="16" thickBot="1">
      <c r="A1316" s="207"/>
      <c r="B1316" s="204"/>
      <c r="C1316" s="236"/>
      <c r="D1316" s="227" t="s">
        <v>5790</v>
      </c>
      <c r="E1316" s="215" t="s">
        <v>5791</v>
      </c>
      <c r="F1316" s="242" t="s">
        <v>23</v>
      </c>
      <c r="G1316" s="242"/>
      <c r="H1316" s="242"/>
      <c r="I1316" s="242"/>
      <c r="J1316" s="242"/>
      <c r="K1316" s="242"/>
    </row>
    <row r="1317" spans="1:11" ht="16" thickBot="1">
      <c r="A1317" s="207"/>
      <c r="B1317" s="204"/>
      <c r="C1317" s="236" t="s">
        <v>1729</v>
      </c>
      <c r="D1317" s="227" t="s">
        <v>5792</v>
      </c>
      <c r="E1317" s="215" t="s">
        <v>5793</v>
      </c>
      <c r="F1317" s="242" t="s">
        <v>23</v>
      </c>
      <c r="G1317" s="242"/>
      <c r="H1317" s="242"/>
      <c r="I1317" s="242"/>
      <c r="J1317" s="242"/>
      <c r="K1317" s="242"/>
    </row>
    <row r="1318" spans="1:11" ht="16" thickBot="1">
      <c r="A1318" s="207"/>
      <c r="B1318" s="204"/>
      <c r="C1318" s="236"/>
      <c r="D1318" s="227" t="s">
        <v>5794</v>
      </c>
      <c r="E1318" s="215" t="s">
        <v>5795</v>
      </c>
      <c r="F1318" s="242" t="s">
        <v>23</v>
      </c>
      <c r="G1318" s="242"/>
      <c r="H1318" s="242"/>
      <c r="I1318" s="242"/>
      <c r="J1318" s="242"/>
      <c r="K1318" s="242"/>
    </row>
    <row r="1319" spans="1:11" ht="16" thickBot="1">
      <c r="A1319" s="207"/>
      <c r="B1319" s="204"/>
      <c r="C1319" s="236"/>
      <c r="D1319" s="227" t="s">
        <v>5796</v>
      </c>
      <c r="E1319" s="215" t="s">
        <v>5797</v>
      </c>
      <c r="F1319" s="242" t="s">
        <v>23</v>
      </c>
      <c r="G1319" s="242"/>
      <c r="H1319" s="242"/>
      <c r="I1319" s="242"/>
      <c r="J1319" s="242"/>
      <c r="K1319" s="242"/>
    </row>
    <row r="1320" spans="1:11" ht="16" thickBot="1">
      <c r="A1320" s="207"/>
      <c r="B1320" s="204"/>
      <c r="C1320" s="236"/>
      <c r="D1320" s="227" t="s">
        <v>5798</v>
      </c>
      <c r="E1320" s="215" t="s">
        <v>5799</v>
      </c>
      <c r="F1320" s="242" t="s">
        <v>23</v>
      </c>
      <c r="G1320" s="242"/>
      <c r="H1320" s="242"/>
      <c r="I1320" s="242"/>
      <c r="J1320" s="242"/>
      <c r="K1320" s="242"/>
    </row>
    <row r="1321" spans="1:11" ht="16" thickBot="1">
      <c r="A1321" s="207"/>
      <c r="B1321" s="204"/>
      <c r="C1321" s="236"/>
      <c r="D1321" s="227" t="s">
        <v>5800</v>
      </c>
      <c r="E1321" s="215" t="s">
        <v>5801</v>
      </c>
      <c r="F1321" s="242" t="s">
        <v>23</v>
      </c>
      <c r="G1321" s="242"/>
      <c r="H1321" s="242"/>
      <c r="I1321" s="242"/>
      <c r="J1321" s="242"/>
      <c r="K1321" s="242"/>
    </row>
    <row r="1322" spans="1:11" ht="16" thickBot="1">
      <c r="A1322" s="207"/>
      <c r="B1322" s="204"/>
      <c r="C1322" s="236" t="s">
        <v>1730</v>
      </c>
      <c r="D1322" s="227" t="s">
        <v>5745</v>
      </c>
      <c r="E1322" s="215" t="s">
        <v>5802</v>
      </c>
      <c r="F1322" s="242" t="s">
        <v>23</v>
      </c>
      <c r="G1322" s="242"/>
      <c r="H1322" s="242"/>
      <c r="I1322" s="242"/>
      <c r="J1322" s="242"/>
      <c r="K1322" s="242"/>
    </row>
    <row r="1323" spans="1:11" ht="16" thickBot="1">
      <c r="A1323" s="207"/>
      <c r="B1323" s="204"/>
      <c r="C1323" s="236"/>
      <c r="D1323" s="227" t="s">
        <v>5803</v>
      </c>
      <c r="E1323" s="215" t="s">
        <v>5804</v>
      </c>
      <c r="F1323" s="242" t="s">
        <v>23</v>
      </c>
      <c r="G1323" s="242"/>
      <c r="H1323" s="242"/>
      <c r="I1323" s="242"/>
      <c r="J1323" s="242"/>
      <c r="K1323" s="242"/>
    </row>
    <row r="1324" spans="1:11" ht="16" thickBot="1">
      <c r="A1324" s="207"/>
      <c r="B1324" s="204"/>
      <c r="C1324" s="236"/>
      <c r="D1324" s="227" t="s">
        <v>5805</v>
      </c>
      <c r="E1324" s="215" t="s">
        <v>5806</v>
      </c>
      <c r="F1324" s="242" t="s">
        <v>23</v>
      </c>
      <c r="G1324" s="242"/>
      <c r="H1324" s="242"/>
      <c r="I1324" s="242"/>
      <c r="J1324" s="242"/>
      <c r="K1324" s="242"/>
    </row>
    <row r="1325" spans="1:11" ht="16" thickBot="1">
      <c r="A1325" s="207"/>
      <c r="B1325" s="204"/>
      <c r="C1325" s="236"/>
      <c r="D1325" s="227" t="s">
        <v>5807</v>
      </c>
      <c r="E1325" s="215" t="s">
        <v>5808</v>
      </c>
      <c r="F1325" s="242" t="s">
        <v>23</v>
      </c>
      <c r="G1325" s="242"/>
      <c r="H1325" s="242"/>
      <c r="I1325" s="242"/>
      <c r="J1325" s="242"/>
      <c r="K1325" s="242"/>
    </row>
    <row r="1326" spans="1:11" ht="16" thickBot="1">
      <c r="A1326" s="207"/>
      <c r="B1326" s="205"/>
      <c r="C1326" s="236"/>
      <c r="D1326" s="227" t="s">
        <v>5809</v>
      </c>
      <c r="E1326" s="215" t="s">
        <v>5810</v>
      </c>
      <c r="F1326" s="242" t="s">
        <v>23</v>
      </c>
      <c r="G1326" s="242"/>
      <c r="H1326" s="242"/>
      <c r="I1326" s="242"/>
      <c r="J1326" s="242"/>
      <c r="K1326" s="242"/>
    </row>
    <row r="1327" spans="1:11" ht="16" thickBot="1">
      <c r="A1327" s="207"/>
      <c r="B1327" s="203" t="s">
        <v>1660</v>
      </c>
      <c r="C1327" s="236" t="s">
        <v>1731</v>
      </c>
      <c r="D1327" s="227" t="s">
        <v>5811</v>
      </c>
      <c r="E1327" s="215" t="s">
        <v>5812</v>
      </c>
      <c r="F1327" s="242" t="s">
        <v>23</v>
      </c>
      <c r="G1327" s="242"/>
      <c r="H1327" s="242"/>
      <c r="I1327" s="242"/>
      <c r="J1327" s="242"/>
      <c r="K1327" s="242"/>
    </row>
    <row r="1328" spans="1:11" ht="16" thickBot="1">
      <c r="A1328" s="207"/>
      <c r="B1328" s="204"/>
      <c r="C1328" s="236"/>
      <c r="D1328" s="227" t="s">
        <v>5813</v>
      </c>
      <c r="E1328" s="215" t="s">
        <v>5814</v>
      </c>
      <c r="F1328" s="242" t="s">
        <v>16</v>
      </c>
      <c r="G1328" s="242"/>
      <c r="H1328" s="242"/>
      <c r="I1328" s="242"/>
      <c r="J1328" s="242"/>
      <c r="K1328" s="242"/>
    </row>
    <row r="1329" spans="1:11" ht="16" thickBot="1">
      <c r="A1329" s="207"/>
      <c r="B1329" s="204"/>
      <c r="C1329" s="236"/>
      <c r="D1329" s="227" t="s">
        <v>5815</v>
      </c>
      <c r="E1329" s="215" t="s">
        <v>5816</v>
      </c>
      <c r="F1329" s="242" t="s">
        <v>16</v>
      </c>
      <c r="G1329" s="242"/>
      <c r="H1329" s="242"/>
      <c r="I1329" s="242"/>
      <c r="J1329" s="242"/>
      <c r="K1329" s="242"/>
    </row>
    <row r="1330" spans="1:11" ht="16" thickBot="1">
      <c r="A1330" s="207"/>
      <c r="B1330" s="204"/>
      <c r="C1330" s="236"/>
      <c r="D1330" s="227" t="s">
        <v>5817</v>
      </c>
      <c r="E1330" s="215" t="s">
        <v>5818</v>
      </c>
      <c r="F1330" s="242" t="s">
        <v>16</v>
      </c>
      <c r="G1330" s="242"/>
      <c r="H1330" s="242"/>
      <c r="I1330" s="242"/>
      <c r="J1330" s="242"/>
      <c r="K1330" s="242"/>
    </row>
    <row r="1331" spans="1:11" ht="16" thickBot="1">
      <c r="A1331" s="207"/>
      <c r="B1331" s="204"/>
      <c r="C1331" s="236"/>
      <c r="D1331" s="227" t="s">
        <v>5678</v>
      </c>
      <c r="E1331" s="215" t="s">
        <v>5819</v>
      </c>
      <c r="F1331" s="242" t="s">
        <v>16</v>
      </c>
      <c r="G1331" s="242"/>
      <c r="H1331" s="242"/>
      <c r="I1331" s="242"/>
      <c r="J1331" s="242"/>
      <c r="K1331" s="242"/>
    </row>
    <row r="1332" spans="1:11" ht="16" thickBot="1">
      <c r="A1332" s="207"/>
      <c r="B1332" s="204"/>
      <c r="C1332" s="236" t="s">
        <v>1732</v>
      </c>
      <c r="D1332" s="227" t="s">
        <v>5820</v>
      </c>
      <c r="E1332" s="215" t="s">
        <v>5821</v>
      </c>
      <c r="F1332" s="242" t="s">
        <v>16</v>
      </c>
      <c r="G1332" s="242"/>
      <c r="H1332" s="242"/>
      <c r="I1332" s="242"/>
      <c r="J1332" s="242"/>
      <c r="K1332" s="242"/>
    </row>
    <row r="1333" spans="1:11" ht="16" thickBot="1">
      <c r="A1333" s="207"/>
      <c r="B1333" s="204"/>
      <c r="C1333" s="236"/>
      <c r="D1333" s="227" t="s">
        <v>5822</v>
      </c>
      <c r="E1333" s="215" t="s">
        <v>5823</v>
      </c>
      <c r="F1333" s="242" t="s">
        <v>16</v>
      </c>
      <c r="G1333" s="242"/>
      <c r="H1333" s="242"/>
      <c r="I1333" s="242"/>
      <c r="J1333" s="242"/>
      <c r="K1333" s="242"/>
    </row>
    <row r="1334" spans="1:11" ht="16" thickBot="1">
      <c r="A1334" s="207"/>
      <c r="B1334" s="204"/>
      <c r="C1334" s="236"/>
      <c r="D1334" s="227" t="s">
        <v>5824</v>
      </c>
      <c r="E1334" s="215" t="s">
        <v>5825</v>
      </c>
      <c r="F1334" s="242" t="s">
        <v>16</v>
      </c>
      <c r="G1334" s="242"/>
      <c r="H1334" s="242"/>
      <c r="I1334" s="242"/>
      <c r="J1334" s="242"/>
      <c r="K1334" s="242"/>
    </row>
    <row r="1335" spans="1:11" ht="16" thickBot="1">
      <c r="A1335" s="207"/>
      <c r="B1335" s="204"/>
      <c r="C1335" s="236"/>
      <c r="D1335" s="227" t="s">
        <v>5826</v>
      </c>
      <c r="E1335" s="215" t="s">
        <v>5827</v>
      </c>
      <c r="F1335" s="242" t="s">
        <v>16</v>
      </c>
      <c r="G1335" s="242"/>
      <c r="H1335" s="242"/>
      <c r="I1335" s="242"/>
      <c r="J1335" s="242"/>
      <c r="K1335" s="242"/>
    </row>
    <row r="1336" spans="1:11" ht="16" thickBot="1">
      <c r="A1336" s="207"/>
      <c r="B1336" s="204"/>
      <c r="C1336" s="236"/>
      <c r="D1336" s="227" t="s">
        <v>5828</v>
      </c>
      <c r="E1336" s="215" t="s">
        <v>5829</v>
      </c>
      <c r="F1336" s="242" t="s">
        <v>16</v>
      </c>
      <c r="G1336" s="242"/>
      <c r="H1336" s="242"/>
      <c r="I1336" s="242"/>
      <c r="J1336" s="242"/>
      <c r="K1336" s="242"/>
    </row>
    <row r="1337" spans="1:11" ht="16" thickBot="1">
      <c r="A1337" s="207"/>
      <c r="B1337" s="204"/>
      <c r="C1337" s="236" t="s">
        <v>1732</v>
      </c>
      <c r="D1337" s="227" t="s">
        <v>5830</v>
      </c>
      <c r="E1337" s="215" t="s">
        <v>5831</v>
      </c>
      <c r="F1337" s="242" t="s">
        <v>16</v>
      </c>
      <c r="G1337" s="242"/>
      <c r="H1337" s="242"/>
      <c r="I1337" s="242"/>
      <c r="J1337" s="242"/>
      <c r="K1337" s="242"/>
    </row>
    <row r="1338" spans="1:11" ht="16" thickBot="1">
      <c r="A1338" s="207"/>
      <c r="B1338" s="204"/>
      <c r="C1338" s="236"/>
      <c r="D1338" s="227" t="s">
        <v>5832</v>
      </c>
      <c r="E1338" s="215" t="s">
        <v>5833</v>
      </c>
      <c r="F1338" s="242" t="s">
        <v>16</v>
      </c>
      <c r="G1338" s="242"/>
      <c r="H1338" s="242"/>
      <c r="I1338" s="242"/>
      <c r="J1338" s="242"/>
      <c r="K1338" s="242"/>
    </row>
    <row r="1339" spans="1:11" ht="16" thickBot="1">
      <c r="A1339" s="207"/>
      <c r="B1339" s="204"/>
      <c r="C1339" s="236"/>
      <c r="D1339" s="227" t="s">
        <v>5834</v>
      </c>
      <c r="E1339" s="215" t="s">
        <v>5835</v>
      </c>
      <c r="F1339" s="242" t="s">
        <v>16</v>
      </c>
      <c r="G1339" s="242"/>
      <c r="H1339" s="242"/>
      <c r="I1339" s="242"/>
      <c r="J1339" s="242"/>
      <c r="K1339" s="242"/>
    </row>
    <row r="1340" spans="1:11" ht="16" thickBot="1">
      <c r="A1340" s="207"/>
      <c r="B1340" s="204"/>
      <c r="C1340" s="236"/>
      <c r="D1340" s="227" t="s">
        <v>5751</v>
      </c>
      <c r="E1340" s="215" t="s">
        <v>5836</v>
      </c>
      <c r="F1340" s="242" t="s">
        <v>16</v>
      </c>
      <c r="G1340" s="242"/>
      <c r="H1340" s="242"/>
      <c r="I1340" s="242"/>
      <c r="J1340" s="242"/>
      <c r="K1340" s="242"/>
    </row>
    <row r="1341" spans="1:11" ht="16" thickBot="1">
      <c r="A1341" s="207"/>
      <c r="B1341" s="204"/>
      <c r="C1341" s="236"/>
      <c r="D1341" s="227" t="s">
        <v>5753</v>
      </c>
      <c r="E1341" s="215" t="s">
        <v>5837</v>
      </c>
      <c r="F1341" s="242" t="s">
        <v>16</v>
      </c>
      <c r="G1341" s="242"/>
      <c r="H1341" s="242"/>
      <c r="I1341" s="242"/>
      <c r="J1341" s="242"/>
      <c r="K1341" s="242"/>
    </row>
    <row r="1342" spans="1:11" ht="16" thickBot="1">
      <c r="A1342" s="207"/>
      <c r="B1342" s="204"/>
      <c r="C1342" s="236" t="s">
        <v>1732</v>
      </c>
      <c r="D1342" s="227" t="s">
        <v>5716</v>
      </c>
      <c r="E1342" s="215" t="s">
        <v>5838</v>
      </c>
      <c r="F1342" s="242" t="s">
        <v>16</v>
      </c>
      <c r="G1342" s="242"/>
      <c r="H1342" s="242"/>
      <c r="I1342" s="242"/>
      <c r="J1342" s="242"/>
      <c r="K1342" s="242"/>
    </row>
    <row r="1343" spans="1:11" ht="16" thickBot="1">
      <c r="A1343" s="207"/>
      <c r="B1343" s="204"/>
      <c r="C1343" s="236"/>
      <c r="D1343" s="227" t="s">
        <v>5839</v>
      </c>
      <c r="E1343" s="215" t="s">
        <v>5840</v>
      </c>
      <c r="F1343" s="242" t="s">
        <v>16</v>
      </c>
      <c r="G1343" s="242"/>
      <c r="H1343" s="242"/>
      <c r="I1343" s="242"/>
      <c r="J1343" s="242"/>
      <c r="K1343" s="242"/>
    </row>
    <row r="1344" spans="1:11" ht="16" thickBot="1">
      <c r="A1344" s="207"/>
      <c r="B1344" s="204"/>
      <c r="C1344" s="236"/>
      <c r="D1344" s="227" t="s">
        <v>5841</v>
      </c>
      <c r="E1344" s="215" t="s">
        <v>5842</v>
      </c>
      <c r="F1344" s="242" t="s">
        <v>16</v>
      </c>
      <c r="G1344" s="242"/>
      <c r="H1344" s="242"/>
      <c r="I1344" s="242"/>
      <c r="J1344" s="242"/>
      <c r="K1344" s="242"/>
    </row>
    <row r="1345" spans="1:11" ht="16" thickBot="1">
      <c r="A1345" s="207"/>
      <c r="B1345" s="204"/>
      <c r="C1345" s="236"/>
      <c r="D1345" s="227" t="s">
        <v>5843</v>
      </c>
      <c r="E1345" s="215" t="s">
        <v>5844</v>
      </c>
      <c r="F1345" s="242" t="s">
        <v>16</v>
      </c>
      <c r="G1345" s="242"/>
      <c r="H1345" s="242"/>
      <c r="I1345" s="242"/>
      <c r="J1345" s="242"/>
      <c r="K1345" s="242"/>
    </row>
    <row r="1346" spans="1:11" ht="16" thickBot="1">
      <c r="A1346" s="207"/>
      <c r="B1346" s="204"/>
      <c r="C1346" s="236"/>
      <c r="D1346" s="227" t="s">
        <v>5782</v>
      </c>
      <c r="E1346" s="215" t="s">
        <v>5845</v>
      </c>
      <c r="F1346" s="242" t="s">
        <v>16</v>
      </c>
      <c r="G1346" s="242"/>
      <c r="H1346" s="242"/>
      <c r="I1346" s="242"/>
      <c r="J1346" s="242"/>
      <c r="K1346" s="242"/>
    </row>
    <row r="1347" spans="1:11" ht="16" thickBot="1">
      <c r="A1347" s="207"/>
      <c r="B1347" s="204"/>
      <c r="C1347" s="236" t="s">
        <v>1733</v>
      </c>
      <c r="D1347" s="227" t="s">
        <v>5846</v>
      </c>
      <c r="E1347" s="215" t="s">
        <v>5847</v>
      </c>
      <c r="F1347" s="242" t="s">
        <v>16</v>
      </c>
      <c r="G1347" s="242"/>
      <c r="H1347" s="242"/>
      <c r="I1347" s="242"/>
      <c r="J1347" s="242"/>
      <c r="K1347" s="242"/>
    </row>
    <row r="1348" spans="1:11" ht="16" thickBot="1">
      <c r="A1348" s="207"/>
      <c r="B1348" s="204"/>
      <c r="C1348" s="236"/>
      <c r="D1348" s="227" t="s">
        <v>5855</v>
      </c>
      <c r="E1348" s="215" t="s">
        <v>5856</v>
      </c>
      <c r="F1348" s="242" t="s">
        <v>16</v>
      </c>
      <c r="G1348" s="242"/>
      <c r="H1348" s="242"/>
      <c r="I1348" s="242"/>
      <c r="J1348" s="242"/>
      <c r="K1348" s="242"/>
    </row>
    <row r="1349" spans="1:11" ht="16" thickBot="1">
      <c r="A1349" s="207"/>
      <c r="B1349" s="204"/>
      <c r="C1349" s="236"/>
      <c r="D1349" s="227" t="s">
        <v>5848</v>
      </c>
      <c r="E1349" s="215" t="s">
        <v>5849</v>
      </c>
      <c r="F1349" s="242" t="s">
        <v>16</v>
      </c>
      <c r="G1349" s="242"/>
      <c r="H1349" s="242"/>
      <c r="I1349" s="242"/>
      <c r="J1349" s="242"/>
      <c r="K1349" s="242"/>
    </row>
    <row r="1350" spans="1:11" ht="16" thickBot="1">
      <c r="A1350" s="207"/>
      <c r="B1350" s="204"/>
      <c r="C1350" s="236"/>
      <c r="D1350" s="227" t="s">
        <v>5736</v>
      </c>
      <c r="E1350" s="215" t="s">
        <v>5850</v>
      </c>
      <c r="F1350" s="242" t="s">
        <v>16</v>
      </c>
      <c r="G1350" s="242"/>
      <c r="H1350" s="242"/>
      <c r="I1350" s="242"/>
      <c r="J1350" s="242"/>
      <c r="K1350" s="242"/>
    </row>
    <row r="1351" spans="1:11" ht="16" thickBot="1">
      <c r="A1351" s="208"/>
      <c r="B1351" s="205"/>
      <c r="C1351" s="236"/>
      <c r="D1351" s="227" t="s">
        <v>5851</v>
      </c>
      <c r="E1351" s="215" t="s">
        <v>5852</v>
      </c>
      <c r="F1351" s="242" t="s">
        <v>23</v>
      </c>
      <c r="G1351" s="242"/>
      <c r="H1351" s="242"/>
      <c r="I1351" s="242"/>
      <c r="J1351" s="242"/>
      <c r="K1351" s="242"/>
    </row>
    <row r="1352" spans="1:11" ht="15" thickBot="1">
      <c r="A1352" s="213" t="s">
        <v>1736</v>
      </c>
      <c r="B1352" s="213" t="s">
        <v>1737</v>
      </c>
      <c r="C1352" s="213" t="s">
        <v>1738</v>
      </c>
      <c r="D1352" s="227" t="s">
        <v>1974</v>
      </c>
      <c r="E1352" s="245" t="s">
        <v>1975</v>
      </c>
      <c r="F1352" s="245" t="s">
        <v>16</v>
      </c>
      <c r="G1352" s="245" t="s">
        <v>1993</v>
      </c>
      <c r="H1352" s="245" t="s">
        <v>1976</v>
      </c>
      <c r="I1352" s="351" t="s">
        <v>19</v>
      </c>
      <c r="J1352" s="242"/>
      <c r="K1352" s="242"/>
    </row>
    <row r="1353" spans="1:11" ht="15" thickBot="1">
      <c r="A1353" s="200"/>
      <c r="B1353" s="200"/>
      <c r="C1353" s="200"/>
      <c r="D1353" s="224" t="s">
        <v>1977</v>
      </c>
      <c r="E1353" s="235" t="s">
        <v>1978</v>
      </c>
      <c r="F1353" s="235" t="s">
        <v>16</v>
      </c>
      <c r="G1353" s="235" t="s">
        <v>1979</v>
      </c>
      <c r="H1353" s="235" t="s">
        <v>1980</v>
      </c>
      <c r="I1353" s="246" t="s">
        <v>26</v>
      </c>
      <c r="J1353" s="242"/>
      <c r="K1353" s="242"/>
    </row>
    <row r="1354" spans="1:11" ht="15" thickBot="1">
      <c r="A1354" s="200"/>
      <c r="B1354" s="200"/>
      <c r="C1354" s="200"/>
      <c r="D1354" s="224" t="s">
        <v>1981</v>
      </c>
      <c r="E1354" s="235" t="s">
        <v>1982</v>
      </c>
      <c r="F1354" s="235" t="s">
        <v>16</v>
      </c>
      <c r="G1354" s="235" t="s">
        <v>1983</v>
      </c>
      <c r="H1354" s="235" t="s">
        <v>1984</v>
      </c>
      <c r="I1354" s="246" t="s">
        <v>26</v>
      </c>
      <c r="J1354" s="242"/>
      <c r="K1354" s="242"/>
    </row>
    <row r="1355" spans="1:11" ht="15" thickBot="1">
      <c r="A1355" s="200"/>
      <c r="B1355" s="200"/>
      <c r="C1355" s="200"/>
      <c r="D1355" s="224" t="s">
        <v>1985</v>
      </c>
      <c r="E1355" s="235" t="s">
        <v>1986</v>
      </c>
      <c r="F1355" s="235" t="s">
        <v>58</v>
      </c>
      <c r="G1355" s="235" t="s">
        <v>1994</v>
      </c>
      <c r="H1355" s="235" t="s">
        <v>1988</v>
      </c>
      <c r="I1355" s="352" t="s">
        <v>19</v>
      </c>
      <c r="J1355" s="242"/>
      <c r="K1355" s="242"/>
    </row>
    <row r="1356" spans="1:11" ht="15" thickBot="1">
      <c r="A1356" s="200"/>
      <c r="B1356" s="200"/>
      <c r="C1356" s="200"/>
      <c r="D1356" s="224" t="s">
        <v>1989</v>
      </c>
      <c r="E1356" s="235" t="s">
        <v>1990</v>
      </c>
      <c r="F1356" s="235" t="s">
        <v>16</v>
      </c>
      <c r="G1356" s="235" t="s">
        <v>1991</v>
      </c>
      <c r="H1356" s="235" t="s">
        <v>1992</v>
      </c>
      <c r="I1356" s="246" t="s">
        <v>26</v>
      </c>
      <c r="J1356" s="242"/>
      <c r="K1356" s="242"/>
    </row>
    <row r="1357" spans="1:11" ht="16" thickBot="1">
      <c r="A1357" s="200"/>
      <c r="B1357" s="200"/>
      <c r="C1357" s="200" t="s">
        <v>1739</v>
      </c>
      <c r="D1357" s="215" t="s">
        <v>1995</v>
      </c>
      <c r="E1357" s="217" t="s">
        <v>1996</v>
      </c>
      <c r="F1357" s="217" t="s">
        <v>16</v>
      </c>
      <c r="G1357" s="217" t="s">
        <v>1997</v>
      </c>
      <c r="H1357" s="217" t="s">
        <v>1998</v>
      </c>
      <c r="I1357" s="247" t="s">
        <v>26</v>
      </c>
      <c r="J1357" s="242"/>
      <c r="K1357" s="242"/>
    </row>
    <row r="1358" spans="1:11" ht="16" thickBot="1">
      <c r="A1358" s="200"/>
      <c r="B1358" s="200"/>
      <c r="C1358" s="200"/>
      <c r="D1358" s="219" t="s">
        <v>1999</v>
      </c>
      <c r="E1358" s="221" t="s">
        <v>2000</v>
      </c>
      <c r="F1358" s="221" t="s">
        <v>16</v>
      </c>
      <c r="G1358" s="221" t="s">
        <v>2001</v>
      </c>
      <c r="H1358" s="221" t="s">
        <v>2002</v>
      </c>
      <c r="I1358" s="248" t="s">
        <v>26</v>
      </c>
      <c r="J1358" s="242"/>
      <c r="K1358" s="242"/>
    </row>
    <row r="1359" spans="1:11" ht="16" thickBot="1">
      <c r="A1359" s="200"/>
      <c r="B1359" s="200"/>
      <c r="C1359" s="200"/>
      <c r="D1359" s="219" t="s">
        <v>2003</v>
      </c>
      <c r="E1359" s="221" t="s">
        <v>2004</v>
      </c>
      <c r="F1359" s="221" t="s">
        <v>23</v>
      </c>
      <c r="G1359" s="221" t="s">
        <v>2005</v>
      </c>
      <c r="H1359" s="221" t="s">
        <v>2006</v>
      </c>
      <c r="I1359" s="248" t="s">
        <v>26</v>
      </c>
      <c r="J1359" s="242"/>
      <c r="K1359" s="242"/>
    </row>
    <row r="1360" spans="1:11" ht="16" thickBot="1">
      <c r="A1360" s="200"/>
      <c r="B1360" s="200"/>
      <c r="C1360" s="200"/>
      <c r="D1360" s="219" t="s">
        <v>2007</v>
      </c>
      <c r="E1360" s="221" t="s">
        <v>2008</v>
      </c>
      <c r="F1360" s="221" t="s">
        <v>58</v>
      </c>
      <c r="G1360" s="221" t="s">
        <v>2009</v>
      </c>
      <c r="H1360" s="221" t="s">
        <v>2010</v>
      </c>
      <c r="I1360" s="353" t="s">
        <v>19</v>
      </c>
      <c r="J1360" s="242"/>
      <c r="K1360" s="242"/>
    </row>
    <row r="1361" spans="1:11" ht="16" thickBot="1">
      <c r="A1361" s="200"/>
      <c r="B1361" s="200"/>
      <c r="C1361" s="200"/>
      <c r="D1361" s="219" t="s">
        <v>2011</v>
      </c>
      <c r="E1361" s="221" t="s">
        <v>2012</v>
      </c>
      <c r="F1361" s="221" t="s">
        <v>16</v>
      </c>
      <c r="G1361" s="221" t="s">
        <v>2013</v>
      </c>
      <c r="H1361" s="221" t="s">
        <v>2014</v>
      </c>
      <c r="I1361" s="248" t="s">
        <v>26</v>
      </c>
      <c r="J1361" s="242"/>
      <c r="K1361" s="242"/>
    </row>
    <row r="1362" spans="1:11" ht="16" thickBot="1">
      <c r="A1362" s="200"/>
      <c r="B1362" s="200"/>
      <c r="C1362" s="200" t="s">
        <v>1740</v>
      </c>
      <c r="D1362" s="215" t="s">
        <v>2015</v>
      </c>
      <c r="E1362" s="215" t="s">
        <v>2016</v>
      </c>
      <c r="F1362" s="215" t="s">
        <v>16</v>
      </c>
      <c r="G1362" s="215" t="s">
        <v>1997</v>
      </c>
      <c r="H1362" s="215" t="s">
        <v>2017</v>
      </c>
      <c r="I1362" s="354" t="s">
        <v>19</v>
      </c>
      <c r="J1362" s="242"/>
      <c r="K1362" s="242"/>
    </row>
    <row r="1363" spans="1:11" ht="16" thickBot="1">
      <c r="A1363" s="200"/>
      <c r="B1363" s="200"/>
      <c r="C1363" s="200"/>
      <c r="D1363" s="215" t="s">
        <v>2018</v>
      </c>
      <c r="E1363" s="215" t="s">
        <v>2019</v>
      </c>
      <c r="F1363" s="215" t="s">
        <v>23</v>
      </c>
      <c r="G1363" s="215" t="s">
        <v>2020</v>
      </c>
      <c r="H1363" s="215" t="s">
        <v>2021</v>
      </c>
      <c r="I1363" s="250" t="s">
        <v>26</v>
      </c>
      <c r="J1363" s="242"/>
      <c r="K1363" s="242"/>
    </row>
    <row r="1364" spans="1:11" ht="16" thickBot="1">
      <c r="A1364" s="200"/>
      <c r="B1364" s="200"/>
      <c r="C1364" s="200"/>
      <c r="D1364" s="215" t="s">
        <v>2022</v>
      </c>
      <c r="E1364" s="215" t="s">
        <v>2023</v>
      </c>
      <c r="F1364" s="215" t="s">
        <v>16</v>
      </c>
      <c r="G1364" s="215" t="s">
        <v>1987</v>
      </c>
      <c r="H1364" s="215" t="s">
        <v>2024</v>
      </c>
      <c r="I1364" s="250" t="s">
        <v>26</v>
      </c>
      <c r="J1364" s="242"/>
      <c r="K1364" s="242"/>
    </row>
    <row r="1365" spans="1:11" ht="16" thickBot="1">
      <c r="A1365" s="200"/>
      <c r="B1365" s="200"/>
      <c r="C1365" s="200"/>
      <c r="D1365" s="215" t="s">
        <v>2025</v>
      </c>
      <c r="E1365" s="215" t="s">
        <v>2026</v>
      </c>
      <c r="F1365" s="215" t="s">
        <v>58</v>
      </c>
      <c r="G1365" s="215" t="s">
        <v>2027</v>
      </c>
      <c r="H1365" s="215" t="s">
        <v>2028</v>
      </c>
      <c r="I1365" s="250" t="s">
        <v>26</v>
      </c>
      <c r="J1365" s="242"/>
      <c r="K1365" s="242"/>
    </row>
    <row r="1366" spans="1:11" ht="16" thickBot="1">
      <c r="A1366" s="200"/>
      <c r="B1366" s="200"/>
      <c r="C1366" s="200"/>
      <c r="D1366" s="215" t="s">
        <v>2029</v>
      </c>
      <c r="E1366" s="215" t="s">
        <v>2030</v>
      </c>
      <c r="F1366" s="215" t="s">
        <v>23</v>
      </c>
      <c r="G1366" s="215" t="s">
        <v>2009</v>
      </c>
      <c r="H1366" s="215" t="s">
        <v>2031</v>
      </c>
      <c r="I1366" s="250" t="s">
        <v>26</v>
      </c>
      <c r="J1366" s="242"/>
      <c r="K1366" s="242"/>
    </row>
    <row r="1367" spans="1:11" ht="16" thickBot="1">
      <c r="A1367" s="200"/>
      <c r="B1367" s="200"/>
      <c r="C1367" s="200" t="s">
        <v>1741</v>
      </c>
      <c r="D1367" s="215" t="s">
        <v>2032</v>
      </c>
      <c r="E1367" s="215" t="s">
        <v>2033</v>
      </c>
      <c r="F1367" s="215" t="s">
        <v>16</v>
      </c>
      <c r="G1367" s="215" t="s">
        <v>2001</v>
      </c>
      <c r="H1367" s="215" t="s">
        <v>2034</v>
      </c>
      <c r="I1367" s="354" t="s">
        <v>19</v>
      </c>
      <c r="J1367" s="242"/>
      <c r="K1367" s="242"/>
    </row>
    <row r="1368" spans="1:11" ht="16" thickBot="1">
      <c r="A1368" s="200"/>
      <c r="B1368" s="200"/>
      <c r="C1368" s="200"/>
      <c r="D1368" s="215" t="s">
        <v>2035</v>
      </c>
      <c r="E1368" s="215" t="s">
        <v>2036</v>
      </c>
      <c r="F1368" s="215" t="s">
        <v>16</v>
      </c>
      <c r="G1368" s="215" t="s">
        <v>2037</v>
      </c>
      <c r="H1368" s="215" t="s">
        <v>2038</v>
      </c>
      <c r="I1368" s="250" t="s">
        <v>26</v>
      </c>
      <c r="J1368" s="242"/>
      <c r="K1368" s="242"/>
    </row>
    <row r="1369" spans="1:11" ht="16" thickBot="1">
      <c r="A1369" s="200"/>
      <c r="B1369" s="200"/>
      <c r="C1369" s="200"/>
      <c r="D1369" s="215" t="s">
        <v>2039</v>
      </c>
      <c r="E1369" s="215" t="s">
        <v>2040</v>
      </c>
      <c r="F1369" s="215" t="s">
        <v>58</v>
      </c>
      <c r="G1369" s="215" t="s">
        <v>2009</v>
      </c>
      <c r="H1369" s="215" t="s">
        <v>2041</v>
      </c>
      <c r="I1369" s="250" t="s">
        <v>26</v>
      </c>
      <c r="J1369" s="242"/>
      <c r="K1369" s="242"/>
    </row>
    <row r="1370" spans="1:11" ht="16" thickBot="1">
      <c r="A1370" s="200"/>
      <c r="B1370" s="200"/>
      <c r="C1370" s="200"/>
      <c r="D1370" s="215" t="s">
        <v>2042</v>
      </c>
      <c r="E1370" s="215" t="s">
        <v>2043</v>
      </c>
      <c r="F1370" s="215" t="s">
        <v>23</v>
      </c>
      <c r="G1370" s="215" t="s">
        <v>2027</v>
      </c>
      <c r="H1370" s="215" t="s">
        <v>2044</v>
      </c>
      <c r="I1370" s="250" t="s">
        <v>26</v>
      </c>
      <c r="J1370" s="242"/>
      <c r="K1370" s="242"/>
    </row>
    <row r="1371" spans="1:11" ht="16" thickBot="1">
      <c r="A1371" s="200"/>
      <c r="B1371" s="200"/>
      <c r="C1371" s="200"/>
      <c r="D1371" s="215" t="s">
        <v>2045</v>
      </c>
      <c r="E1371" s="215" t="s">
        <v>2046</v>
      </c>
      <c r="F1371" s="215" t="s">
        <v>16</v>
      </c>
      <c r="G1371" s="215" t="s">
        <v>1979</v>
      </c>
      <c r="H1371" s="215" t="s">
        <v>2047</v>
      </c>
      <c r="I1371" s="251" t="s">
        <v>206</v>
      </c>
      <c r="J1371" s="242"/>
      <c r="K1371" s="242"/>
    </row>
    <row r="1372" spans="1:11" ht="16" thickBot="1">
      <c r="A1372" s="200"/>
      <c r="B1372" s="200"/>
      <c r="C1372" s="200" t="s">
        <v>1742</v>
      </c>
      <c r="D1372" s="215" t="s">
        <v>2048</v>
      </c>
      <c r="E1372" s="215" t="s">
        <v>2049</v>
      </c>
      <c r="F1372" s="215" t="s">
        <v>16</v>
      </c>
      <c r="G1372" s="215" t="s">
        <v>2050</v>
      </c>
      <c r="H1372" s="215" t="s">
        <v>2051</v>
      </c>
      <c r="I1372" s="354" t="s">
        <v>19</v>
      </c>
      <c r="J1372" s="242"/>
      <c r="K1372" s="242"/>
    </row>
    <row r="1373" spans="1:11" ht="16" thickBot="1">
      <c r="A1373" s="200"/>
      <c r="B1373" s="200"/>
      <c r="C1373" s="200"/>
      <c r="D1373" s="215" t="s">
        <v>2052</v>
      </c>
      <c r="E1373" s="215" t="s">
        <v>2053</v>
      </c>
      <c r="F1373" s="215" t="s">
        <v>23</v>
      </c>
      <c r="G1373" s="215" t="s">
        <v>2005</v>
      </c>
      <c r="H1373" s="215" t="s">
        <v>2054</v>
      </c>
      <c r="I1373" s="354" t="s">
        <v>19</v>
      </c>
      <c r="J1373" s="242"/>
      <c r="K1373" s="242"/>
    </row>
    <row r="1374" spans="1:11" ht="16" thickBot="1">
      <c r="A1374" s="200"/>
      <c r="B1374" s="200"/>
      <c r="C1374" s="200"/>
      <c r="D1374" s="215" t="s">
        <v>2055</v>
      </c>
      <c r="E1374" s="215" t="s">
        <v>2056</v>
      </c>
      <c r="F1374" s="215" t="s">
        <v>16</v>
      </c>
      <c r="G1374" s="215" t="s">
        <v>2009</v>
      </c>
      <c r="H1374" s="215" t="s">
        <v>2057</v>
      </c>
      <c r="I1374" s="250" t="s">
        <v>26</v>
      </c>
      <c r="J1374" s="242"/>
      <c r="K1374" s="242"/>
    </row>
    <row r="1375" spans="1:11" ht="16" thickBot="1">
      <c r="A1375" s="200"/>
      <c r="B1375" s="200"/>
      <c r="C1375" s="200"/>
      <c r="D1375" s="215" t="s">
        <v>2058</v>
      </c>
      <c r="E1375" s="215" t="s">
        <v>2059</v>
      </c>
      <c r="F1375" s="215" t="s">
        <v>16</v>
      </c>
      <c r="G1375" s="215" t="s">
        <v>1997</v>
      </c>
      <c r="H1375" s="215" t="s">
        <v>2060</v>
      </c>
      <c r="I1375" s="251" t="s">
        <v>206</v>
      </c>
      <c r="J1375" s="242"/>
      <c r="K1375" s="242"/>
    </row>
    <row r="1376" spans="1:11" ht="16" thickBot="1">
      <c r="A1376" s="200"/>
      <c r="B1376" s="200"/>
      <c r="C1376" s="200"/>
      <c r="D1376" s="215" t="s">
        <v>2061</v>
      </c>
      <c r="E1376" s="215" t="s">
        <v>2062</v>
      </c>
      <c r="F1376" s="215" t="s">
        <v>58</v>
      </c>
      <c r="G1376" s="215" t="s">
        <v>1987</v>
      </c>
      <c r="H1376" s="215" t="s">
        <v>2063</v>
      </c>
      <c r="I1376" s="250" t="s">
        <v>26</v>
      </c>
      <c r="J1376" s="242"/>
      <c r="K1376" s="242"/>
    </row>
    <row r="1377" spans="1:11" ht="16" thickBot="1">
      <c r="A1377" s="200"/>
      <c r="B1377" s="200" t="s">
        <v>1743</v>
      </c>
      <c r="C1377" s="200" t="s">
        <v>1744</v>
      </c>
      <c r="D1377" s="215" t="s">
        <v>5857</v>
      </c>
      <c r="E1377" s="217" t="s">
        <v>5858</v>
      </c>
      <c r="F1377" s="217" t="s">
        <v>23</v>
      </c>
      <c r="G1377" s="217" t="s">
        <v>5859</v>
      </c>
      <c r="H1377" s="217" t="s">
        <v>5860</v>
      </c>
      <c r="I1377" s="247" t="s">
        <v>26</v>
      </c>
      <c r="J1377" s="242"/>
      <c r="K1377" s="242"/>
    </row>
    <row r="1378" spans="1:11" ht="16" thickBot="1">
      <c r="A1378" s="200"/>
      <c r="B1378" s="200"/>
      <c r="C1378" s="200"/>
      <c r="D1378" s="222" t="s">
        <v>5861</v>
      </c>
      <c r="E1378" s="223" t="s">
        <v>5862</v>
      </c>
      <c r="F1378" s="223" t="s">
        <v>58</v>
      </c>
      <c r="G1378" s="223" t="s">
        <v>5863</v>
      </c>
      <c r="H1378" s="223" t="s">
        <v>5864</v>
      </c>
      <c r="I1378" s="357" t="s">
        <v>26</v>
      </c>
      <c r="J1378" s="242"/>
      <c r="K1378" s="242"/>
    </row>
    <row r="1379" spans="1:11" ht="16" thickBot="1">
      <c r="A1379" s="200"/>
      <c r="B1379" s="200"/>
      <c r="C1379" s="200"/>
      <c r="D1379" s="222" t="s">
        <v>5865</v>
      </c>
      <c r="E1379" s="223" t="s">
        <v>5866</v>
      </c>
      <c r="F1379" s="223" t="s">
        <v>23</v>
      </c>
      <c r="G1379" s="223" t="s">
        <v>2394</v>
      </c>
      <c r="H1379" s="223" t="s">
        <v>5864</v>
      </c>
      <c r="I1379" s="358" t="s">
        <v>19</v>
      </c>
      <c r="J1379" s="242"/>
      <c r="K1379" s="242"/>
    </row>
    <row r="1380" spans="1:11" ht="16" thickBot="1">
      <c r="A1380" s="200"/>
      <c r="B1380" s="200"/>
      <c r="C1380" s="200"/>
      <c r="D1380" s="219" t="s">
        <v>5867</v>
      </c>
      <c r="E1380" s="221" t="s">
        <v>5868</v>
      </c>
      <c r="F1380" s="221" t="s">
        <v>23</v>
      </c>
      <c r="G1380" s="221" t="s">
        <v>5869</v>
      </c>
      <c r="H1380" s="221" t="s">
        <v>5860</v>
      </c>
      <c r="I1380" s="248" t="s">
        <v>26</v>
      </c>
      <c r="J1380" s="242"/>
      <c r="K1380" s="242"/>
    </row>
    <row r="1381" spans="1:11" ht="16" thickBot="1">
      <c r="A1381" s="200"/>
      <c r="B1381" s="200"/>
      <c r="C1381" s="200"/>
      <c r="D1381" s="222" t="s">
        <v>5870</v>
      </c>
      <c r="E1381" s="221" t="s">
        <v>5871</v>
      </c>
      <c r="F1381" s="221" t="s">
        <v>16</v>
      </c>
      <c r="G1381" s="221" t="s">
        <v>1777</v>
      </c>
      <c r="H1381" s="221" t="s">
        <v>5872</v>
      </c>
      <c r="I1381" s="248" t="s">
        <v>26</v>
      </c>
      <c r="J1381" s="242"/>
      <c r="K1381" s="242"/>
    </row>
    <row r="1382" spans="1:11" ht="16" thickBot="1">
      <c r="A1382" s="200"/>
      <c r="B1382" s="200"/>
      <c r="C1382" s="200" t="s">
        <v>1745</v>
      </c>
      <c r="D1382" s="219" t="s">
        <v>5873</v>
      </c>
      <c r="E1382" s="221" t="s">
        <v>5874</v>
      </c>
      <c r="F1382" s="221" t="s">
        <v>16</v>
      </c>
      <c r="G1382" s="221" t="s">
        <v>2069</v>
      </c>
      <c r="H1382" s="221" t="s">
        <v>5860</v>
      </c>
      <c r="I1382" s="248" t="s">
        <v>26</v>
      </c>
      <c r="J1382" s="242"/>
      <c r="K1382" s="242"/>
    </row>
    <row r="1383" spans="1:11" ht="16" thickBot="1">
      <c r="A1383" s="200"/>
      <c r="B1383" s="200"/>
      <c r="C1383" s="200"/>
      <c r="D1383" s="219" t="s">
        <v>5875</v>
      </c>
      <c r="E1383" s="221" t="s">
        <v>5876</v>
      </c>
      <c r="F1383" s="221" t="s">
        <v>16</v>
      </c>
      <c r="G1383" s="221" t="s">
        <v>2086</v>
      </c>
      <c r="H1383" s="221" t="s">
        <v>5877</v>
      </c>
      <c r="I1383" s="248" t="s">
        <v>26</v>
      </c>
      <c r="J1383" s="242"/>
      <c r="K1383" s="242"/>
    </row>
    <row r="1384" spans="1:11" ht="16" thickBot="1">
      <c r="A1384" s="200"/>
      <c r="B1384" s="200"/>
      <c r="C1384" s="200"/>
      <c r="D1384" s="219" t="s">
        <v>5878</v>
      </c>
      <c r="E1384" s="221" t="s">
        <v>5879</v>
      </c>
      <c r="F1384" s="221" t="s">
        <v>23</v>
      </c>
      <c r="G1384" s="221" t="s">
        <v>2065</v>
      </c>
      <c r="H1384" s="221" t="s">
        <v>5877</v>
      </c>
      <c r="I1384" s="249" t="s">
        <v>206</v>
      </c>
      <c r="J1384" s="242"/>
      <c r="K1384" s="242"/>
    </row>
    <row r="1385" spans="1:11" ht="16" thickBot="1">
      <c r="A1385" s="200"/>
      <c r="B1385" s="200"/>
      <c r="C1385" s="200"/>
      <c r="D1385" s="219" t="s">
        <v>5880</v>
      </c>
      <c r="E1385" s="221" t="s">
        <v>5881</v>
      </c>
      <c r="F1385" s="221" t="s">
        <v>58</v>
      </c>
      <c r="G1385" s="221" t="s">
        <v>5882</v>
      </c>
      <c r="H1385" s="221" t="s">
        <v>5877</v>
      </c>
      <c r="I1385" s="353" t="s">
        <v>19</v>
      </c>
      <c r="J1385" s="242"/>
      <c r="K1385" s="242"/>
    </row>
    <row r="1386" spans="1:11" ht="16" thickBot="1">
      <c r="A1386" s="200"/>
      <c r="B1386" s="200"/>
      <c r="C1386" s="200"/>
      <c r="D1386" s="219" t="s">
        <v>5883</v>
      </c>
      <c r="E1386" s="221" t="s">
        <v>5884</v>
      </c>
      <c r="F1386" s="221" t="s">
        <v>23</v>
      </c>
      <c r="G1386" s="221" t="s">
        <v>653</v>
      </c>
      <c r="H1386" s="221" t="s">
        <v>5885</v>
      </c>
      <c r="I1386" s="248" t="s">
        <v>26</v>
      </c>
      <c r="J1386" s="242"/>
      <c r="K1386" s="242"/>
    </row>
    <row r="1387" spans="1:11" ht="16" thickBot="1">
      <c r="A1387" s="200"/>
      <c r="B1387" s="200"/>
      <c r="C1387" s="200" t="s">
        <v>1746</v>
      </c>
      <c r="D1387" s="222" t="s">
        <v>5886</v>
      </c>
      <c r="E1387" s="223" t="s">
        <v>5887</v>
      </c>
      <c r="F1387" s="223" t="s">
        <v>23</v>
      </c>
      <c r="G1387" s="223" t="s">
        <v>1771</v>
      </c>
      <c r="H1387" s="223" t="s">
        <v>5864</v>
      </c>
      <c r="I1387" s="357" t="s">
        <v>26</v>
      </c>
      <c r="J1387" s="242"/>
      <c r="K1387" s="242"/>
    </row>
    <row r="1388" spans="1:11" ht="16" thickBot="1">
      <c r="A1388" s="200"/>
      <c r="B1388" s="200"/>
      <c r="C1388" s="200"/>
      <c r="D1388" s="219" t="s">
        <v>5888</v>
      </c>
      <c r="E1388" s="221" t="s">
        <v>5889</v>
      </c>
      <c r="F1388" s="221" t="s">
        <v>16</v>
      </c>
      <c r="G1388" s="221" t="s">
        <v>671</v>
      </c>
      <c r="H1388" s="221" t="s">
        <v>5877</v>
      </c>
      <c r="I1388" s="353" t="s">
        <v>19</v>
      </c>
      <c r="J1388" s="242"/>
      <c r="K1388" s="242"/>
    </row>
    <row r="1389" spans="1:11" ht="16" thickBot="1">
      <c r="A1389" s="200"/>
      <c r="B1389" s="200"/>
      <c r="C1389" s="200"/>
      <c r="D1389" s="219" t="s">
        <v>5890</v>
      </c>
      <c r="E1389" s="221" t="s">
        <v>5891</v>
      </c>
      <c r="F1389" s="221" t="s">
        <v>23</v>
      </c>
      <c r="G1389" s="221" t="s">
        <v>5892</v>
      </c>
      <c r="H1389" s="221" t="s">
        <v>5860</v>
      </c>
      <c r="I1389" s="249" t="s">
        <v>206</v>
      </c>
      <c r="J1389" s="242"/>
      <c r="K1389" s="242"/>
    </row>
    <row r="1390" spans="1:11" ht="16" thickBot="1">
      <c r="A1390" s="200"/>
      <c r="B1390" s="200"/>
      <c r="C1390" s="200"/>
      <c r="D1390" s="219" t="s">
        <v>5893</v>
      </c>
      <c r="E1390" s="221" t="s">
        <v>5894</v>
      </c>
      <c r="F1390" s="221" t="s">
        <v>16</v>
      </c>
      <c r="G1390" s="221" t="s">
        <v>2066</v>
      </c>
      <c r="H1390" s="221" t="s">
        <v>5860</v>
      </c>
      <c r="I1390" s="249" t="s">
        <v>206</v>
      </c>
      <c r="J1390" s="242"/>
      <c r="K1390" s="242"/>
    </row>
    <row r="1391" spans="1:11" ht="16" thickBot="1">
      <c r="A1391" s="200"/>
      <c r="B1391" s="200"/>
      <c r="C1391" s="200"/>
      <c r="D1391" s="219" t="s">
        <v>5895</v>
      </c>
      <c r="E1391" s="221" t="s">
        <v>5896</v>
      </c>
      <c r="F1391" s="221" t="s">
        <v>23</v>
      </c>
      <c r="G1391" s="221" t="s">
        <v>5892</v>
      </c>
      <c r="H1391" s="221" t="s">
        <v>5877</v>
      </c>
      <c r="I1391" s="353" t="s">
        <v>19</v>
      </c>
      <c r="J1391" s="242"/>
      <c r="K1391" s="242"/>
    </row>
    <row r="1392" spans="1:11" ht="16" thickBot="1">
      <c r="A1392" s="200"/>
      <c r="B1392" s="200"/>
      <c r="C1392" s="200" t="s">
        <v>1747</v>
      </c>
      <c r="D1392" s="356" t="s">
        <v>5897</v>
      </c>
      <c r="E1392" s="359" t="s">
        <v>5898</v>
      </c>
      <c r="F1392" s="359" t="s">
        <v>16</v>
      </c>
      <c r="G1392" s="359" t="s">
        <v>599</v>
      </c>
      <c r="H1392" s="359" t="s">
        <v>5864</v>
      </c>
      <c r="I1392" s="360" t="s">
        <v>26</v>
      </c>
      <c r="J1392" s="242"/>
      <c r="K1392" s="242"/>
    </row>
    <row r="1393" spans="1:11" ht="16" thickBot="1">
      <c r="A1393" s="200"/>
      <c r="B1393" s="200"/>
      <c r="C1393" s="200"/>
      <c r="D1393" s="222" t="s">
        <v>5899</v>
      </c>
      <c r="E1393" s="223" t="s">
        <v>5900</v>
      </c>
      <c r="F1393" s="223" t="s">
        <v>23</v>
      </c>
      <c r="G1393" s="223" t="s">
        <v>2069</v>
      </c>
      <c r="H1393" s="223" t="s">
        <v>5860</v>
      </c>
      <c r="I1393" s="361" t="s">
        <v>206</v>
      </c>
      <c r="J1393" s="242"/>
      <c r="K1393" s="242"/>
    </row>
    <row r="1394" spans="1:11" ht="16" thickBot="1">
      <c r="A1394" s="200"/>
      <c r="B1394" s="200"/>
      <c r="C1394" s="200"/>
      <c r="D1394" s="222" t="s">
        <v>5901</v>
      </c>
      <c r="E1394" s="223" t="s">
        <v>5902</v>
      </c>
      <c r="F1394" s="223" t="s">
        <v>16</v>
      </c>
      <c r="G1394" s="223" t="s">
        <v>5903</v>
      </c>
      <c r="H1394" s="223" t="s">
        <v>5877</v>
      </c>
      <c r="I1394" s="358" t="s">
        <v>19</v>
      </c>
      <c r="J1394" s="242"/>
      <c r="K1394" s="242"/>
    </row>
    <row r="1395" spans="1:11" ht="16" thickBot="1">
      <c r="A1395" s="200"/>
      <c r="B1395" s="200"/>
      <c r="C1395" s="200"/>
      <c r="D1395" s="222" t="s">
        <v>5904</v>
      </c>
      <c r="E1395" s="223" t="s">
        <v>5905</v>
      </c>
      <c r="F1395" s="223" t="s">
        <v>58</v>
      </c>
      <c r="G1395" s="223" t="s">
        <v>646</v>
      </c>
      <c r="H1395" s="223" t="s">
        <v>5864</v>
      </c>
      <c r="I1395" s="357" t="s">
        <v>26</v>
      </c>
      <c r="J1395" s="242"/>
      <c r="K1395" s="242"/>
    </row>
    <row r="1396" spans="1:11" ht="16" thickBot="1">
      <c r="A1396" s="200"/>
      <c r="B1396" s="200"/>
      <c r="C1396" s="200"/>
      <c r="D1396" s="222" t="s">
        <v>5906</v>
      </c>
      <c r="E1396" s="223" t="s">
        <v>5907</v>
      </c>
      <c r="F1396" s="223" t="s">
        <v>16</v>
      </c>
      <c r="G1396" s="223" t="s">
        <v>1780</v>
      </c>
      <c r="H1396" s="223" t="s">
        <v>5872</v>
      </c>
      <c r="I1396" s="361" t="s">
        <v>206</v>
      </c>
      <c r="J1396" s="242"/>
      <c r="K1396" s="242"/>
    </row>
    <row r="1397" spans="1:11" ht="16" thickBot="1">
      <c r="A1397" s="200"/>
      <c r="B1397" s="200"/>
      <c r="C1397" s="200" t="s">
        <v>1748</v>
      </c>
      <c r="D1397" s="222" t="s">
        <v>5908</v>
      </c>
      <c r="E1397" s="223" t="s">
        <v>5909</v>
      </c>
      <c r="F1397" s="223" t="s">
        <v>23</v>
      </c>
      <c r="G1397" s="223" t="s">
        <v>5910</v>
      </c>
      <c r="H1397" s="223" t="s">
        <v>5885</v>
      </c>
      <c r="I1397" s="357" t="s">
        <v>26</v>
      </c>
      <c r="J1397" s="242"/>
      <c r="K1397" s="242"/>
    </row>
    <row r="1398" spans="1:11" ht="16" thickBot="1">
      <c r="A1398" s="200"/>
      <c r="B1398" s="200"/>
      <c r="C1398" s="200"/>
      <c r="D1398" s="222" t="s">
        <v>5911</v>
      </c>
      <c r="E1398" s="223" t="s">
        <v>5912</v>
      </c>
      <c r="F1398" s="223" t="s">
        <v>16</v>
      </c>
      <c r="G1398" s="223" t="s">
        <v>2248</v>
      </c>
      <c r="H1398" s="223" t="s">
        <v>5877</v>
      </c>
      <c r="I1398" s="358" t="s">
        <v>19</v>
      </c>
      <c r="J1398" s="242"/>
      <c r="K1398" s="242"/>
    </row>
    <row r="1399" spans="1:11" ht="16" thickBot="1">
      <c r="A1399" s="200"/>
      <c r="B1399" s="200"/>
      <c r="C1399" s="200"/>
      <c r="D1399" s="222" t="s">
        <v>5913</v>
      </c>
      <c r="E1399" s="223" t="s">
        <v>5914</v>
      </c>
      <c r="F1399" s="223" t="s">
        <v>23</v>
      </c>
      <c r="G1399" s="223" t="s">
        <v>2070</v>
      </c>
      <c r="H1399" s="223" t="s">
        <v>5860</v>
      </c>
      <c r="I1399" s="361" t="s">
        <v>206</v>
      </c>
      <c r="J1399" s="242"/>
      <c r="K1399" s="242"/>
    </row>
    <row r="1400" spans="1:11" ht="16" thickBot="1">
      <c r="A1400" s="200"/>
      <c r="B1400" s="200"/>
      <c r="C1400" s="200"/>
      <c r="D1400" s="222" t="s">
        <v>5915</v>
      </c>
      <c r="E1400" s="223" t="s">
        <v>5916</v>
      </c>
      <c r="F1400" s="223" t="s">
        <v>16</v>
      </c>
      <c r="G1400" s="223" t="s">
        <v>1821</v>
      </c>
      <c r="H1400" s="223" t="s">
        <v>5864</v>
      </c>
      <c r="I1400" s="357" t="s">
        <v>26</v>
      </c>
      <c r="J1400" s="242"/>
      <c r="K1400" s="242"/>
    </row>
    <row r="1401" spans="1:11" ht="16" thickBot="1">
      <c r="A1401" s="200"/>
      <c r="B1401" s="200"/>
      <c r="C1401" s="200"/>
      <c r="D1401" s="222" t="s">
        <v>5917</v>
      </c>
      <c r="E1401" s="223" t="s">
        <v>5918</v>
      </c>
      <c r="F1401" s="223" t="s">
        <v>58</v>
      </c>
      <c r="G1401" s="223" t="s">
        <v>2078</v>
      </c>
      <c r="H1401" s="223" t="s">
        <v>5872</v>
      </c>
      <c r="I1401" s="357" t="s">
        <v>26</v>
      </c>
      <c r="J1401" s="242"/>
      <c r="K1401" s="242"/>
    </row>
    <row r="1402" spans="1:11" ht="16" thickBot="1">
      <c r="A1402" s="200"/>
      <c r="B1402" s="200" t="s">
        <v>1749</v>
      </c>
      <c r="C1402" s="200" t="s">
        <v>1750</v>
      </c>
      <c r="D1402" s="222" t="s">
        <v>5919</v>
      </c>
      <c r="E1402" s="223" t="s">
        <v>5920</v>
      </c>
      <c r="F1402" s="223" t="s">
        <v>16</v>
      </c>
      <c r="G1402" s="223" t="s">
        <v>599</v>
      </c>
      <c r="H1402" s="223" t="s">
        <v>5885</v>
      </c>
      <c r="I1402" s="358" t="s">
        <v>19</v>
      </c>
      <c r="J1402" s="242"/>
      <c r="K1402" s="242"/>
    </row>
    <row r="1403" spans="1:11" ht="16" thickBot="1">
      <c r="A1403" s="200"/>
      <c r="B1403" s="200"/>
      <c r="C1403" s="200"/>
      <c r="D1403" s="222" t="s">
        <v>5921</v>
      </c>
      <c r="E1403" s="223" t="s">
        <v>5922</v>
      </c>
      <c r="F1403" s="223" t="s">
        <v>23</v>
      </c>
      <c r="G1403" s="223" t="s">
        <v>1793</v>
      </c>
      <c r="H1403" s="223" t="s">
        <v>5860</v>
      </c>
      <c r="I1403" s="357" t="s">
        <v>26</v>
      </c>
      <c r="J1403" s="242"/>
      <c r="K1403" s="242"/>
    </row>
    <row r="1404" spans="1:11" ht="16" thickBot="1">
      <c r="A1404" s="200"/>
      <c r="B1404" s="200"/>
      <c r="C1404" s="200"/>
      <c r="D1404" s="222" t="s">
        <v>5923</v>
      </c>
      <c r="E1404" s="223" t="s">
        <v>5924</v>
      </c>
      <c r="F1404" s="223" t="s">
        <v>16</v>
      </c>
      <c r="G1404" s="223" t="s">
        <v>2086</v>
      </c>
      <c r="H1404" s="223" t="s">
        <v>5864</v>
      </c>
      <c r="I1404" s="361" t="s">
        <v>206</v>
      </c>
      <c r="J1404" s="242"/>
      <c r="K1404" s="242"/>
    </row>
    <row r="1405" spans="1:11" ht="16" thickBot="1">
      <c r="A1405" s="200"/>
      <c r="B1405" s="200"/>
      <c r="C1405" s="200"/>
      <c r="D1405" s="222" t="s">
        <v>5925</v>
      </c>
      <c r="E1405" s="223" t="s">
        <v>5926</v>
      </c>
      <c r="F1405" s="223" t="s">
        <v>16</v>
      </c>
      <c r="G1405" s="223" t="s">
        <v>1780</v>
      </c>
      <c r="H1405" s="223" t="s">
        <v>5877</v>
      </c>
      <c r="I1405" s="358" t="s">
        <v>19</v>
      </c>
      <c r="J1405" s="242"/>
      <c r="K1405" s="242"/>
    </row>
    <row r="1406" spans="1:11" ht="16" thickBot="1">
      <c r="A1406" s="200"/>
      <c r="B1406" s="200"/>
      <c r="C1406" s="200"/>
      <c r="D1406" s="222" t="s">
        <v>5927</v>
      </c>
      <c r="E1406" s="223" t="s">
        <v>5928</v>
      </c>
      <c r="F1406" s="223" t="s">
        <v>23</v>
      </c>
      <c r="G1406" s="223" t="s">
        <v>5929</v>
      </c>
      <c r="H1406" s="223" t="s">
        <v>5885</v>
      </c>
      <c r="I1406" s="357" t="s">
        <v>26</v>
      </c>
      <c r="J1406" s="242"/>
      <c r="K1406" s="242"/>
    </row>
    <row r="1407" spans="1:11" ht="16" thickBot="1">
      <c r="A1407" s="200"/>
      <c r="B1407" s="200"/>
      <c r="C1407" s="200" t="s">
        <v>1751</v>
      </c>
      <c r="D1407" s="222" t="s">
        <v>5930</v>
      </c>
      <c r="E1407" s="223" t="s">
        <v>5931</v>
      </c>
      <c r="F1407" s="223" t="s">
        <v>16</v>
      </c>
      <c r="G1407" s="223" t="s">
        <v>5932</v>
      </c>
      <c r="H1407" s="223" t="s">
        <v>5864</v>
      </c>
      <c r="I1407" s="361" t="s">
        <v>206</v>
      </c>
      <c r="J1407" s="242"/>
      <c r="K1407" s="242"/>
    </row>
    <row r="1408" spans="1:11" ht="16" thickBot="1">
      <c r="A1408" s="200"/>
      <c r="B1408" s="200"/>
      <c r="C1408" s="200"/>
      <c r="D1408" s="222" t="s">
        <v>5933</v>
      </c>
      <c r="E1408" s="223" t="s">
        <v>5934</v>
      </c>
      <c r="F1408" s="223" t="s">
        <v>23</v>
      </c>
      <c r="G1408" s="223" t="s">
        <v>5869</v>
      </c>
      <c r="H1408" s="223" t="s">
        <v>5860</v>
      </c>
      <c r="I1408" s="357" t="s">
        <v>26</v>
      </c>
      <c r="J1408" s="242"/>
      <c r="K1408" s="242"/>
    </row>
    <row r="1409" spans="1:11" ht="16" thickBot="1">
      <c r="A1409" s="200"/>
      <c r="B1409" s="200"/>
      <c r="C1409" s="200"/>
      <c r="D1409" s="222" t="s">
        <v>5935</v>
      </c>
      <c r="E1409" s="223" t="s">
        <v>5936</v>
      </c>
      <c r="F1409" s="223" t="s">
        <v>58</v>
      </c>
      <c r="G1409" s="223" t="s">
        <v>1793</v>
      </c>
      <c r="H1409" s="223" t="s">
        <v>5864</v>
      </c>
      <c r="I1409" s="361" t="s">
        <v>206</v>
      </c>
      <c r="J1409" s="242"/>
      <c r="K1409" s="242"/>
    </row>
    <row r="1410" spans="1:11" ht="16" thickBot="1">
      <c r="A1410" s="200"/>
      <c r="B1410" s="200"/>
      <c r="C1410" s="200"/>
      <c r="D1410" s="222" t="s">
        <v>5937</v>
      </c>
      <c r="E1410" s="223" t="s">
        <v>5938</v>
      </c>
      <c r="F1410" s="223" t="s">
        <v>16</v>
      </c>
      <c r="G1410" s="223" t="s">
        <v>2253</v>
      </c>
      <c r="H1410" s="223" t="s">
        <v>5877</v>
      </c>
      <c r="I1410" s="358" t="s">
        <v>19</v>
      </c>
      <c r="J1410" s="242"/>
      <c r="K1410" s="242"/>
    </row>
    <row r="1411" spans="1:11" ht="16" thickBot="1">
      <c r="A1411" s="200"/>
      <c r="B1411" s="200"/>
      <c r="C1411" s="200"/>
      <c r="D1411" s="222" t="s">
        <v>5939</v>
      </c>
      <c r="E1411" s="223" t="s">
        <v>5940</v>
      </c>
      <c r="F1411" s="223" t="s">
        <v>23</v>
      </c>
      <c r="G1411" s="223" t="s">
        <v>1780</v>
      </c>
      <c r="H1411" s="223" t="s">
        <v>5885</v>
      </c>
      <c r="I1411" s="357" t="s">
        <v>26</v>
      </c>
      <c r="J1411" s="242"/>
      <c r="K1411" s="242"/>
    </row>
    <row r="1412" spans="1:11" ht="16" thickBot="1">
      <c r="A1412" s="200"/>
      <c r="B1412" s="200"/>
      <c r="C1412" s="200" t="s">
        <v>1752</v>
      </c>
      <c r="D1412" s="222" t="s">
        <v>5941</v>
      </c>
      <c r="E1412" s="223" t="s">
        <v>5942</v>
      </c>
      <c r="F1412" s="223" t="s">
        <v>58</v>
      </c>
      <c r="G1412" s="223" t="s">
        <v>5869</v>
      </c>
      <c r="H1412" s="223" t="s">
        <v>5877</v>
      </c>
      <c r="I1412" s="358" t="s">
        <v>19</v>
      </c>
      <c r="J1412" s="242"/>
      <c r="K1412" s="242"/>
    </row>
    <row r="1413" spans="1:11" ht="16" thickBot="1">
      <c r="A1413" s="200"/>
      <c r="B1413" s="200"/>
      <c r="C1413" s="200"/>
      <c r="D1413" s="222" t="s">
        <v>5943</v>
      </c>
      <c r="E1413" s="223" t="s">
        <v>5944</v>
      </c>
      <c r="F1413" s="223" t="s">
        <v>23</v>
      </c>
      <c r="G1413" s="223" t="s">
        <v>2066</v>
      </c>
      <c r="H1413" s="223" t="s">
        <v>5864</v>
      </c>
      <c r="I1413" s="361" t="s">
        <v>206</v>
      </c>
      <c r="J1413" s="242"/>
      <c r="K1413" s="242"/>
    </row>
    <row r="1414" spans="1:11" ht="16" thickBot="1">
      <c r="A1414" s="200"/>
      <c r="B1414" s="200"/>
      <c r="C1414" s="200"/>
      <c r="D1414" s="222" t="s">
        <v>5945</v>
      </c>
      <c r="E1414" s="223" t="s">
        <v>5946</v>
      </c>
      <c r="F1414" s="223" t="s">
        <v>16</v>
      </c>
      <c r="G1414" s="223" t="s">
        <v>5859</v>
      </c>
      <c r="H1414" s="223" t="s">
        <v>5860</v>
      </c>
      <c r="I1414" s="357" t="s">
        <v>26</v>
      </c>
      <c r="J1414" s="242"/>
      <c r="K1414" s="242"/>
    </row>
    <row r="1415" spans="1:11" ht="16" thickBot="1">
      <c r="A1415" s="200"/>
      <c r="B1415" s="200"/>
      <c r="C1415" s="200"/>
      <c r="D1415" s="222" t="s">
        <v>5947</v>
      </c>
      <c r="E1415" s="223" t="s">
        <v>5948</v>
      </c>
      <c r="F1415" s="223" t="s">
        <v>16</v>
      </c>
      <c r="G1415" s="223" t="s">
        <v>2064</v>
      </c>
      <c r="H1415" s="223" t="s">
        <v>5877</v>
      </c>
      <c r="I1415" s="357" t="s">
        <v>26</v>
      </c>
      <c r="J1415" s="242"/>
      <c r="K1415" s="242"/>
    </row>
    <row r="1416" spans="1:11" ht="16" thickBot="1">
      <c r="A1416" s="200"/>
      <c r="B1416" s="200"/>
      <c r="C1416" s="200"/>
      <c r="D1416" s="222" t="s">
        <v>5949</v>
      </c>
      <c r="E1416" s="223" t="s">
        <v>5950</v>
      </c>
      <c r="F1416" s="223" t="s">
        <v>23</v>
      </c>
      <c r="G1416" s="223" t="s">
        <v>2235</v>
      </c>
      <c r="H1416" s="223" t="s">
        <v>5885</v>
      </c>
      <c r="I1416" s="358" t="s">
        <v>19</v>
      </c>
      <c r="J1416" s="242"/>
      <c r="K1416" s="242"/>
    </row>
    <row r="1417" spans="1:11" ht="16" thickBot="1">
      <c r="A1417" s="200"/>
      <c r="B1417" s="200"/>
      <c r="C1417" s="200" t="s">
        <v>1753</v>
      </c>
      <c r="D1417" s="215" t="s">
        <v>5951</v>
      </c>
      <c r="E1417" s="215" t="s">
        <v>5952</v>
      </c>
      <c r="F1417" s="215" t="s">
        <v>16</v>
      </c>
      <c r="G1417" s="215" t="s">
        <v>599</v>
      </c>
      <c r="H1417" s="215" t="s">
        <v>5877</v>
      </c>
      <c r="I1417" s="250" t="s">
        <v>26</v>
      </c>
      <c r="J1417" s="242"/>
      <c r="K1417" s="242"/>
    </row>
    <row r="1418" spans="1:11" ht="16" thickBot="1">
      <c r="A1418" s="200"/>
      <c r="B1418" s="200"/>
      <c r="C1418" s="200"/>
      <c r="D1418" s="215" t="s">
        <v>5953</v>
      </c>
      <c r="E1418" s="215" t="s">
        <v>5954</v>
      </c>
      <c r="F1418" s="215" t="s">
        <v>23</v>
      </c>
      <c r="G1418" s="215" t="s">
        <v>2086</v>
      </c>
      <c r="H1418" s="215" t="s">
        <v>5885</v>
      </c>
      <c r="I1418" s="251" t="s">
        <v>206</v>
      </c>
      <c r="J1418" s="242"/>
      <c r="K1418" s="242"/>
    </row>
    <row r="1419" spans="1:11" ht="16" thickBot="1">
      <c r="A1419" s="200"/>
      <c r="B1419" s="200"/>
      <c r="C1419" s="200"/>
      <c r="D1419" s="215" t="s">
        <v>5955</v>
      </c>
      <c r="E1419" s="215" t="s">
        <v>5956</v>
      </c>
      <c r="F1419" s="215" t="s">
        <v>16</v>
      </c>
      <c r="G1419" s="215" t="s">
        <v>1793</v>
      </c>
      <c r="H1419" s="215" t="s">
        <v>5860</v>
      </c>
      <c r="I1419" s="250" t="s">
        <v>26</v>
      </c>
      <c r="J1419" s="242"/>
      <c r="K1419" s="242"/>
    </row>
    <row r="1420" spans="1:11" ht="16" thickBot="1">
      <c r="A1420" s="200"/>
      <c r="B1420" s="200"/>
      <c r="C1420" s="200"/>
      <c r="D1420" s="215" t="s">
        <v>5957</v>
      </c>
      <c r="E1420" s="215" t="s">
        <v>5958</v>
      </c>
      <c r="F1420" s="215" t="s">
        <v>58</v>
      </c>
      <c r="G1420" s="215" t="s">
        <v>2064</v>
      </c>
      <c r="H1420" s="215" t="s">
        <v>5864</v>
      </c>
      <c r="I1420" s="251" t="s">
        <v>206</v>
      </c>
      <c r="J1420" s="242"/>
      <c r="K1420" s="242"/>
    </row>
    <row r="1421" spans="1:11" ht="16" thickBot="1">
      <c r="A1421" s="200"/>
      <c r="B1421" s="200"/>
      <c r="C1421" s="200"/>
      <c r="D1421" s="215" t="s">
        <v>5959</v>
      </c>
      <c r="E1421" s="215" t="s">
        <v>5960</v>
      </c>
      <c r="F1421" s="215" t="s">
        <v>23</v>
      </c>
      <c r="G1421" s="215" t="s">
        <v>2087</v>
      </c>
      <c r="H1421" s="215" t="s">
        <v>5877</v>
      </c>
      <c r="I1421" s="354" t="s">
        <v>19</v>
      </c>
      <c r="J1421" s="242"/>
      <c r="K1421" s="242"/>
    </row>
    <row r="1422" spans="1:11" ht="16" thickBot="1">
      <c r="A1422" s="200"/>
      <c r="B1422" s="200"/>
      <c r="C1422" s="200" t="s">
        <v>1754</v>
      </c>
      <c r="D1422" s="215" t="s">
        <v>5961</v>
      </c>
      <c r="E1422" s="215" t="s">
        <v>5962</v>
      </c>
      <c r="F1422" s="215" t="s">
        <v>23</v>
      </c>
      <c r="G1422" s="215" t="s">
        <v>5963</v>
      </c>
      <c r="H1422" s="215" t="s">
        <v>5885</v>
      </c>
      <c r="I1422" s="250" t="s">
        <v>26</v>
      </c>
      <c r="J1422" s="242"/>
      <c r="K1422" s="242"/>
    </row>
    <row r="1423" spans="1:11" ht="16" thickBot="1">
      <c r="A1423" s="200"/>
      <c r="B1423" s="200"/>
      <c r="C1423" s="200"/>
      <c r="D1423" s="215" t="s">
        <v>5964</v>
      </c>
      <c r="E1423" s="215" t="s">
        <v>5965</v>
      </c>
      <c r="F1423" s="215" t="s">
        <v>16</v>
      </c>
      <c r="G1423" s="215" t="s">
        <v>5966</v>
      </c>
      <c r="H1423" s="215" t="s">
        <v>5877</v>
      </c>
      <c r="I1423" s="354" t="s">
        <v>19</v>
      </c>
      <c r="J1423" s="242"/>
      <c r="K1423" s="242"/>
    </row>
    <row r="1424" spans="1:11" ht="16" thickBot="1">
      <c r="A1424" s="200"/>
      <c r="B1424" s="200"/>
      <c r="C1424" s="200"/>
      <c r="D1424" s="215" t="s">
        <v>5967</v>
      </c>
      <c r="E1424" s="215" t="s">
        <v>5968</v>
      </c>
      <c r="F1424" s="215" t="s">
        <v>58</v>
      </c>
      <c r="G1424" s="215" t="s">
        <v>5969</v>
      </c>
      <c r="H1424" s="215" t="s">
        <v>5864</v>
      </c>
      <c r="I1424" s="251" t="s">
        <v>206</v>
      </c>
      <c r="J1424" s="242"/>
      <c r="K1424" s="242"/>
    </row>
    <row r="1425" spans="1:11" ht="16" thickBot="1">
      <c r="A1425" s="200"/>
      <c r="B1425" s="200"/>
      <c r="C1425" s="200"/>
      <c r="D1425" s="215" t="s">
        <v>5970</v>
      </c>
      <c r="E1425" s="215" t="s">
        <v>5971</v>
      </c>
      <c r="F1425" s="215" t="s">
        <v>23</v>
      </c>
      <c r="G1425" s="215" t="s">
        <v>2145</v>
      </c>
      <c r="H1425" s="215" t="s">
        <v>5877</v>
      </c>
      <c r="I1425" s="250" t="s">
        <v>26</v>
      </c>
      <c r="J1425" s="242"/>
      <c r="K1425" s="242"/>
    </row>
    <row r="1426" spans="1:11" ht="16" thickBot="1">
      <c r="A1426" s="200"/>
      <c r="B1426" s="200"/>
      <c r="C1426" s="200"/>
      <c r="D1426" s="215" t="s">
        <v>5972</v>
      </c>
      <c r="E1426" s="215" t="s">
        <v>5973</v>
      </c>
      <c r="F1426" s="215" t="s">
        <v>16</v>
      </c>
      <c r="G1426" s="215" t="s">
        <v>658</v>
      </c>
      <c r="H1426" s="215" t="s">
        <v>5860</v>
      </c>
      <c r="I1426" s="251" t="s">
        <v>206</v>
      </c>
      <c r="J1426" s="242"/>
      <c r="K1426" s="242"/>
    </row>
    <row r="1427" spans="1:11" ht="16" thickBot="1">
      <c r="A1427" s="200"/>
      <c r="B1427" s="200" t="s">
        <v>1755</v>
      </c>
      <c r="C1427" s="200" t="s">
        <v>1756</v>
      </c>
      <c r="D1427" s="215" t="s">
        <v>5974</v>
      </c>
      <c r="E1427" s="215" t="s">
        <v>5975</v>
      </c>
      <c r="F1427" s="215" t="s">
        <v>16</v>
      </c>
      <c r="G1427" s="215" t="s">
        <v>5869</v>
      </c>
      <c r="H1427" s="215" t="s">
        <v>5864</v>
      </c>
      <c r="I1427" s="250" t="s">
        <v>26</v>
      </c>
      <c r="J1427" s="242"/>
      <c r="K1427" s="242"/>
    </row>
    <row r="1428" spans="1:11" ht="16" thickBot="1">
      <c r="A1428" s="200"/>
      <c r="B1428" s="200"/>
      <c r="C1428" s="200"/>
      <c r="D1428" s="215" t="s">
        <v>5976</v>
      </c>
      <c r="E1428" s="215" t="s">
        <v>5977</v>
      </c>
      <c r="F1428" s="215" t="s">
        <v>23</v>
      </c>
      <c r="G1428" s="215" t="s">
        <v>2086</v>
      </c>
      <c r="H1428" s="215" t="s">
        <v>5860</v>
      </c>
      <c r="I1428" s="251" t="s">
        <v>206</v>
      </c>
      <c r="J1428" s="242"/>
      <c r="K1428" s="242"/>
    </row>
    <row r="1429" spans="1:11" ht="16" thickBot="1">
      <c r="A1429" s="200"/>
      <c r="B1429" s="200"/>
      <c r="C1429" s="200"/>
      <c r="D1429" s="215" t="s">
        <v>5978</v>
      </c>
      <c r="E1429" s="215" t="s">
        <v>5979</v>
      </c>
      <c r="F1429" s="215" t="s">
        <v>16</v>
      </c>
      <c r="G1429" s="215" t="s">
        <v>2235</v>
      </c>
      <c r="H1429" s="215" t="s">
        <v>5877</v>
      </c>
      <c r="I1429" s="354" t="s">
        <v>19</v>
      </c>
      <c r="J1429" s="242"/>
      <c r="K1429" s="242"/>
    </row>
    <row r="1430" spans="1:11" ht="16" thickBot="1">
      <c r="A1430" s="200"/>
      <c r="B1430" s="200"/>
      <c r="C1430" s="200"/>
      <c r="D1430" s="215" t="s">
        <v>5980</v>
      </c>
      <c r="E1430" s="215" t="s">
        <v>5981</v>
      </c>
      <c r="F1430" s="215" t="s">
        <v>16</v>
      </c>
      <c r="G1430" s="215" t="s">
        <v>653</v>
      </c>
      <c r="H1430" s="215" t="s">
        <v>5885</v>
      </c>
      <c r="I1430" s="250" t="s">
        <v>26</v>
      </c>
      <c r="J1430" s="242"/>
      <c r="K1430" s="242"/>
    </row>
    <row r="1431" spans="1:11" ht="16" thickBot="1">
      <c r="A1431" s="200"/>
      <c r="B1431" s="200"/>
      <c r="C1431" s="200"/>
      <c r="D1431" s="215" t="s">
        <v>5982</v>
      </c>
      <c r="E1431" s="215" t="s">
        <v>1917</v>
      </c>
      <c r="F1431" s="215" t="s">
        <v>16</v>
      </c>
      <c r="G1431" s="215" t="s">
        <v>671</v>
      </c>
      <c r="H1431" s="215" t="s">
        <v>5864</v>
      </c>
      <c r="I1431" s="250" t="s">
        <v>26</v>
      </c>
      <c r="J1431" s="242"/>
      <c r="K1431" s="242"/>
    </row>
    <row r="1432" spans="1:11" ht="16" thickBot="1">
      <c r="A1432" s="200"/>
      <c r="B1432" s="200"/>
      <c r="C1432" s="200" t="s">
        <v>1757</v>
      </c>
      <c r="D1432" s="215" t="s">
        <v>5983</v>
      </c>
      <c r="E1432" s="215" t="s">
        <v>5984</v>
      </c>
      <c r="F1432" s="215" t="s">
        <v>16</v>
      </c>
      <c r="G1432" s="215" t="s">
        <v>1793</v>
      </c>
      <c r="H1432" s="215" t="s">
        <v>5885</v>
      </c>
      <c r="I1432" s="250" t="s">
        <v>26</v>
      </c>
      <c r="J1432" s="242"/>
      <c r="K1432" s="242"/>
    </row>
    <row r="1433" spans="1:11" ht="16" thickBot="1">
      <c r="A1433" s="200"/>
      <c r="B1433" s="200"/>
      <c r="C1433" s="200"/>
      <c r="D1433" s="215" t="s">
        <v>5985</v>
      </c>
      <c r="E1433" s="215" t="s">
        <v>5986</v>
      </c>
      <c r="F1433" s="215" t="s">
        <v>16</v>
      </c>
      <c r="G1433" s="215" t="s">
        <v>5882</v>
      </c>
      <c r="H1433" s="215" t="s">
        <v>5860</v>
      </c>
      <c r="I1433" s="250" t="s">
        <v>26</v>
      </c>
      <c r="J1433" s="242"/>
      <c r="K1433" s="242"/>
    </row>
    <row r="1434" spans="1:11" ht="16" thickBot="1">
      <c r="A1434" s="200"/>
      <c r="B1434" s="200"/>
      <c r="C1434" s="200"/>
      <c r="D1434" s="215" t="s">
        <v>5987</v>
      </c>
      <c r="E1434" s="215" t="s">
        <v>5988</v>
      </c>
      <c r="F1434" s="215" t="s">
        <v>23</v>
      </c>
      <c r="G1434" s="215" t="s">
        <v>1821</v>
      </c>
      <c r="H1434" s="215" t="s">
        <v>5877</v>
      </c>
      <c r="I1434" s="354" t="s">
        <v>19</v>
      </c>
      <c r="J1434" s="242"/>
      <c r="K1434" s="242"/>
    </row>
    <row r="1435" spans="1:11" ht="16" thickBot="1">
      <c r="A1435" s="200"/>
      <c r="B1435" s="200"/>
      <c r="C1435" s="200"/>
      <c r="D1435" s="215" t="s">
        <v>5989</v>
      </c>
      <c r="E1435" s="215" t="s">
        <v>5990</v>
      </c>
      <c r="F1435" s="215" t="s">
        <v>16</v>
      </c>
      <c r="G1435" s="215" t="s">
        <v>2064</v>
      </c>
      <c r="H1435" s="215" t="s">
        <v>5864</v>
      </c>
      <c r="I1435" s="251" t="s">
        <v>206</v>
      </c>
      <c r="J1435" s="242"/>
      <c r="K1435" s="242"/>
    </row>
    <row r="1436" spans="1:11" ht="16" thickBot="1">
      <c r="A1436" s="200"/>
      <c r="B1436" s="200"/>
      <c r="C1436" s="200"/>
      <c r="D1436" s="215" t="s">
        <v>5991</v>
      </c>
      <c r="E1436" s="215" t="s">
        <v>5992</v>
      </c>
      <c r="F1436" s="215" t="s">
        <v>58</v>
      </c>
      <c r="G1436" s="215" t="s">
        <v>2081</v>
      </c>
      <c r="H1436" s="215" t="s">
        <v>5860</v>
      </c>
      <c r="I1436" s="250" t="s">
        <v>26</v>
      </c>
      <c r="J1436" s="242"/>
      <c r="K1436" s="242"/>
    </row>
    <row r="1437" spans="1:11" ht="16" thickBot="1">
      <c r="A1437" s="200"/>
      <c r="B1437" s="200"/>
      <c r="C1437" s="200" t="s">
        <v>1758</v>
      </c>
      <c r="D1437" s="215" t="s">
        <v>5993</v>
      </c>
      <c r="E1437" s="215" t="s">
        <v>5994</v>
      </c>
      <c r="F1437" s="215" t="s">
        <v>16</v>
      </c>
      <c r="G1437" s="215" t="s">
        <v>610</v>
      </c>
      <c r="H1437" s="215" t="s">
        <v>5877</v>
      </c>
      <c r="I1437" s="250" t="s">
        <v>26</v>
      </c>
      <c r="J1437" s="242"/>
      <c r="K1437" s="242"/>
    </row>
    <row r="1438" spans="1:11" ht="16" thickBot="1">
      <c r="A1438" s="200"/>
      <c r="B1438" s="200"/>
      <c r="C1438" s="200"/>
      <c r="D1438" s="215" t="s">
        <v>5995</v>
      </c>
      <c r="E1438" s="215" t="s">
        <v>5996</v>
      </c>
      <c r="F1438" s="215" t="s">
        <v>16</v>
      </c>
      <c r="G1438" s="215" t="s">
        <v>1780</v>
      </c>
      <c r="H1438" s="215" t="s">
        <v>5885</v>
      </c>
      <c r="I1438" s="354" t="s">
        <v>19</v>
      </c>
      <c r="J1438" s="242"/>
      <c r="K1438" s="242"/>
    </row>
    <row r="1439" spans="1:11" ht="16" thickBot="1">
      <c r="A1439" s="200"/>
      <c r="B1439" s="200"/>
      <c r="C1439" s="200"/>
      <c r="D1439" s="215" t="s">
        <v>5997</v>
      </c>
      <c r="E1439" s="215" t="s">
        <v>5998</v>
      </c>
      <c r="F1439" s="215" t="s">
        <v>16</v>
      </c>
      <c r="G1439" s="215" t="s">
        <v>2064</v>
      </c>
      <c r="H1439" s="215" t="s">
        <v>5860</v>
      </c>
      <c r="I1439" s="251" t="s">
        <v>206</v>
      </c>
      <c r="J1439" s="242"/>
      <c r="K1439" s="242"/>
    </row>
    <row r="1440" spans="1:11" ht="16" thickBot="1">
      <c r="A1440" s="200"/>
      <c r="B1440" s="200"/>
      <c r="C1440" s="200"/>
      <c r="D1440" s="215" t="s">
        <v>5999</v>
      </c>
      <c r="E1440" s="215" t="s">
        <v>6000</v>
      </c>
      <c r="F1440" s="215" t="s">
        <v>16</v>
      </c>
      <c r="G1440" s="215" t="s">
        <v>1796</v>
      </c>
      <c r="H1440" s="215" t="s">
        <v>5864</v>
      </c>
      <c r="I1440" s="250" t="s">
        <v>26</v>
      </c>
      <c r="J1440" s="242"/>
      <c r="K1440" s="242"/>
    </row>
    <row r="1441" spans="1:11" ht="16" thickBot="1">
      <c r="A1441" s="200"/>
      <c r="B1441" s="200"/>
      <c r="C1441" s="200"/>
      <c r="D1441" s="215" t="s">
        <v>6001</v>
      </c>
      <c r="E1441" s="215" t="s">
        <v>6002</v>
      </c>
      <c r="F1441" s="215" t="s">
        <v>16</v>
      </c>
      <c r="G1441" s="215" t="s">
        <v>646</v>
      </c>
      <c r="H1441" s="215" t="s">
        <v>5860</v>
      </c>
      <c r="I1441" s="251" t="s">
        <v>206</v>
      </c>
      <c r="J1441" s="242"/>
      <c r="K1441" s="242"/>
    </row>
    <row r="1442" spans="1:11" ht="16" thickBot="1">
      <c r="A1442" s="200"/>
      <c r="B1442" s="200"/>
      <c r="C1442" s="200" t="s">
        <v>1759</v>
      </c>
      <c r="D1442" s="215" t="s">
        <v>6003</v>
      </c>
      <c r="E1442" s="215" t="s">
        <v>6004</v>
      </c>
      <c r="F1442" s="215" t="s">
        <v>16</v>
      </c>
      <c r="G1442" s="215" t="s">
        <v>1762</v>
      </c>
      <c r="H1442" s="215" t="s">
        <v>5877</v>
      </c>
      <c r="I1442" s="215" t="s">
        <v>19</v>
      </c>
      <c r="J1442" s="242"/>
      <c r="K1442" s="242"/>
    </row>
    <row r="1443" spans="1:11" ht="16" thickBot="1">
      <c r="A1443" s="200"/>
      <c r="B1443" s="200"/>
      <c r="C1443" s="200"/>
      <c r="D1443" s="215" t="s">
        <v>6005</v>
      </c>
      <c r="E1443" s="215" t="s">
        <v>6006</v>
      </c>
      <c r="F1443" s="215" t="s">
        <v>16</v>
      </c>
      <c r="G1443" s="215" t="s">
        <v>2086</v>
      </c>
      <c r="H1443" s="215" t="s">
        <v>5864</v>
      </c>
      <c r="I1443" s="215" t="s">
        <v>26</v>
      </c>
      <c r="J1443" s="242"/>
      <c r="K1443" s="242"/>
    </row>
    <row r="1444" spans="1:11" ht="16" thickBot="1">
      <c r="A1444" s="200"/>
      <c r="B1444" s="200"/>
      <c r="C1444" s="200"/>
      <c r="D1444" s="215" t="s">
        <v>6007</v>
      </c>
      <c r="E1444" s="215" t="s">
        <v>6008</v>
      </c>
      <c r="F1444" s="215" t="s">
        <v>16</v>
      </c>
      <c r="G1444" s="215" t="s">
        <v>1780</v>
      </c>
      <c r="H1444" s="215" t="s">
        <v>5860</v>
      </c>
      <c r="I1444" s="215" t="s">
        <v>26</v>
      </c>
      <c r="J1444" s="242"/>
      <c r="K1444" s="242"/>
    </row>
    <row r="1445" spans="1:11" ht="16" thickBot="1">
      <c r="A1445" s="200"/>
      <c r="B1445" s="200"/>
      <c r="C1445" s="200"/>
      <c r="D1445" s="215" t="s">
        <v>6009</v>
      </c>
      <c r="E1445" s="215" t="s">
        <v>6010</v>
      </c>
      <c r="F1445" s="215" t="s">
        <v>16</v>
      </c>
      <c r="G1445" s="215" t="s">
        <v>658</v>
      </c>
      <c r="H1445" s="215" t="s">
        <v>5885</v>
      </c>
      <c r="I1445" s="215" t="s">
        <v>206</v>
      </c>
      <c r="J1445" s="242"/>
      <c r="K1445" s="242"/>
    </row>
    <row r="1446" spans="1:11" ht="16" thickBot="1">
      <c r="A1446" s="200"/>
      <c r="B1446" s="200"/>
      <c r="C1446" s="200"/>
      <c r="D1446" s="215" t="s">
        <v>6011</v>
      </c>
      <c r="E1446" s="215" t="s">
        <v>6012</v>
      </c>
      <c r="F1446" s="215" t="s">
        <v>16</v>
      </c>
      <c r="G1446" s="215" t="s">
        <v>610</v>
      </c>
      <c r="H1446" s="215" t="s">
        <v>5864</v>
      </c>
      <c r="I1446" s="215" t="s">
        <v>206</v>
      </c>
      <c r="J1446" s="242"/>
      <c r="K1446" s="242"/>
    </row>
    <row r="1447" spans="1:11" ht="16" thickBot="1">
      <c r="A1447" s="200"/>
      <c r="B1447" s="200"/>
      <c r="C1447" s="200" t="s">
        <v>1760</v>
      </c>
      <c r="D1447" s="215" t="s">
        <v>6013</v>
      </c>
      <c r="E1447" s="215" t="s">
        <v>6014</v>
      </c>
      <c r="F1447" s="215" t="s">
        <v>16</v>
      </c>
      <c r="G1447" s="215" t="s">
        <v>2065</v>
      </c>
      <c r="H1447" s="215" t="s">
        <v>5864</v>
      </c>
      <c r="I1447" s="215" t="s">
        <v>26</v>
      </c>
      <c r="J1447" s="242"/>
      <c r="K1447" s="242"/>
    </row>
    <row r="1448" spans="1:11" ht="16" thickBot="1">
      <c r="A1448" s="200"/>
      <c r="B1448" s="200"/>
      <c r="C1448" s="200"/>
      <c r="D1448" s="215" t="s">
        <v>6015</v>
      </c>
      <c r="E1448" s="215" t="s">
        <v>6016</v>
      </c>
      <c r="F1448" s="215" t="s">
        <v>23</v>
      </c>
      <c r="G1448" s="215" t="s">
        <v>1796</v>
      </c>
      <c r="H1448" s="215" t="s">
        <v>5877</v>
      </c>
      <c r="I1448" s="215" t="s">
        <v>206</v>
      </c>
      <c r="J1448" s="242"/>
      <c r="K1448" s="242"/>
    </row>
    <row r="1449" spans="1:11" ht="16" thickBot="1">
      <c r="A1449" s="200"/>
      <c r="B1449" s="200"/>
      <c r="C1449" s="200"/>
      <c r="D1449" s="215" t="s">
        <v>6017</v>
      </c>
      <c r="E1449" s="215" t="s">
        <v>6018</v>
      </c>
      <c r="F1449" s="215" t="s">
        <v>58</v>
      </c>
      <c r="G1449" s="215" t="s">
        <v>646</v>
      </c>
      <c r="H1449" s="215" t="s">
        <v>5860</v>
      </c>
      <c r="I1449" s="215" t="s">
        <v>206</v>
      </c>
      <c r="J1449" s="242"/>
      <c r="K1449" s="242"/>
    </row>
    <row r="1450" spans="1:11" ht="16" thickBot="1">
      <c r="A1450" s="200"/>
      <c r="B1450" s="200"/>
      <c r="C1450" s="200"/>
      <c r="D1450" s="215" t="s">
        <v>6019</v>
      </c>
      <c r="E1450" s="215" t="s">
        <v>6020</v>
      </c>
      <c r="F1450" s="215" t="s">
        <v>23</v>
      </c>
      <c r="G1450" s="215" t="s">
        <v>1793</v>
      </c>
      <c r="H1450" s="215" t="s">
        <v>5885</v>
      </c>
      <c r="I1450" s="215" t="s">
        <v>26</v>
      </c>
      <c r="J1450" s="242"/>
      <c r="K1450" s="242"/>
    </row>
    <row r="1451" spans="1:11" ht="16" thickBot="1">
      <c r="A1451" s="200"/>
      <c r="B1451" s="200"/>
      <c r="C1451" s="200"/>
      <c r="D1451" s="215" t="s">
        <v>6021</v>
      </c>
      <c r="E1451" s="215" t="s">
        <v>6022</v>
      </c>
      <c r="F1451" s="215" t="s">
        <v>16</v>
      </c>
      <c r="G1451" s="215" t="s">
        <v>2145</v>
      </c>
      <c r="H1451" s="215" t="s">
        <v>5864</v>
      </c>
      <c r="I1451" s="215" t="s">
        <v>26</v>
      </c>
      <c r="J1451" s="242"/>
      <c r="K1451" s="242"/>
    </row>
    <row r="1452" spans="1:11" ht="16" thickBot="1">
      <c r="A1452" s="337" t="s">
        <v>5574</v>
      </c>
      <c r="B1452" s="321" t="s">
        <v>3858</v>
      </c>
      <c r="C1452" s="321" t="s">
        <v>3859</v>
      </c>
      <c r="D1452" s="322" t="s">
        <v>3860</v>
      </c>
      <c r="E1452" s="392" t="s">
        <v>3861</v>
      </c>
      <c r="F1452" s="356" t="s">
        <v>3862</v>
      </c>
      <c r="G1452" s="397" t="s">
        <v>3863</v>
      </c>
      <c r="H1452" s="322" t="s">
        <v>3864</v>
      </c>
      <c r="I1452" s="322" t="s">
        <v>3865</v>
      </c>
      <c r="J1452" s="323" t="s">
        <v>3866</v>
      </c>
    </row>
    <row r="1453" spans="1:11" ht="16" thickBot="1">
      <c r="A1453" s="338"/>
      <c r="B1453" s="321"/>
      <c r="C1453" s="321"/>
      <c r="D1453" s="322" t="s">
        <v>3867</v>
      </c>
      <c r="E1453" s="392" t="s">
        <v>3868</v>
      </c>
      <c r="F1453" s="356" t="s">
        <v>3862</v>
      </c>
      <c r="G1453" s="397" t="s">
        <v>3869</v>
      </c>
      <c r="H1453" s="322" t="s">
        <v>3870</v>
      </c>
      <c r="I1453" s="322" t="s">
        <v>3871</v>
      </c>
      <c r="J1453" s="323" t="s">
        <v>3872</v>
      </c>
    </row>
    <row r="1454" spans="1:11" ht="16" thickBot="1">
      <c r="A1454" s="338"/>
      <c r="B1454" s="321"/>
      <c r="C1454" s="321"/>
      <c r="D1454" s="322" t="s">
        <v>3873</v>
      </c>
      <c r="E1454" s="392" t="s">
        <v>3874</v>
      </c>
      <c r="F1454" s="356" t="s">
        <v>3862</v>
      </c>
      <c r="G1454" s="397" t="s">
        <v>3875</v>
      </c>
      <c r="H1454" s="322" t="s">
        <v>3876</v>
      </c>
      <c r="I1454" s="322" t="s">
        <v>3877</v>
      </c>
      <c r="J1454" s="323" t="s">
        <v>3878</v>
      </c>
    </row>
    <row r="1455" spans="1:11" ht="16" thickBot="1">
      <c r="A1455" s="338"/>
      <c r="B1455" s="321"/>
      <c r="C1455" s="321"/>
      <c r="D1455" s="322" t="s">
        <v>3879</v>
      </c>
      <c r="E1455" s="392" t="s">
        <v>3880</v>
      </c>
      <c r="F1455" s="356" t="s">
        <v>4494</v>
      </c>
      <c r="G1455" s="397" t="s">
        <v>3882</v>
      </c>
      <c r="H1455" s="322" t="s">
        <v>3883</v>
      </c>
      <c r="I1455" s="322" t="s">
        <v>3884</v>
      </c>
      <c r="J1455" s="323" t="s">
        <v>3885</v>
      </c>
    </row>
    <row r="1456" spans="1:11" ht="16" thickBot="1">
      <c r="A1456" s="338"/>
      <c r="B1456" s="321"/>
      <c r="C1456" s="321"/>
      <c r="D1456" s="322" t="s">
        <v>3886</v>
      </c>
      <c r="E1456" s="392" t="s">
        <v>3887</v>
      </c>
      <c r="F1456" s="356" t="s">
        <v>4598</v>
      </c>
      <c r="G1456" s="397" t="s">
        <v>3889</v>
      </c>
      <c r="H1456" s="322" t="s">
        <v>3890</v>
      </c>
      <c r="I1456" s="322" t="s">
        <v>3891</v>
      </c>
      <c r="J1456" s="323" t="s">
        <v>3892</v>
      </c>
    </row>
    <row r="1457" spans="1:10" ht="16" thickBot="1">
      <c r="A1457" s="338"/>
      <c r="B1457" s="321"/>
      <c r="C1457" s="321" t="s">
        <v>3893</v>
      </c>
      <c r="D1457" s="324" t="s">
        <v>3894</v>
      </c>
      <c r="E1457" s="393" t="s">
        <v>3895</v>
      </c>
      <c r="F1457" s="345" t="s">
        <v>3862</v>
      </c>
      <c r="G1457" s="398" t="s">
        <v>3896</v>
      </c>
      <c r="H1457" s="324" t="s">
        <v>3897</v>
      </c>
      <c r="I1457" s="324" t="s">
        <v>3898</v>
      </c>
      <c r="J1457" s="325" t="s">
        <v>3899</v>
      </c>
    </row>
    <row r="1458" spans="1:10" ht="16" thickBot="1">
      <c r="A1458" s="338"/>
      <c r="B1458" s="321"/>
      <c r="C1458" s="321"/>
      <c r="D1458" s="324" t="s">
        <v>3900</v>
      </c>
      <c r="E1458" s="393" t="s">
        <v>3901</v>
      </c>
      <c r="F1458" s="345" t="s">
        <v>3862</v>
      </c>
      <c r="G1458" s="398" t="s">
        <v>3902</v>
      </c>
      <c r="H1458" s="324" t="s">
        <v>3903</v>
      </c>
      <c r="I1458" s="324" t="s">
        <v>3904</v>
      </c>
      <c r="J1458" s="325" t="s">
        <v>3905</v>
      </c>
    </row>
    <row r="1459" spans="1:10" ht="16" thickBot="1">
      <c r="A1459" s="338"/>
      <c r="B1459" s="321"/>
      <c r="C1459" s="321"/>
      <c r="D1459" s="324" t="s">
        <v>3906</v>
      </c>
      <c r="E1459" s="393" t="s">
        <v>3907</v>
      </c>
      <c r="F1459" s="345" t="s">
        <v>3862</v>
      </c>
      <c r="G1459" s="398" t="s">
        <v>3908</v>
      </c>
      <c r="H1459" s="324" t="s">
        <v>3909</v>
      </c>
      <c r="I1459" s="324" t="s">
        <v>3910</v>
      </c>
      <c r="J1459" s="325" t="s">
        <v>3911</v>
      </c>
    </row>
    <row r="1460" spans="1:10" ht="16" thickBot="1">
      <c r="A1460" s="338"/>
      <c r="B1460" s="321"/>
      <c r="C1460" s="321"/>
      <c r="D1460" s="324" t="s">
        <v>3912</v>
      </c>
      <c r="E1460" s="393" t="s">
        <v>3913</v>
      </c>
      <c r="F1460" s="345" t="s">
        <v>3862</v>
      </c>
      <c r="G1460" s="398" t="s">
        <v>3914</v>
      </c>
      <c r="H1460" s="324" t="s">
        <v>3915</v>
      </c>
      <c r="I1460" s="324" t="s">
        <v>3916</v>
      </c>
      <c r="J1460" s="325" t="s">
        <v>3917</v>
      </c>
    </row>
    <row r="1461" spans="1:10" ht="16" thickBot="1">
      <c r="A1461" s="338"/>
      <c r="B1461" s="321"/>
      <c r="C1461" s="321"/>
      <c r="D1461" s="324" t="s">
        <v>3918</v>
      </c>
      <c r="E1461" s="393" t="s">
        <v>3919</v>
      </c>
      <c r="F1461" s="345" t="s">
        <v>3862</v>
      </c>
      <c r="G1461" s="398" t="s">
        <v>333</v>
      </c>
      <c r="H1461" s="324" t="s">
        <v>3920</v>
      </c>
      <c r="I1461" s="324" t="s">
        <v>3921</v>
      </c>
      <c r="J1461" s="325" t="s">
        <v>3922</v>
      </c>
    </row>
    <row r="1462" spans="1:10" ht="16" thickBot="1">
      <c r="A1462" s="338"/>
      <c r="B1462" s="321"/>
      <c r="C1462" s="321" t="s">
        <v>3923</v>
      </c>
      <c r="D1462" s="324" t="s">
        <v>3924</v>
      </c>
      <c r="E1462" s="394" t="s">
        <v>3925</v>
      </c>
      <c r="F1462" s="345" t="s">
        <v>3862</v>
      </c>
      <c r="G1462" s="399" t="s">
        <v>3926</v>
      </c>
      <c r="H1462" s="326" t="s">
        <v>3927</v>
      </c>
      <c r="I1462" s="324" t="s">
        <v>3928</v>
      </c>
      <c r="J1462" s="327" t="s">
        <v>3929</v>
      </c>
    </row>
    <row r="1463" spans="1:10" ht="31.5" thickBot="1">
      <c r="A1463" s="338"/>
      <c r="B1463" s="321"/>
      <c r="C1463" s="321"/>
      <c r="D1463" s="324" t="s">
        <v>3930</v>
      </c>
      <c r="E1463" s="394" t="s">
        <v>3931</v>
      </c>
      <c r="F1463" s="345" t="s">
        <v>3862</v>
      </c>
      <c r="G1463" s="399" t="s">
        <v>3932</v>
      </c>
      <c r="H1463" s="326" t="s">
        <v>3933</v>
      </c>
      <c r="I1463" s="326" t="s">
        <v>3934</v>
      </c>
      <c r="J1463" s="327" t="s">
        <v>3935</v>
      </c>
    </row>
    <row r="1464" spans="1:10" ht="47" thickBot="1">
      <c r="A1464" s="338"/>
      <c r="B1464" s="321"/>
      <c r="C1464" s="321"/>
      <c r="D1464" s="324" t="s">
        <v>3936</v>
      </c>
      <c r="E1464" s="394" t="s">
        <v>3937</v>
      </c>
      <c r="F1464" s="345" t="s">
        <v>3862</v>
      </c>
      <c r="G1464" s="399" t="s">
        <v>3938</v>
      </c>
      <c r="H1464" s="326" t="s">
        <v>3939</v>
      </c>
      <c r="I1464" s="326" t="s">
        <v>3940</v>
      </c>
      <c r="J1464" s="327" t="s">
        <v>3941</v>
      </c>
    </row>
    <row r="1465" spans="1:10" ht="62.5" thickBot="1">
      <c r="A1465" s="338"/>
      <c r="B1465" s="321"/>
      <c r="C1465" s="321"/>
      <c r="D1465" s="324" t="s">
        <v>3942</v>
      </c>
      <c r="E1465" s="394" t="s">
        <v>3943</v>
      </c>
      <c r="F1465" s="345" t="s">
        <v>3862</v>
      </c>
      <c r="G1465" s="399" t="s">
        <v>3944</v>
      </c>
      <c r="H1465" s="326" t="s">
        <v>3945</v>
      </c>
      <c r="I1465" s="326" t="s">
        <v>3946</v>
      </c>
      <c r="J1465" s="327" t="s">
        <v>3947</v>
      </c>
    </row>
    <row r="1466" spans="1:10" ht="47" thickBot="1">
      <c r="A1466" s="338"/>
      <c r="B1466" s="321"/>
      <c r="C1466" s="321"/>
      <c r="D1466" s="324" t="s">
        <v>3948</v>
      </c>
      <c r="E1466" s="394" t="s">
        <v>3949</v>
      </c>
      <c r="F1466" s="345" t="s">
        <v>3862</v>
      </c>
      <c r="G1466" s="399" t="s">
        <v>3950</v>
      </c>
      <c r="H1466" s="326" t="s">
        <v>3951</v>
      </c>
      <c r="I1466" s="326" t="s">
        <v>3952</v>
      </c>
      <c r="J1466" s="327" t="s">
        <v>3953</v>
      </c>
    </row>
    <row r="1467" spans="1:10" ht="16" thickBot="1">
      <c r="A1467" s="338"/>
      <c r="B1467" s="321"/>
      <c r="C1467" s="321" t="s">
        <v>3954</v>
      </c>
      <c r="D1467" s="322" t="s">
        <v>3955</v>
      </c>
      <c r="E1467" s="392" t="s">
        <v>3956</v>
      </c>
      <c r="F1467" s="356" t="s">
        <v>3862</v>
      </c>
      <c r="G1467" s="397" t="s">
        <v>3957</v>
      </c>
      <c r="H1467" s="322" t="s">
        <v>3958</v>
      </c>
      <c r="I1467" s="322" t="s">
        <v>3959</v>
      </c>
      <c r="J1467" s="323" t="s">
        <v>3960</v>
      </c>
    </row>
    <row r="1468" spans="1:10" ht="16" thickBot="1">
      <c r="A1468" s="338"/>
      <c r="B1468" s="321"/>
      <c r="C1468" s="321"/>
      <c r="D1468" s="322" t="s">
        <v>3961</v>
      </c>
      <c r="E1468" s="392" t="s">
        <v>3962</v>
      </c>
      <c r="F1468" s="356" t="s">
        <v>3862</v>
      </c>
      <c r="G1468" s="397" t="s">
        <v>3963</v>
      </c>
      <c r="H1468" s="322" t="s">
        <v>3964</v>
      </c>
      <c r="I1468" s="322" t="s">
        <v>3965</v>
      </c>
      <c r="J1468" s="323" t="s">
        <v>3966</v>
      </c>
    </row>
    <row r="1469" spans="1:10" ht="16" thickBot="1">
      <c r="A1469" s="338"/>
      <c r="B1469" s="321"/>
      <c r="C1469" s="321"/>
      <c r="D1469" s="322" t="s">
        <v>3967</v>
      </c>
      <c r="E1469" s="392" t="s">
        <v>3968</v>
      </c>
      <c r="F1469" s="356" t="s">
        <v>3862</v>
      </c>
      <c r="G1469" s="397" t="s">
        <v>3969</v>
      </c>
      <c r="H1469" s="322" t="s">
        <v>3970</v>
      </c>
      <c r="I1469" s="322" t="s">
        <v>3971</v>
      </c>
      <c r="J1469" s="323" t="s">
        <v>3972</v>
      </c>
    </row>
    <row r="1470" spans="1:10" ht="16" thickBot="1">
      <c r="A1470" s="338"/>
      <c r="B1470" s="321"/>
      <c r="C1470" s="321"/>
      <c r="D1470" s="322" t="s">
        <v>3973</v>
      </c>
      <c r="E1470" s="392" t="s">
        <v>3974</v>
      </c>
      <c r="F1470" s="356" t="s">
        <v>3862</v>
      </c>
      <c r="G1470" s="397" t="s">
        <v>3975</v>
      </c>
      <c r="H1470" s="322" t="s">
        <v>3976</v>
      </c>
      <c r="I1470" s="322" t="s">
        <v>3977</v>
      </c>
      <c r="J1470" s="323" t="s">
        <v>3978</v>
      </c>
    </row>
    <row r="1471" spans="1:10" ht="16" thickBot="1">
      <c r="A1471" s="338"/>
      <c r="B1471" s="321"/>
      <c r="C1471" s="321"/>
      <c r="D1471" s="322" t="s">
        <v>3979</v>
      </c>
      <c r="E1471" s="392" t="s">
        <v>3980</v>
      </c>
      <c r="F1471" s="356" t="s">
        <v>3862</v>
      </c>
      <c r="G1471" s="397" t="s">
        <v>3981</v>
      </c>
      <c r="H1471" s="322" t="s">
        <v>3982</v>
      </c>
      <c r="I1471" s="322" t="s">
        <v>3983</v>
      </c>
      <c r="J1471" s="323" t="s">
        <v>3984</v>
      </c>
    </row>
    <row r="1472" spans="1:10" ht="16" thickBot="1">
      <c r="A1472" s="338"/>
      <c r="B1472" s="321"/>
      <c r="C1472" s="321" t="s">
        <v>3985</v>
      </c>
      <c r="D1472" s="322" t="s">
        <v>3986</v>
      </c>
      <c r="E1472" s="392" t="s">
        <v>3987</v>
      </c>
      <c r="F1472" s="356" t="s">
        <v>3862</v>
      </c>
      <c r="G1472" s="397" t="s">
        <v>3988</v>
      </c>
      <c r="H1472" s="322" t="s">
        <v>3989</v>
      </c>
      <c r="I1472" s="322" t="s">
        <v>3990</v>
      </c>
      <c r="J1472" s="323" t="s">
        <v>3991</v>
      </c>
    </row>
    <row r="1473" spans="1:10" ht="16" thickBot="1">
      <c r="A1473" s="338"/>
      <c r="B1473" s="321"/>
      <c r="C1473" s="321"/>
      <c r="D1473" s="322" t="s">
        <v>3992</v>
      </c>
      <c r="E1473" s="392" t="s">
        <v>3993</v>
      </c>
      <c r="F1473" s="356" t="s">
        <v>3862</v>
      </c>
      <c r="G1473" s="397" t="s">
        <v>3994</v>
      </c>
      <c r="H1473" s="322" t="s">
        <v>3995</v>
      </c>
      <c r="I1473" s="322" t="s">
        <v>3996</v>
      </c>
      <c r="J1473" s="323" t="s">
        <v>3997</v>
      </c>
    </row>
    <row r="1474" spans="1:10" ht="16" thickBot="1">
      <c r="A1474" s="338"/>
      <c r="B1474" s="321"/>
      <c r="C1474" s="321"/>
      <c r="D1474" s="322" t="s">
        <v>3998</v>
      </c>
      <c r="E1474" s="392" t="s">
        <v>3999</v>
      </c>
      <c r="F1474" s="356" t="s">
        <v>3862</v>
      </c>
      <c r="G1474" s="397" t="s">
        <v>4000</v>
      </c>
      <c r="H1474" s="322" t="s">
        <v>4001</v>
      </c>
      <c r="I1474" s="322" t="s">
        <v>4002</v>
      </c>
      <c r="J1474" s="323" t="s">
        <v>4003</v>
      </c>
    </row>
    <row r="1475" spans="1:10" ht="16" thickBot="1">
      <c r="A1475" s="338"/>
      <c r="B1475" s="321"/>
      <c r="C1475" s="321"/>
      <c r="D1475" s="322" t="s">
        <v>4004</v>
      </c>
      <c r="E1475" s="392" t="s">
        <v>4005</v>
      </c>
      <c r="F1475" s="356" t="s">
        <v>3862</v>
      </c>
      <c r="G1475" s="397" t="s">
        <v>4006</v>
      </c>
      <c r="H1475" s="322" t="s">
        <v>4007</v>
      </c>
      <c r="I1475" s="322" t="s">
        <v>4008</v>
      </c>
      <c r="J1475" s="323" t="s">
        <v>4009</v>
      </c>
    </row>
    <row r="1476" spans="1:10" ht="16" thickBot="1">
      <c r="A1476" s="338"/>
      <c r="B1476" s="321"/>
      <c r="C1476" s="321"/>
      <c r="D1476" s="322" t="s">
        <v>4010</v>
      </c>
      <c r="E1476" s="392" t="s">
        <v>4011</v>
      </c>
      <c r="F1476" s="356" t="s">
        <v>3862</v>
      </c>
      <c r="G1476" s="397" t="s">
        <v>4012</v>
      </c>
      <c r="H1476" s="322" t="s">
        <v>4013</v>
      </c>
      <c r="I1476" s="322" t="s">
        <v>4014</v>
      </c>
      <c r="J1476" s="323" t="s">
        <v>4015</v>
      </c>
    </row>
    <row r="1477" spans="1:10" ht="16" thickBot="1">
      <c r="A1477" s="338"/>
      <c r="B1477" s="321"/>
      <c r="C1477" s="321" t="s">
        <v>4016</v>
      </c>
      <c r="D1477" s="324" t="s">
        <v>4017</v>
      </c>
      <c r="E1477" s="393" t="s">
        <v>4018</v>
      </c>
      <c r="F1477" s="356" t="s">
        <v>3862</v>
      </c>
      <c r="G1477" s="398" t="s">
        <v>4019</v>
      </c>
      <c r="H1477" s="324" t="s">
        <v>4020</v>
      </c>
      <c r="I1477" s="324" t="s">
        <v>4021</v>
      </c>
      <c r="J1477" s="325" t="s">
        <v>4022</v>
      </c>
    </row>
    <row r="1478" spans="1:10" ht="16" thickBot="1">
      <c r="A1478" s="338"/>
      <c r="B1478" s="321"/>
      <c r="C1478" s="321"/>
      <c r="D1478" s="324" t="s">
        <v>4023</v>
      </c>
      <c r="E1478" s="393" t="s">
        <v>4024</v>
      </c>
      <c r="F1478" s="356" t="s">
        <v>3862</v>
      </c>
      <c r="G1478" s="398" t="s">
        <v>4025</v>
      </c>
      <c r="H1478" s="324" t="s">
        <v>4026</v>
      </c>
      <c r="I1478" s="324" t="s">
        <v>4027</v>
      </c>
      <c r="J1478" s="325" t="s">
        <v>4028</v>
      </c>
    </row>
    <row r="1479" spans="1:10" ht="16" thickBot="1">
      <c r="A1479" s="338"/>
      <c r="B1479" s="321"/>
      <c r="C1479" s="321"/>
      <c r="D1479" s="324" t="s">
        <v>4029</v>
      </c>
      <c r="E1479" s="393" t="s">
        <v>4030</v>
      </c>
      <c r="F1479" s="356" t="s">
        <v>3862</v>
      </c>
      <c r="G1479" s="398" t="s">
        <v>4031</v>
      </c>
      <c r="H1479" s="324" t="s">
        <v>4032</v>
      </c>
      <c r="I1479" s="324" t="s">
        <v>4033</v>
      </c>
      <c r="J1479" s="325" t="s">
        <v>4034</v>
      </c>
    </row>
    <row r="1480" spans="1:10" ht="16" thickBot="1">
      <c r="A1480" s="338"/>
      <c r="B1480" s="321"/>
      <c r="C1480" s="321"/>
      <c r="D1480" s="324" t="s">
        <v>4035</v>
      </c>
      <c r="E1480" s="393" t="s">
        <v>4036</v>
      </c>
      <c r="F1480" s="356" t="s">
        <v>3862</v>
      </c>
      <c r="G1480" s="398" t="s">
        <v>4037</v>
      </c>
      <c r="H1480" s="324" t="s">
        <v>4038</v>
      </c>
      <c r="I1480" s="324" t="s">
        <v>4039</v>
      </c>
      <c r="J1480" s="325" t="s">
        <v>4040</v>
      </c>
    </row>
    <row r="1481" spans="1:10" ht="16" thickBot="1">
      <c r="A1481" s="338"/>
      <c r="B1481" s="321"/>
      <c r="C1481" s="321"/>
      <c r="D1481" s="324" t="s">
        <v>4041</v>
      </c>
      <c r="E1481" s="393" t="s">
        <v>4042</v>
      </c>
      <c r="F1481" s="356" t="s">
        <v>3862</v>
      </c>
      <c r="G1481" s="398" t="s">
        <v>4043</v>
      </c>
      <c r="H1481" s="324" t="s">
        <v>4044</v>
      </c>
      <c r="I1481" s="324" t="s">
        <v>4045</v>
      </c>
      <c r="J1481" s="325" t="s">
        <v>4046</v>
      </c>
    </row>
    <row r="1482" spans="1:10" ht="16" thickBot="1">
      <c r="A1482" s="338"/>
      <c r="B1482" s="321"/>
      <c r="C1482" s="328" t="s">
        <v>4047</v>
      </c>
      <c r="D1482" s="324" t="s">
        <v>4048</v>
      </c>
      <c r="E1482" s="393" t="s">
        <v>4049</v>
      </c>
      <c r="F1482" s="356" t="s">
        <v>3862</v>
      </c>
      <c r="G1482" s="398" t="s">
        <v>4050</v>
      </c>
      <c r="H1482" s="324" t="s">
        <v>4051</v>
      </c>
      <c r="I1482" s="324" t="s">
        <v>4052</v>
      </c>
      <c r="J1482" s="325" t="s">
        <v>4053</v>
      </c>
    </row>
    <row r="1483" spans="1:10" ht="16" thickBot="1">
      <c r="A1483" s="338"/>
      <c r="B1483" s="321"/>
      <c r="C1483" s="328"/>
      <c r="D1483" s="324" t="s">
        <v>4054</v>
      </c>
      <c r="E1483" s="393" t="s">
        <v>4055</v>
      </c>
      <c r="F1483" s="356" t="s">
        <v>3862</v>
      </c>
      <c r="G1483" s="398" t="s">
        <v>646</v>
      </c>
      <c r="H1483" s="324" t="s">
        <v>4056</v>
      </c>
      <c r="I1483" s="324" t="s">
        <v>4057</v>
      </c>
      <c r="J1483" s="325" t="s">
        <v>4058</v>
      </c>
    </row>
    <row r="1484" spans="1:10" ht="16" thickBot="1">
      <c r="A1484" s="338"/>
      <c r="B1484" s="321"/>
      <c r="C1484" s="328"/>
      <c r="D1484" s="324" t="s">
        <v>4059</v>
      </c>
      <c r="E1484" s="393" t="s">
        <v>4060</v>
      </c>
      <c r="F1484" s="345" t="s">
        <v>4494</v>
      </c>
      <c r="G1484" s="398" t="s">
        <v>4061</v>
      </c>
      <c r="H1484" s="324" t="s">
        <v>4062</v>
      </c>
      <c r="I1484" s="324" t="s">
        <v>4063</v>
      </c>
      <c r="J1484" s="325" t="s">
        <v>4064</v>
      </c>
    </row>
    <row r="1485" spans="1:10" ht="16" thickBot="1">
      <c r="A1485" s="338"/>
      <c r="B1485" s="321"/>
      <c r="C1485" s="328"/>
      <c r="D1485" s="324" t="s">
        <v>4065</v>
      </c>
      <c r="E1485" s="393" t="s">
        <v>4066</v>
      </c>
      <c r="F1485" s="345" t="s">
        <v>3862</v>
      </c>
      <c r="G1485" s="398" t="s">
        <v>4067</v>
      </c>
      <c r="H1485" s="324" t="s">
        <v>4068</v>
      </c>
      <c r="I1485" s="324" t="s">
        <v>4069</v>
      </c>
      <c r="J1485" s="325" t="s">
        <v>4070</v>
      </c>
    </row>
    <row r="1486" spans="1:10" ht="16" thickBot="1">
      <c r="A1486" s="338"/>
      <c r="B1486" s="321"/>
      <c r="C1486" s="328"/>
      <c r="D1486" s="324" t="s">
        <v>4071</v>
      </c>
      <c r="E1486" s="393" t="s">
        <v>4072</v>
      </c>
      <c r="F1486" s="345" t="s">
        <v>3862</v>
      </c>
      <c r="G1486" s="398" t="s">
        <v>4073</v>
      </c>
      <c r="H1486" s="324" t="s">
        <v>4074</v>
      </c>
      <c r="I1486" s="324" t="s">
        <v>4075</v>
      </c>
      <c r="J1486" s="325" t="s">
        <v>4076</v>
      </c>
    </row>
    <row r="1487" spans="1:10" ht="16" thickBot="1">
      <c r="A1487" s="338"/>
      <c r="B1487" s="321"/>
      <c r="C1487" s="328" t="s">
        <v>4077</v>
      </c>
      <c r="D1487" s="324" t="s">
        <v>4078</v>
      </c>
      <c r="E1487" s="393" t="s">
        <v>4079</v>
      </c>
      <c r="F1487" s="345" t="s">
        <v>3862</v>
      </c>
      <c r="G1487" s="398" t="s">
        <v>4080</v>
      </c>
      <c r="H1487" s="324" t="s">
        <v>4081</v>
      </c>
      <c r="I1487" s="324" t="s">
        <v>4082</v>
      </c>
      <c r="J1487" s="325" t="s">
        <v>4083</v>
      </c>
    </row>
    <row r="1488" spans="1:10" ht="16" thickBot="1">
      <c r="A1488" s="338"/>
      <c r="B1488" s="321"/>
      <c r="C1488" s="328"/>
      <c r="D1488" s="324" t="s">
        <v>4084</v>
      </c>
      <c r="E1488" s="393" t="s">
        <v>4085</v>
      </c>
      <c r="F1488" s="345" t="s">
        <v>3862</v>
      </c>
      <c r="G1488" s="398" t="s">
        <v>4086</v>
      </c>
      <c r="H1488" s="324" t="s">
        <v>4087</v>
      </c>
      <c r="I1488" s="324" t="s">
        <v>4088</v>
      </c>
      <c r="J1488" s="325" t="s">
        <v>4089</v>
      </c>
    </row>
    <row r="1489" spans="1:10" ht="16" thickBot="1">
      <c r="A1489" s="338"/>
      <c r="B1489" s="321"/>
      <c r="C1489" s="328"/>
      <c r="D1489" s="324" t="s">
        <v>4090</v>
      </c>
      <c r="E1489" s="393" t="s">
        <v>4091</v>
      </c>
      <c r="F1489" s="345" t="s">
        <v>3862</v>
      </c>
      <c r="G1489" s="398" t="s">
        <v>4092</v>
      </c>
      <c r="H1489" s="324" t="s">
        <v>4093</v>
      </c>
      <c r="I1489" s="324" t="s">
        <v>4094</v>
      </c>
      <c r="J1489" s="325" t="s">
        <v>4095</v>
      </c>
    </row>
    <row r="1490" spans="1:10" ht="16" thickBot="1">
      <c r="A1490" s="338"/>
      <c r="B1490" s="321"/>
      <c r="C1490" s="328"/>
      <c r="D1490" s="324" t="s">
        <v>4096</v>
      </c>
      <c r="E1490" s="393" t="s">
        <v>4097</v>
      </c>
      <c r="F1490" s="345" t="s">
        <v>4598</v>
      </c>
      <c r="G1490" s="398" t="s">
        <v>2621</v>
      </c>
      <c r="H1490" s="324" t="s">
        <v>4098</v>
      </c>
      <c r="I1490" s="324" t="s">
        <v>4099</v>
      </c>
      <c r="J1490" s="325" t="s">
        <v>4100</v>
      </c>
    </row>
    <row r="1491" spans="1:10" ht="16" thickBot="1">
      <c r="A1491" s="338"/>
      <c r="B1491" s="321"/>
      <c r="C1491" s="328"/>
      <c r="D1491" s="324" t="s">
        <v>4101</v>
      </c>
      <c r="E1491" s="393" t="s">
        <v>4102</v>
      </c>
      <c r="F1491" s="345" t="s">
        <v>3862</v>
      </c>
      <c r="G1491" s="398" t="s">
        <v>4103</v>
      </c>
      <c r="H1491" s="324" t="s">
        <v>4104</v>
      </c>
      <c r="I1491" s="324" t="s">
        <v>4105</v>
      </c>
      <c r="J1491" s="325" t="s">
        <v>4106</v>
      </c>
    </row>
    <row r="1492" spans="1:10" ht="16" thickBot="1">
      <c r="A1492" s="338"/>
      <c r="B1492" s="321" t="s">
        <v>4107</v>
      </c>
      <c r="C1492" s="321" t="s">
        <v>4108</v>
      </c>
      <c r="D1492" s="324" t="s">
        <v>4109</v>
      </c>
      <c r="E1492" s="393" t="s">
        <v>4110</v>
      </c>
      <c r="F1492" s="345" t="s">
        <v>3862</v>
      </c>
      <c r="G1492" s="398" t="s">
        <v>4111</v>
      </c>
      <c r="H1492" s="324" t="s">
        <v>4112</v>
      </c>
      <c r="I1492" s="324" t="s">
        <v>4113</v>
      </c>
      <c r="J1492" s="325" t="s">
        <v>4114</v>
      </c>
    </row>
    <row r="1493" spans="1:10" ht="16" thickBot="1">
      <c r="A1493" s="338"/>
      <c r="B1493" s="321"/>
      <c r="C1493" s="321"/>
      <c r="D1493" s="324" t="s">
        <v>4115</v>
      </c>
      <c r="E1493" s="393" t="s">
        <v>4116</v>
      </c>
      <c r="F1493" s="345" t="s">
        <v>3862</v>
      </c>
      <c r="G1493" s="398" t="s">
        <v>4117</v>
      </c>
      <c r="H1493" s="324" t="s">
        <v>4118</v>
      </c>
      <c r="I1493" s="324" t="s">
        <v>4119</v>
      </c>
      <c r="J1493" s="325" t="s">
        <v>4120</v>
      </c>
    </row>
    <row r="1494" spans="1:10" ht="16" thickBot="1">
      <c r="A1494" s="338"/>
      <c r="B1494" s="321"/>
      <c r="C1494" s="321"/>
      <c r="D1494" s="324" t="s">
        <v>4121</v>
      </c>
      <c r="E1494" s="393" t="s">
        <v>4122</v>
      </c>
      <c r="F1494" s="345" t="s">
        <v>3862</v>
      </c>
      <c r="G1494" s="398" t="s">
        <v>4123</v>
      </c>
      <c r="H1494" s="324" t="s">
        <v>4124</v>
      </c>
      <c r="I1494" s="324" t="s">
        <v>4125</v>
      </c>
      <c r="J1494" s="325" t="s">
        <v>4126</v>
      </c>
    </row>
    <row r="1495" spans="1:10" ht="16" thickBot="1">
      <c r="A1495" s="338"/>
      <c r="B1495" s="321"/>
      <c r="C1495" s="321"/>
      <c r="D1495" s="324" t="s">
        <v>4127</v>
      </c>
      <c r="E1495" s="393" t="s">
        <v>4128</v>
      </c>
      <c r="F1495" s="345" t="s">
        <v>3862</v>
      </c>
      <c r="G1495" s="398" t="s">
        <v>4129</v>
      </c>
      <c r="H1495" s="324" t="s">
        <v>4130</v>
      </c>
      <c r="I1495" s="324" t="s">
        <v>4131</v>
      </c>
      <c r="J1495" s="325" t="s">
        <v>4132</v>
      </c>
    </row>
    <row r="1496" spans="1:10" ht="16" thickBot="1">
      <c r="A1496" s="338"/>
      <c r="B1496" s="321"/>
      <c r="C1496" s="321"/>
      <c r="D1496" s="324" t="s">
        <v>4133</v>
      </c>
      <c r="E1496" s="393" t="s">
        <v>4134</v>
      </c>
      <c r="F1496" s="345" t="s">
        <v>3862</v>
      </c>
      <c r="G1496" s="398" t="s">
        <v>4135</v>
      </c>
      <c r="H1496" s="324" t="s">
        <v>4136</v>
      </c>
      <c r="I1496" s="324" t="s">
        <v>4137</v>
      </c>
      <c r="J1496" s="325" t="s">
        <v>4138</v>
      </c>
    </row>
    <row r="1497" spans="1:10" ht="47" thickBot="1">
      <c r="A1497" s="338"/>
      <c r="B1497" s="321"/>
      <c r="C1497" s="321" t="s">
        <v>4139</v>
      </c>
      <c r="D1497" s="326" t="s">
        <v>4140</v>
      </c>
      <c r="E1497" s="393" t="s">
        <v>4141</v>
      </c>
      <c r="F1497" s="345" t="s">
        <v>3862</v>
      </c>
      <c r="G1497" s="399" t="s">
        <v>4142</v>
      </c>
      <c r="H1497" s="326" t="s">
        <v>4038</v>
      </c>
      <c r="I1497" s="326" t="s">
        <v>4143</v>
      </c>
      <c r="J1497" s="327" t="s">
        <v>4144</v>
      </c>
    </row>
    <row r="1498" spans="1:10" ht="31.5" thickBot="1">
      <c r="A1498" s="338"/>
      <c r="B1498" s="321"/>
      <c r="C1498" s="321"/>
      <c r="D1498" s="326" t="s">
        <v>4145</v>
      </c>
      <c r="E1498" s="393" t="s">
        <v>4146</v>
      </c>
      <c r="F1498" s="345" t="s">
        <v>3862</v>
      </c>
      <c r="G1498" s="399" t="s">
        <v>4147</v>
      </c>
      <c r="H1498" s="326" t="s">
        <v>4148</v>
      </c>
      <c r="I1498" s="326" t="s">
        <v>4149</v>
      </c>
      <c r="J1498" s="327" t="s">
        <v>4150</v>
      </c>
    </row>
    <row r="1499" spans="1:10" ht="31.5" thickBot="1">
      <c r="A1499" s="338"/>
      <c r="B1499" s="321"/>
      <c r="C1499" s="321"/>
      <c r="D1499" s="326" t="s">
        <v>4151</v>
      </c>
      <c r="E1499" s="393" t="s">
        <v>4152</v>
      </c>
      <c r="F1499" s="345" t="s">
        <v>3862</v>
      </c>
      <c r="G1499" s="399" t="s">
        <v>4153</v>
      </c>
      <c r="H1499" s="326" t="s">
        <v>4154</v>
      </c>
      <c r="I1499" s="326" t="s">
        <v>4155</v>
      </c>
      <c r="J1499" s="327" t="s">
        <v>4156</v>
      </c>
    </row>
    <row r="1500" spans="1:10" ht="31.5" thickBot="1">
      <c r="A1500" s="338"/>
      <c r="B1500" s="321"/>
      <c r="C1500" s="321"/>
      <c r="D1500" s="326" t="s">
        <v>4157</v>
      </c>
      <c r="E1500" s="393" t="s">
        <v>4158</v>
      </c>
      <c r="F1500" s="345" t="s">
        <v>3862</v>
      </c>
      <c r="G1500" s="399" t="s">
        <v>4159</v>
      </c>
      <c r="H1500" s="326" t="s">
        <v>4160</v>
      </c>
      <c r="I1500" s="326" t="s">
        <v>2436</v>
      </c>
      <c r="J1500" s="327" t="s">
        <v>4161</v>
      </c>
    </row>
    <row r="1501" spans="1:10" ht="47" thickBot="1">
      <c r="A1501" s="338"/>
      <c r="B1501" s="321"/>
      <c r="C1501" s="321"/>
      <c r="D1501" s="326" t="s">
        <v>4162</v>
      </c>
      <c r="E1501" s="393" t="s">
        <v>4163</v>
      </c>
      <c r="F1501" s="345" t="s">
        <v>3862</v>
      </c>
      <c r="G1501" s="399" t="s">
        <v>4164</v>
      </c>
      <c r="H1501" s="326" t="s">
        <v>4165</v>
      </c>
      <c r="I1501" s="326" t="s">
        <v>4166</v>
      </c>
      <c r="J1501" s="327" t="s">
        <v>4167</v>
      </c>
    </row>
    <row r="1502" spans="1:10" ht="16" thickBot="1">
      <c r="A1502" s="338"/>
      <c r="B1502" s="321"/>
      <c r="C1502" s="321" t="s">
        <v>4168</v>
      </c>
      <c r="D1502" s="324" t="s">
        <v>4169</v>
      </c>
      <c r="E1502" s="393" t="s">
        <v>4170</v>
      </c>
      <c r="F1502" s="345" t="s">
        <v>3862</v>
      </c>
      <c r="G1502" s="398" t="s">
        <v>4171</v>
      </c>
      <c r="H1502" s="324" t="s">
        <v>4172</v>
      </c>
      <c r="I1502" s="324" t="s">
        <v>3883</v>
      </c>
      <c r="J1502" s="325" t="s">
        <v>4173</v>
      </c>
    </row>
    <row r="1503" spans="1:10" ht="16" thickBot="1">
      <c r="A1503" s="338"/>
      <c r="B1503" s="321"/>
      <c r="C1503" s="321"/>
      <c r="D1503" s="324" t="s">
        <v>4174</v>
      </c>
      <c r="E1503" s="393" t="s">
        <v>4175</v>
      </c>
      <c r="F1503" s="345" t="s">
        <v>3881</v>
      </c>
      <c r="G1503" s="398" t="s">
        <v>4176</v>
      </c>
      <c r="H1503" s="324" t="s">
        <v>4177</v>
      </c>
      <c r="I1503" s="324" t="s">
        <v>4178</v>
      </c>
      <c r="J1503" s="325" t="s">
        <v>4179</v>
      </c>
    </row>
    <row r="1504" spans="1:10" ht="16" thickBot="1">
      <c r="A1504" s="338"/>
      <c r="B1504" s="321"/>
      <c r="C1504" s="321"/>
      <c r="D1504" s="324" t="s">
        <v>4180</v>
      </c>
      <c r="E1504" s="393" t="s">
        <v>4181</v>
      </c>
      <c r="F1504" s="345" t="s">
        <v>3862</v>
      </c>
      <c r="G1504" s="398" t="s">
        <v>4182</v>
      </c>
      <c r="H1504" s="324" t="s">
        <v>4183</v>
      </c>
      <c r="I1504" s="324" t="s">
        <v>4184</v>
      </c>
      <c r="J1504" s="325" t="s">
        <v>4185</v>
      </c>
    </row>
    <row r="1505" spans="1:10" ht="16" thickBot="1">
      <c r="A1505" s="338"/>
      <c r="B1505" s="321"/>
      <c r="C1505" s="321"/>
      <c r="D1505" s="324" t="s">
        <v>4186</v>
      </c>
      <c r="E1505" s="393" t="s">
        <v>4187</v>
      </c>
      <c r="F1505" s="345" t="s">
        <v>3862</v>
      </c>
      <c r="G1505" s="398" t="s">
        <v>4188</v>
      </c>
      <c r="H1505" s="324" t="s">
        <v>4189</v>
      </c>
      <c r="I1505" s="324" t="s">
        <v>4190</v>
      </c>
      <c r="J1505" s="325" t="s">
        <v>4191</v>
      </c>
    </row>
    <row r="1506" spans="1:10" ht="16" thickBot="1">
      <c r="A1506" s="338"/>
      <c r="B1506" s="321"/>
      <c r="C1506" s="321"/>
      <c r="D1506" s="324" t="s">
        <v>4192</v>
      </c>
      <c r="E1506" s="393" t="s">
        <v>4193</v>
      </c>
      <c r="F1506" s="345" t="s">
        <v>3862</v>
      </c>
      <c r="G1506" s="398" t="s">
        <v>4194</v>
      </c>
      <c r="H1506" s="324" t="s">
        <v>4195</v>
      </c>
      <c r="I1506" s="324" t="s">
        <v>4196</v>
      </c>
      <c r="J1506" s="325" t="s">
        <v>4197</v>
      </c>
    </row>
    <row r="1507" spans="1:10" ht="16" thickBot="1">
      <c r="A1507" s="338"/>
      <c r="B1507" s="321"/>
      <c r="C1507" s="321" t="s">
        <v>4198</v>
      </c>
      <c r="D1507" s="324" t="s">
        <v>4199</v>
      </c>
      <c r="E1507" s="393" t="s">
        <v>4200</v>
      </c>
      <c r="F1507" s="345" t="s">
        <v>3862</v>
      </c>
      <c r="G1507" s="398" t="s">
        <v>4201</v>
      </c>
      <c r="H1507" s="324" t="s">
        <v>4202</v>
      </c>
      <c r="I1507" s="324" t="s">
        <v>4203</v>
      </c>
      <c r="J1507" s="325" t="s">
        <v>4204</v>
      </c>
    </row>
    <row r="1508" spans="1:10" ht="16" thickBot="1">
      <c r="A1508" s="338"/>
      <c r="B1508" s="321"/>
      <c r="C1508" s="321"/>
      <c r="D1508" s="324" t="s">
        <v>4205</v>
      </c>
      <c r="E1508" s="393" t="s">
        <v>4206</v>
      </c>
      <c r="F1508" s="345" t="s">
        <v>3862</v>
      </c>
      <c r="G1508" s="398" t="s">
        <v>4207</v>
      </c>
      <c r="H1508" s="324" t="s">
        <v>4208</v>
      </c>
      <c r="I1508" s="324" t="s">
        <v>4209</v>
      </c>
      <c r="J1508" s="325" t="s">
        <v>4210</v>
      </c>
    </row>
    <row r="1509" spans="1:10" ht="16" thickBot="1">
      <c r="A1509" s="338"/>
      <c r="B1509" s="321"/>
      <c r="C1509" s="321"/>
      <c r="D1509" s="324" t="s">
        <v>4211</v>
      </c>
      <c r="E1509" s="393" t="s">
        <v>4212</v>
      </c>
      <c r="F1509" s="345" t="s">
        <v>3862</v>
      </c>
      <c r="G1509" s="398" t="s">
        <v>4213</v>
      </c>
      <c r="H1509" s="324" t="s">
        <v>4214</v>
      </c>
      <c r="I1509" s="324" t="s">
        <v>4215</v>
      </c>
      <c r="J1509" s="325" t="s">
        <v>4216</v>
      </c>
    </row>
    <row r="1510" spans="1:10" ht="16" thickBot="1">
      <c r="A1510" s="338"/>
      <c r="B1510" s="321"/>
      <c r="C1510" s="321"/>
      <c r="D1510" s="324" t="s">
        <v>4217</v>
      </c>
      <c r="E1510" s="393" t="s">
        <v>4218</v>
      </c>
      <c r="F1510" s="345" t="s">
        <v>3862</v>
      </c>
      <c r="G1510" s="398" t="s">
        <v>4219</v>
      </c>
      <c r="H1510" s="324" t="s">
        <v>4220</v>
      </c>
      <c r="I1510" s="324" t="s">
        <v>4221</v>
      </c>
      <c r="J1510" s="325" t="s">
        <v>4222</v>
      </c>
    </row>
    <row r="1511" spans="1:10" ht="16" thickBot="1">
      <c r="A1511" s="338"/>
      <c r="B1511" s="321"/>
      <c r="C1511" s="321"/>
      <c r="D1511" s="324" t="s">
        <v>4223</v>
      </c>
      <c r="E1511" s="393" t="s">
        <v>4224</v>
      </c>
      <c r="F1511" s="345" t="s">
        <v>3862</v>
      </c>
      <c r="G1511" s="398" t="s">
        <v>4073</v>
      </c>
      <c r="H1511" s="324" t="s">
        <v>4225</v>
      </c>
      <c r="I1511" s="324" t="s">
        <v>4226</v>
      </c>
      <c r="J1511" s="325" t="s">
        <v>4227</v>
      </c>
    </row>
    <row r="1512" spans="1:10" ht="16" thickBot="1">
      <c r="A1512" s="338"/>
      <c r="B1512" s="321" t="s">
        <v>4228</v>
      </c>
      <c r="C1512" s="321" t="s">
        <v>4229</v>
      </c>
      <c r="D1512" s="324" t="s">
        <v>4230</v>
      </c>
      <c r="E1512" s="393" t="s">
        <v>4231</v>
      </c>
      <c r="F1512" s="345" t="s">
        <v>3862</v>
      </c>
      <c r="G1512" s="398" t="s">
        <v>4232</v>
      </c>
      <c r="H1512" s="324" t="s">
        <v>4233</v>
      </c>
      <c r="I1512" s="324" t="s">
        <v>4234</v>
      </c>
      <c r="J1512" s="325" t="s">
        <v>4235</v>
      </c>
    </row>
    <row r="1513" spans="1:10" ht="16" thickBot="1">
      <c r="A1513" s="338"/>
      <c r="B1513" s="321"/>
      <c r="C1513" s="321"/>
      <c r="D1513" s="324" t="s">
        <v>4236</v>
      </c>
      <c r="E1513" s="393" t="s">
        <v>4237</v>
      </c>
      <c r="F1513" s="345" t="s">
        <v>3862</v>
      </c>
      <c r="G1513" s="398" t="s">
        <v>4176</v>
      </c>
      <c r="H1513" s="324" t="s">
        <v>4238</v>
      </c>
      <c r="I1513" s="324" t="s">
        <v>4239</v>
      </c>
      <c r="J1513" s="325" t="s">
        <v>4240</v>
      </c>
    </row>
    <row r="1514" spans="1:10" ht="16" thickBot="1">
      <c r="A1514" s="338"/>
      <c r="B1514" s="321"/>
      <c r="C1514" s="321"/>
      <c r="D1514" s="324" t="s">
        <v>4241</v>
      </c>
      <c r="E1514" s="393" t="s">
        <v>4242</v>
      </c>
      <c r="F1514" s="345" t="s">
        <v>3862</v>
      </c>
      <c r="G1514" s="398" t="s">
        <v>4243</v>
      </c>
      <c r="H1514" s="324" t="s">
        <v>4244</v>
      </c>
      <c r="I1514" s="324" t="s">
        <v>4245</v>
      </c>
      <c r="J1514" s="325" t="s">
        <v>4246</v>
      </c>
    </row>
    <row r="1515" spans="1:10" ht="16" thickBot="1">
      <c r="A1515" s="338"/>
      <c r="B1515" s="321"/>
      <c r="C1515" s="321"/>
      <c r="D1515" s="324" t="s">
        <v>4247</v>
      </c>
      <c r="E1515" s="393" t="s">
        <v>4248</v>
      </c>
      <c r="F1515" s="345" t="s">
        <v>3862</v>
      </c>
      <c r="G1515" s="398" t="s">
        <v>4249</v>
      </c>
      <c r="H1515" s="324" t="s">
        <v>4250</v>
      </c>
      <c r="I1515" s="324" t="s">
        <v>4251</v>
      </c>
      <c r="J1515" s="325" t="s">
        <v>4252</v>
      </c>
    </row>
    <row r="1516" spans="1:10" ht="16" thickBot="1">
      <c r="A1516" s="338"/>
      <c r="B1516" s="321"/>
      <c r="C1516" s="321"/>
      <c r="D1516" s="324" t="s">
        <v>4253</v>
      </c>
      <c r="E1516" s="393" t="s">
        <v>4254</v>
      </c>
      <c r="F1516" s="345" t="s">
        <v>3862</v>
      </c>
      <c r="G1516" s="398" t="s">
        <v>4255</v>
      </c>
      <c r="H1516" s="324" t="s">
        <v>4256</v>
      </c>
      <c r="I1516" s="324" t="s">
        <v>4257</v>
      </c>
      <c r="J1516" s="325" t="s">
        <v>4258</v>
      </c>
    </row>
    <row r="1517" spans="1:10" ht="16" thickBot="1">
      <c r="A1517" s="338"/>
      <c r="B1517" s="321"/>
      <c r="C1517" s="321" t="s">
        <v>4259</v>
      </c>
      <c r="D1517" s="322" t="s">
        <v>1926</v>
      </c>
      <c r="E1517" s="392" t="s">
        <v>4260</v>
      </c>
      <c r="F1517" s="345" t="s">
        <v>3862</v>
      </c>
      <c r="G1517" s="397" t="s">
        <v>4232</v>
      </c>
      <c r="H1517" s="322" t="s">
        <v>4261</v>
      </c>
      <c r="I1517" s="322" t="s">
        <v>4262</v>
      </c>
      <c r="J1517" s="323" t="s">
        <v>4263</v>
      </c>
    </row>
    <row r="1518" spans="1:10" ht="16" thickBot="1">
      <c r="A1518" s="338"/>
      <c r="B1518" s="321"/>
      <c r="C1518" s="321"/>
      <c r="D1518" s="322" t="s">
        <v>2154</v>
      </c>
      <c r="E1518" s="392" t="s">
        <v>4264</v>
      </c>
      <c r="F1518" s="345" t="s">
        <v>3862</v>
      </c>
      <c r="G1518" s="397" t="s">
        <v>4265</v>
      </c>
      <c r="H1518" s="322" t="s">
        <v>4266</v>
      </c>
      <c r="I1518" s="322" t="s">
        <v>4267</v>
      </c>
      <c r="J1518" s="323" t="s">
        <v>4268</v>
      </c>
    </row>
    <row r="1519" spans="1:10" ht="16" thickBot="1">
      <c r="A1519" s="338"/>
      <c r="B1519" s="321"/>
      <c r="C1519" s="321"/>
      <c r="D1519" s="322" t="s">
        <v>4269</v>
      </c>
      <c r="E1519" s="392" t="s">
        <v>4270</v>
      </c>
      <c r="F1519" s="345" t="s">
        <v>3862</v>
      </c>
      <c r="G1519" s="397" t="s">
        <v>4271</v>
      </c>
      <c r="H1519" s="322" t="s">
        <v>4272</v>
      </c>
      <c r="I1519" s="322" t="s">
        <v>3982</v>
      </c>
      <c r="J1519" s="323" t="s">
        <v>4273</v>
      </c>
    </row>
    <row r="1520" spans="1:10" ht="16" thickBot="1">
      <c r="A1520" s="338"/>
      <c r="B1520" s="321"/>
      <c r="C1520" s="321"/>
      <c r="D1520" s="322" t="s">
        <v>4274</v>
      </c>
      <c r="E1520" s="392" t="s">
        <v>4275</v>
      </c>
      <c r="F1520" s="345" t="s">
        <v>3862</v>
      </c>
      <c r="G1520" s="397" t="s">
        <v>4276</v>
      </c>
      <c r="H1520" s="322" t="s">
        <v>4277</v>
      </c>
      <c r="I1520" s="322" t="s">
        <v>4278</v>
      </c>
      <c r="J1520" s="323" t="s">
        <v>4279</v>
      </c>
    </row>
    <row r="1521" spans="1:10" ht="16" thickBot="1">
      <c r="A1521" s="338"/>
      <c r="B1521" s="321"/>
      <c r="C1521" s="321"/>
      <c r="D1521" s="322" t="s">
        <v>4280</v>
      </c>
      <c r="E1521" s="392" t="s">
        <v>4281</v>
      </c>
      <c r="F1521" s="345" t="s">
        <v>3862</v>
      </c>
      <c r="G1521" s="397" t="s">
        <v>4282</v>
      </c>
      <c r="H1521" s="322" t="s">
        <v>4283</v>
      </c>
      <c r="I1521" s="322" t="s">
        <v>4284</v>
      </c>
      <c r="J1521" s="323" t="s">
        <v>4285</v>
      </c>
    </row>
    <row r="1522" spans="1:10" ht="16" thickBot="1">
      <c r="A1522" s="338"/>
      <c r="B1522" s="321"/>
      <c r="C1522" s="321" t="s">
        <v>4286</v>
      </c>
      <c r="D1522" s="322" t="s">
        <v>4287</v>
      </c>
      <c r="E1522" s="392" t="s">
        <v>4288</v>
      </c>
      <c r="F1522" s="345" t="s">
        <v>3862</v>
      </c>
      <c r="G1522" s="397" t="s">
        <v>4289</v>
      </c>
      <c r="H1522" s="322" t="s">
        <v>4290</v>
      </c>
      <c r="I1522" s="322" t="s">
        <v>4291</v>
      </c>
      <c r="J1522" s="323" t="s">
        <v>4292</v>
      </c>
    </row>
    <row r="1523" spans="1:10" ht="16" thickBot="1">
      <c r="A1523" s="338"/>
      <c r="B1523" s="321"/>
      <c r="C1523" s="321"/>
      <c r="D1523" s="322" t="s">
        <v>4293</v>
      </c>
      <c r="E1523" s="392" t="s">
        <v>4294</v>
      </c>
      <c r="F1523" s="345" t="s">
        <v>3862</v>
      </c>
      <c r="G1523" s="397" t="s">
        <v>4295</v>
      </c>
      <c r="H1523" s="322" t="s">
        <v>4296</v>
      </c>
      <c r="I1523" s="322" t="s">
        <v>4297</v>
      </c>
      <c r="J1523" s="323" t="s">
        <v>4298</v>
      </c>
    </row>
    <row r="1524" spans="1:10" ht="16" thickBot="1">
      <c r="A1524" s="338"/>
      <c r="B1524" s="321"/>
      <c r="C1524" s="321"/>
      <c r="D1524" s="322" t="s">
        <v>4299</v>
      </c>
      <c r="E1524" s="392" t="s">
        <v>4300</v>
      </c>
      <c r="F1524" s="345" t="s">
        <v>3862</v>
      </c>
      <c r="G1524" s="397" t="s">
        <v>4301</v>
      </c>
      <c r="H1524" s="322" t="s">
        <v>4302</v>
      </c>
      <c r="I1524" s="322" t="s">
        <v>4303</v>
      </c>
      <c r="J1524" s="323" t="s">
        <v>4304</v>
      </c>
    </row>
    <row r="1525" spans="1:10" ht="16" thickBot="1">
      <c r="A1525" s="338"/>
      <c r="B1525" s="321"/>
      <c r="C1525" s="321"/>
      <c r="D1525" s="322" t="s">
        <v>4305</v>
      </c>
      <c r="E1525" s="392" t="s">
        <v>4306</v>
      </c>
      <c r="F1525" s="345" t="s">
        <v>3862</v>
      </c>
      <c r="G1525" s="397" t="s">
        <v>4307</v>
      </c>
      <c r="H1525" s="322" t="s">
        <v>4308</v>
      </c>
      <c r="I1525" s="322" t="s">
        <v>4309</v>
      </c>
      <c r="J1525" s="323" t="s">
        <v>4310</v>
      </c>
    </row>
    <row r="1526" spans="1:10" ht="16" thickBot="1">
      <c r="A1526" s="338"/>
      <c r="B1526" s="321"/>
      <c r="C1526" s="321"/>
      <c r="D1526" s="322" t="s">
        <v>4311</v>
      </c>
      <c r="E1526" s="392" t="s">
        <v>4312</v>
      </c>
      <c r="F1526" s="345" t="s">
        <v>3862</v>
      </c>
      <c r="G1526" s="397" t="s">
        <v>4176</v>
      </c>
      <c r="H1526" s="322" t="s">
        <v>4313</v>
      </c>
      <c r="I1526" s="322" t="s">
        <v>77</v>
      </c>
      <c r="J1526" s="323" t="s">
        <v>4314</v>
      </c>
    </row>
    <row r="1527" spans="1:10" ht="16" thickBot="1">
      <c r="A1527" s="338"/>
      <c r="B1527" s="321"/>
      <c r="C1527" s="321" t="s">
        <v>4315</v>
      </c>
      <c r="D1527" s="322" t="s">
        <v>4316</v>
      </c>
      <c r="E1527" s="392" t="s">
        <v>4317</v>
      </c>
      <c r="F1527" s="345" t="s">
        <v>3862</v>
      </c>
      <c r="G1527" s="397" t="s">
        <v>4318</v>
      </c>
      <c r="H1527" s="322" t="s">
        <v>4319</v>
      </c>
      <c r="I1527" s="322" t="s">
        <v>4320</v>
      </c>
      <c r="J1527" s="323" t="s">
        <v>4321</v>
      </c>
    </row>
    <row r="1528" spans="1:10" ht="16" thickBot="1">
      <c r="A1528" s="338"/>
      <c r="B1528" s="321"/>
      <c r="C1528" s="321"/>
      <c r="D1528" s="322" t="s">
        <v>4322</v>
      </c>
      <c r="E1528" s="392" t="s">
        <v>4323</v>
      </c>
      <c r="F1528" s="345" t="s">
        <v>3862</v>
      </c>
      <c r="G1528" s="397" t="s">
        <v>4324</v>
      </c>
      <c r="H1528" s="322" t="s">
        <v>4325</v>
      </c>
      <c r="I1528" s="322" t="s">
        <v>4326</v>
      </c>
      <c r="J1528" s="323" t="s">
        <v>4327</v>
      </c>
    </row>
    <row r="1529" spans="1:10" ht="16" thickBot="1">
      <c r="A1529" s="338"/>
      <c r="B1529" s="321"/>
      <c r="C1529" s="321"/>
      <c r="D1529" s="322" t="s">
        <v>4328</v>
      </c>
      <c r="E1529" s="392" t="s">
        <v>4329</v>
      </c>
      <c r="F1529" s="345" t="s">
        <v>3862</v>
      </c>
      <c r="G1529" s="397" t="s">
        <v>4330</v>
      </c>
      <c r="H1529" s="322" t="s">
        <v>4331</v>
      </c>
      <c r="I1529" s="322" t="s">
        <v>4332</v>
      </c>
      <c r="J1529" s="323" t="s">
        <v>4333</v>
      </c>
    </row>
    <row r="1530" spans="1:10" ht="16" thickBot="1">
      <c r="A1530" s="338"/>
      <c r="B1530" s="321"/>
      <c r="C1530" s="321"/>
      <c r="D1530" s="322" t="s">
        <v>4334</v>
      </c>
      <c r="E1530" s="392" t="s">
        <v>4335</v>
      </c>
      <c r="F1530" s="345" t="s">
        <v>3862</v>
      </c>
      <c r="G1530" s="397" t="s">
        <v>4336</v>
      </c>
      <c r="H1530" s="322" t="s">
        <v>4337</v>
      </c>
      <c r="I1530" s="322" t="s">
        <v>4338</v>
      </c>
      <c r="J1530" s="323" t="s">
        <v>4339</v>
      </c>
    </row>
    <row r="1531" spans="1:10" ht="16" thickBot="1">
      <c r="A1531" s="338"/>
      <c r="B1531" s="321"/>
      <c r="C1531" s="321"/>
      <c r="D1531" s="322" t="s">
        <v>4340</v>
      </c>
      <c r="E1531" s="392" t="s">
        <v>4341</v>
      </c>
      <c r="F1531" s="345" t="s">
        <v>3862</v>
      </c>
      <c r="G1531" s="397" t="s">
        <v>4342</v>
      </c>
      <c r="H1531" s="322" t="s">
        <v>4343</v>
      </c>
      <c r="I1531" s="322" t="s">
        <v>4344</v>
      </c>
      <c r="J1531" s="323" t="s">
        <v>4345</v>
      </c>
    </row>
    <row r="1532" spans="1:10" ht="16" thickBot="1">
      <c r="A1532" s="338"/>
      <c r="B1532" s="321"/>
      <c r="C1532" s="321" t="s">
        <v>4346</v>
      </c>
      <c r="D1532" s="322" t="s">
        <v>4347</v>
      </c>
      <c r="E1532" s="392" t="s">
        <v>4348</v>
      </c>
      <c r="F1532" s="345" t="s">
        <v>3862</v>
      </c>
      <c r="G1532" s="397" t="s">
        <v>4349</v>
      </c>
      <c r="H1532" s="322" t="s">
        <v>4350</v>
      </c>
      <c r="I1532" s="322" t="s">
        <v>4351</v>
      </c>
      <c r="J1532" s="323" t="s">
        <v>4352</v>
      </c>
    </row>
    <row r="1533" spans="1:10" ht="16" thickBot="1">
      <c r="A1533" s="338"/>
      <c r="B1533" s="321"/>
      <c r="C1533" s="321"/>
      <c r="D1533" s="322" t="s">
        <v>4353</v>
      </c>
      <c r="E1533" s="392" t="s">
        <v>4354</v>
      </c>
      <c r="F1533" s="345" t="s">
        <v>3862</v>
      </c>
      <c r="G1533" s="397" t="s">
        <v>4355</v>
      </c>
      <c r="H1533" s="322" t="s">
        <v>4356</v>
      </c>
      <c r="I1533" s="322" t="s">
        <v>4357</v>
      </c>
      <c r="J1533" s="323" t="s">
        <v>4358</v>
      </c>
    </row>
    <row r="1534" spans="1:10" ht="16" thickBot="1">
      <c r="A1534" s="338"/>
      <c r="B1534" s="321"/>
      <c r="C1534" s="321"/>
      <c r="D1534" s="322" t="s">
        <v>4359</v>
      </c>
      <c r="E1534" s="392" t="s">
        <v>4360</v>
      </c>
      <c r="F1534" s="345" t="s">
        <v>3862</v>
      </c>
      <c r="G1534" s="397" t="s">
        <v>4361</v>
      </c>
      <c r="H1534" s="322" t="s">
        <v>4362</v>
      </c>
      <c r="I1534" s="322" t="s">
        <v>4363</v>
      </c>
      <c r="J1534" s="323" t="s">
        <v>4364</v>
      </c>
    </row>
    <row r="1535" spans="1:10" ht="16" thickBot="1">
      <c r="A1535" s="338"/>
      <c r="B1535" s="321"/>
      <c r="C1535" s="321"/>
      <c r="D1535" s="322" t="s">
        <v>4365</v>
      </c>
      <c r="E1535" s="392" t="s">
        <v>4366</v>
      </c>
      <c r="F1535" s="345" t="s">
        <v>3862</v>
      </c>
      <c r="G1535" s="397" t="s">
        <v>4367</v>
      </c>
      <c r="H1535" s="322" t="s">
        <v>4368</v>
      </c>
      <c r="I1535" s="322" t="s">
        <v>4369</v>
      </c>
      <c r="J1535" s="323" t="s">
        <v>4370</v>
      </c>
    </row>
    <row r="1536" spans="1:10" ht="16" thickBot="1">
      <c r="A1536" s="338"/>
      <c r="B1536" s="321"/>
      <c r="C1536" s="321"/>
      <c r="D1536" s="322" t="s">
        <v>4371</v>
      </c>
      <c r="E1536" s="392" t="s">
        <v>4372</v>
      </c>
      <c r="F1536" s="345" t="s">
        <v>3862</v>
      </c>
      <c r="G1536" s="397" t="s">
        <v>4373</v>
      </c>
      <c r="H1536" s="322" t="s">
        <v>4374</v>
      </c>
      <c r="I1536" s="322" t="s">
        <v>4375</v>
      </c>
      <c r="J1536" s="323" t="s">
        <v>4376</v>
      </c>
    </row>
    <row r="1537" spans="1:10" ht="16" thickBot="1">
      <c r="A1537" s="338"/>
      <c r="B1537" s="321"/>
      <c r="C1537" s="321" t="s">
        <v>4377</v>
      </c>
      <c r="D1537" s="324" t="s">
        <v>4378</v>
      </c>
      <c r="E1537" s="393" t="s">
        <v>4379</v>
      </c>
      <c r="F1537" s="345" t="s">
        <v>3862</v>
      </c>
      <c r="G1537" s="398" t="s">
        <v>4380</v>
      </c>
      <c r="H1537" s="324" t="s">
        <v>4381</v>
      </c>
      <c r="I1537" s="324" t="s">
        <v>4382</v>
      </c>
      <c r="J1537" s="325" t="s">
        <v>4383</v>
      </c>
    </row>
    <row r="1538" spans="1:10" ht="16" thickBot="1">
      <c r="A1538" s="338"/>
      <c r="B1538" s="321"/>
      <c r="C1538" s="321"/>
      <c r="D1538" s="324" t="s">
        <v>4384</v>
      </c>
      <c r="E1538" s="393" t="s">
        <v>4385</v>
      </c>
      <c r="F1538" s="345" t="s">
        <v>3862</v>
      </c>
      <c r="G1538" s="398" t="s">
        <v>4386</v>
      </c>
      <c r="H1538" s="324" t="s">
        <v>4387</v>
      </c>
      <c r="I1538" s="324" t="s">
        <v>4388</v>
      </c>
      <c r="J1538" s="325" t="s">
        <v>4389</v>
      </c>
    </row>
    <row r="1539" spans="1:10" ht="16" thickBot="1">
      <c r="A1539" s="338"/>
      <c r="B1539" s="321"/>
      <c r="C1539" s="321"/>
      <c r="D1539" s="324" t="s">
        <v>4390</v>
      </c>
      <c r="E1539" s="393" t="s">
        <v>4391</v>
      </c>
      <c r="F1539" s="345" t="s">
        <v>3862</v>
      </c>
      <c r="G1539" s="398" t="s">
        <v>4392</v>
      </c>
      <c r="H1539" s="324" t="s">
        <v>4393</v>
      </c>
      <c r="I1539" s="324" t="s">
        <v>4394</v>
      </c>
      <c r="J1539" s="325" t="s">
        <v>4395</v>
      </c>
    </row>
    <row r="1540" spans="1:10" ht="16" thickBot="1">
      <c r="A1540" s="338"/>
      <c r="B1540" s="321"/>
      <c r="C1540" s="321"/>
      <c r="D1540" s="324" t="s">
        <v>4396</v>
      </c>
      <c r="E1540" s="393" t="s">
        <v>4397</v>
      </c>
      <c r="F1540" s="345" t="s">
        <v>3862</v>
      </c>
      <c r="G1540" s="398" t="s">
        <v>4398</v>
      </c>
      <c r="H1540" s="324" t="s">
        <v>4399</v>
      </c>
      <c r="I1540" s="324" t="s">
        <v>4400</v>
      </c>
      <c r="J1540" s="325" t="s">
        <v>4401</v>
      </c>
    </row>
    <row r="1541" spans="1:10" ht="16" thickBot="1">
      <c r="A1541" s="338"/>
      <c r="B1541" s="321"/>
      <c r="C1541" s="321"/>
      <c r="D1541" s="324" t="s">
        <v>4402</v>
      </c>
      <c r="E1541" s="393" t="s">
        <v>4403</v>
      </c>
      <c r="F1541" s="345" t="s">
        <v>3888</v>
      </c>
      <c r="G1541" s="398" t="s">
        <v>4404</v>
      </c>
      <c r="H1541" s="324" t="s">
        <v>4405</v>
      </c>
      <c r="I1541" s="324" t="s">
        <v>4406</v>
      </c>
      <c r="J1541" s="325" t="s">
        <v>4407</v>
      </c>
    </row>
    <row r="1542" spans="1:10" ht="16" thickBot="1">
      <c r="A1542" s="338"/>
      <c r="B1542" s="321"/>
      <c r="C1542" s="321" t="s">
        <v>4408</v>
      </c>
      <c r="D1542" s="324" t="s">
        <v>4409</v>
      </c>
      <c r="E1542" s="393" t="s">
        <v>4410</v>
      </c>
      <c r="F1542" s="345" t="s">
        <v>3862</v>
      </c>
      <c r="G1542" s="398" t="s">
        <v>4411</v>
      </c>
      <c r="H1542" s="324" t="s">
        <v>4412</v>
      </c>
      <c r="I1542" s="324" t="s">
        <v>4413</v>
      </c>
      <c r="J1542" s="325" t="s">
        <v>4414</v>
      </c>
    </row>
    <row r="1543" spans="1:10" ht="16" thickBot="1">
      <c r="A1543" s="338"/>
      <c r="B1543" s="321"/>
      <c r="C1543" s="321"/>
      <c r="D1543" s="324" t="s">
        <v>4415</v>
      </c>
      <c r="E1543" s="393" t="s">
        <v>4416</v>
      </c>
      <c r="F1543" s="345" t="s">
        <v>3862</v>
      </c>
      <c r="G1543" s="398" t="s">
        <v>4417</v>
      </c>
      <c r="H1543" s="324" t="s">
        <v>4418</v>
      </c>
      <c r="I1543" s="324" t="s">
        <v>4419</v>
      </c>
      <c r="J1543" s="325" t="s">
        <v>4420</v>
      </c>
    </row>
    <row r="1544" spans="1:10" ht="16" thickBot="1">
      <c r="A1544" s="338"/>
      <c r="B1544" s="321"/>
      <c r="C1544" s="321"/>
      <c r="D1544" s="324" t="s">
        <v>4421</v>
      </c>
      <c r="E1544" s="393" t="s">
        <v>4422</v>
      </c>
      <c r="F1544" s="345" t="s">
        <v>3862</v>
      </c>
      <c r="G1544" s="398" t="s">
        <v>4423</v>
      </c>
      <c r="H1544" s="324" t="s">
        <v>4424</v>
      </c>
      <c r="I1544" s="324" t="s">
        <v>4425</v>
      </c>
      <c r="J1544" s="325" t="s">
        <v>4426</v>
      </c>
    </row>
    <row r="1545" spans="1:10" ht="16" thickBot="1">
      <c r="A1545" s="338"/>
      <c r="B1545" s="321"/>
      <c r="C1545" s="321"/>
      <c r="D1545" s="324" t="s">
        <v>4427</v>
      </c>
      <c r="E1545" s="393" t="s">
        <v>4428</v>
      </c>
      <c r="F1545" s="345" t="s">
        <v>3888</v>
      </c>
      <c r="G1545" s="398" t="s">
        <v>4429</v>
      </c>
      <c r="H1545" s="324" t="s">
        <v>4430</v>
      </c>
      <c r="I1545" s="324" t="s">
        <v>4431</v>
      </c>
      <c r="J1545" s="325" t="s">
        <v>4432</v>
      </c>
    </row>
    <row r="1546" spans="1:10" ht="16" thickBot="1">
      <c r="A1546" s="338"/>
      <c r="B1546" s="321"/>
      <c r="C1546" s="321"/>
      <c r="D1546" s="324" t="s">
        <v>4433</v>
      </c>
      <c r="E1546" s="393" t="s">
        <v>4434</v>
      </c>
      <c r="F1546" s="345" t="s">
        <v>3862</v>
      </c>
      <c r="G1546" s="398" t="s">
        <v>4435</v>
      </c>
      <c r="H1546" s="324" t="s">
        <v>4436</v>
      </c>
      <c r="I1546" s="324" t="s">
        <v>4437</v>
      </c>
      <c r="J1546" s="325" t="s">
        <v>4438</v>
      </c>
    </row>
    <row r="1547" spans="1:10" ht="16" thickBot="1">
      <c r="A1547" s="338"/>
      <c r="B1547" s="321"/>
      <c r="C1547" s="321" t="s">
        <v>4439</v>
      </c>
      <c r="D1547" s="324" t="s">
        <v>4440</v>
      </c>
      <c r="E1547" s="393" t="s">
        <v>4441</v>
      </c>
      <c r="F1547" s="345" t="s">
        <v>3862</v>
      </c>
      <c r="G1547" s="398" t="s">
        <v>4442</v>
      </c>
      <c r="H1547" s="324" t="s">
        <v>4443</v>
      </c>
      <c r="I1547" s="324" t="s">
        <v>4444</v>
      </c>
      <c r="J1547" s="325" t="s">
        <v>4445</v>
      </c>
    </row>
    <row r="1548" spans="1:10" ht="16" thickBot="1">
      <c r="A1548" s="338"/>
      <c r="B1548" s="321"/>
      <c r="C1548" s="321"/>
      <c r="D1548" s="324" t="s">
        <v>4446</v>
      </c>
      <c r="E1548" s="393" t="s">
        <v>4447</v>
      </c>
      <c r="F1548" s="345" t="s">
        <v>3862</v>
      </c>
      <c r="G1548" s="398" t="s">
        <v>2013</v>
      </c>
      <c r="H1548" s="324" t="s">
        <v>4448</v>
      </c>
      <c r="I1548" s="324" t="s">
        <v>4449</v>
      </c>
      <c r="J1548" s="325" t="s">
        <v>4450</v>
      </c>
    </row>
    <row r="1549" spans="1:10" ht="16" thickBot="1">
      <c r="A1549" s="338"/>
      <c r="B1549" s="321"/>
      <c r="C1549" s="321"/>
      <c r="D1549" s="324" t="s">
        <v>4451</v>
      </c>
      <c r="E1549" s="393" t="s">
        <v>4452</v>
      </c>
      <c r="F1549" s="345" t="s">
        <v>3862</v>
      </c>
      <c r="G1549" s="398" t="s">
        <v>4453</v>
      </c>
      <c r="H1549" s="324" t="s">
        <v>4454</v>
      </c>
      <c r="I1549" s="324" t="s">
        <v>4455</v>
      </c>
      <c r="J1549" s="325" t="s">
        <v>4456</v>
      </c>
    </row>
    <row r="1550" spans="1:10" ht="16" thickBot="1">
      <c r="A1550" s="338"/>
      <c r="B1550" s="321"/>
      <c r="C1550" s="321"/>
      <c r="D1550" s="324" t="s">
        <v>1772</v>
      </c>
      <c r="E1550" s="393" t="s">
        <v>4457</v>
      </c>
      <c r="F1550" s="345" t="s">
        <v>3862</v>
      </c>
      <c r="G1550" s="398" t="s">
        <v>4458</v>
      </c>
      <c r="H1550" s="324" t="s">
        <v>4459</v>
      </c>
      <c r="I1550" s="324" t="s">
        <v>4460</v>
      </c>
      <c r="J1550" s="325" t="s">
        <v>4461</v>
      </c>
    </row>
    <row r="1551" spans="1:10" ht="16" thickBot="1">
      <c r="A1551" s="338"/>
      <c r="B1551" s="321"/>
      <c r="C1551" s="321"/>
      <c r="D1551" s="324" t="s">
        <v>4462</v>
      </c>
      <c r="E1551" s="393" t="s">
        <v>4463</v>
      </c>
      <c r="F1551" s="345" t="s">
        <v>3862</v>
      </c>
      <c r="G1551" s="398" t="s">
        <v>4464</v>
      </c>
      <c r="H1551" s="324" t="s">
        <v>4465</v>
      </c>
      <c r="I1551" s="324" t="s">
        <v>4466</v>
      </c>
      <c r="J1551" s="325" t="s">
        <v>4467</v>
      </c>
    </row>
    <row r="1552" spans="1:10" ht="31.5" thickBot="1">
      <c r="A1552" s="338"/>
      <c r="B1552" s="321" t="s">
        <v>4468</v>
      </c>
      <c r="C1552" s="321" t="s">
        <v>4469</v>
      </c>
      <c r="D1552" s="324" t="s">
        <v>4470</v>
      </c>
      <c r="E1552" s="394" t="s">
        <v>4471</v>
      </c>
      <c r="F1552" s="345" t="s">
        <v>3862</v>
      </c>
      <c r="G1552" s="399" t="s">
        <v>4472</v>
      </c>
      <c r="H1552" s="326" t="s">
        <v>4473</v>
      </c>
      <c r="I1552" s="326" t="s">
        <v>4474</v>
      </c>
      <c r="J1552" s="327" t="s">
        <v>4475</v>
      </c>
    </row>
    <row r="1553" spans="1:10" ht="47" thickBot="1">
      <c r="A1553" s="338"/>
      <c r="B1553" s="321"/>
      <c r="C1553" s="321"/>
      <c r="D1553" s="324" t="s">
        <v>4476</v>
      </c>
      <c r="E1553" s="394" t="s">
        <v>4477</v>
      </c>
      <c r="F1553" s="345" t="s">
        <v>3862</v>
      </c>
      <c r="G1553" s="399" t="s">
        <v>4478</v>
      </c>
      <c r="H1553" s="326" t="s">
        <v>4479</v>
      </c>
      <c r="I1553" s="326" t="s">
        <v>4480</v>
      </c>
      <c r="J1553" s="327" t="s">
        <v>4481</v>
      </c>
    </row>
    <row r="1554" spans="1:10" ht="31.5" thickBot="1">
      <c r="A1554" s="338"/>
      <c r="B1554" s="321"/>
      <c r="C1554" s="321"/>
      <c r="D1554" s="324" t="s">
        <v>4482</v>
      </c>
      <c r="E1554" s="394" t="s">
        <v>4483</v>
      </c>
      <c r="F1554" s="345" t="s">
        <v>3862</v>
      </c>
      <c r="G1554" s="399" t="s">
        <v>4484</v>
      </c>
      <c r="H1554" s="326" t="s">
        <v>4485</v>
      </c>
      <c r="I1554" s="326" t="s">
        <v>4486</v>
      </c>
      <c r="J1554" s="327" t="s">
        <v>4487</v>
      </c>
    </row>
    <row r="1555" spans="1:10" ht="62.5" thickBot="1">
      <c r="A1555" s="338"/>
      <c r="B1555" s="321"/>
      <c r="C1555" s="321"/>
      <c r="D1555" s="324" t="s">
        <v>2154</v>
      </c>
      <c r="E1555" s="394" t="s">
        <v>4488</v>
      </c>
      <c r="F1555" s="345" t="s">
        <v>3862</v>
      </c>
      <c r="G1555" s="399" t="s">
        <v>4043</v>
      </c>
      <c r="H1555" s="326" t="s">
        <v>4489</v>
      </c>
      <c r="I1555" s="326" t="s">
        <v>4490</v>
      </c>
      <c r="J1555" s="327" t="s">
        <v>4491</v>
      </c>
    </row>
    <row r="1556" spans="1:10" ht="31.5" thickBot="1">
      <c r="A1556" s="338"/>
      <c r="B1556" s="321"/>
      <c r="C1556" s="321"/>
      <c r="D1556" s="324" t="s">
        <v>4492</v>
      </c>
      <c r="E1556" s="394" t="s">
        <v>4493</v>
      </c>
      <c r="F1556" s="403" t="s">
        <v>4494</v>
      </c>
      <c r="G1556" s="399" t="s">
        <v>4495</v>
      </c>
      <c r="H1556" s="326" t="s">
        <v>4496</v>
      </c>
      <c r="I1556" s="326" t="s">
        <v>4497</v>
      </c>
      <c r="J1556" s="327" t="s">
        <v>4498</v>
      </c>
    </row>
    <row r="1557" spans="1:10" ht="15.5" thickBot="1">
      <c r="A1557" s="338"/>
      <c r="B1557" s="321"/>
      <c r="C1557" s="321" t="s">
        <v>4499</v>
      </c>
      <c r="D1557" s="329" t="s">
        <v>4500</v>
      </c>
      <c r="E1557" s="395" t="s">
        <v>4501</v>
      </c>
      <c r="F1557" s="404" t="s">
        <v>3862</v>
      </c>
      <c r="G1557" s="400" t="s">
        <v>4502</v>
      </c>
      <c r="H1557" s="329" t="s">
        <v>4503</v>
      </c>
      <c r="I1557" s="329" t="s">
        <v>4504</v>
      </c>
      <c r="J1557" s="330" t="s">
        <v>4505</v>
      </c>
    </row>
    <row r="1558" spans="1:10" ht="15.5" thickBot="1">
      <c r="A1558" s="338"/>
      <c r="B1558" s="321"/>
      <c r="C1558" s="321"/>
      <c r="D1558" s="329" t="s">
        <v>4506</v>
      </c>
      <c r="E1558" s="395" t="s">
        <v>4507</v>
      </c>
      <c r="F1558" s="404" t="s">
        <v>4494</v>
      </c>
      <c r="G1558" s="400" t="s">
        <v>4508</v>
      </c>
      <c r="H1558" s="329" t="s">
        <v>4509</v>
      </c>
      <c r="I1558" s="329" t="s">
        <v>4510</v>
      </c>
      <c r="J1558" s="330" t="s">
        <v>4511</v>
      </c>
    </row>
    <row r="1559" spans="1:10" ht="15.5" thickBot="1">
      <c r="A1559" s="338"/>
      <c r="B1559" s="321"/>
      <c r="C1559" s="321"/>
      <c r="D1559" s="329" t="s">
        <v>4512</v>
      </c>
      <c r="E1559" s="395" t="s">
        <v>4513</v>
      </c>
      <c r="F1559" s="404" t="s">
        <v>3862</v>
      </c>
      <c r="G1559" s="400" t="s">
        <v>4514</v>
      </c>
      <c r="H1559" s="329" t="s">
        <v>4515</v>
      </c>
      <c r="I1559" s="329" t="s">
        <v>4516</v>
      </c>
      <c r="J1559" s="330" t="s">
        <v>4517</v>
      </c>
    </row>
    <row r="1560" spans="1:10" ht="15.5" thickBot="1">
      <c r="A1560" s="338"/>
      <c r="B1560" s="321"/>
      <c r="C1560" s="321"/>
      <c r="D1560" s="329" t="s">
        <v>4518</v>
      </c>
      <c r="E1560" s="395" t="s">
        <v>4519</v>
      </c>
      <c r="F1560" s="404" t="s">
        <v>3862</v>
      </c>
      <c r="G1560" s="400" t="s">
        <v>4520</v>
      </c>
      <c r="H1560" s="329" t="s">
        <v>4521</v>
      </c>
      <c r="I1560" s="329" t="s">
        <v>4522</v>
      </c>
      <c r="J1560" s="330" t="s">
        <v>4523</v>
      </c>
    </row>
    <row r="1561" spans="1:10" ht="15.5" thickBot="1">
      <c r="A1561" s="338"/>
      <c r="B1561" s="321"/>
      <c r="C1561" s="321"/>
      <c r="D1561" s="329" t="s">
        <v>4524</v>
      </c>
      <c r="E1561" s="395" t="s">
        <v>4525</v>
      </c>
      <c r="F1561" s="404" t="s">
        <v>4494</v>
      </c>
      <c r="G1561" s="400" t="s">
        <v>4526</v>
      </c>
      <c r="H1561" s="329" t="s">
        <v>4527</v>
      </c>
      <c r="I1561" s="329" t="s">
        <v>4528</v>
      </c>
      <c r="J1561" s="330" t="s">
        <v>4529</v>
      </c>
    </row>
    <row r="1562" spans="1:10" ht="47" thickBot="1">
      <c r="A1562" s="338"/>
      <c r="B1562" s="321"/>
      <c r="C1562" s="321" t="s">
        <v>4530</v>
      </c>
      <c r="D1562" s="324" t="s">
        <v>4531</v>
      </c>
      <c r="E1562" s="394" t="s">
        <v>4532</v>
      </c>
      <c r="F1562" s="403" t="s">
        <v>3862</v>
      </c>
      <c r="G1562" s="399" t="s">
        <v>4533</v>
      </c>
      <c r="H1562" s="326" t="s">
        <v>4534</v>
      </c>
      <c r="I1562" s="326" t="s">
        <v>4535</v>
      </c>
      <c r="J1562" s="327" t="s">
        <v>4536</v>
      </c>
    </row>
    <row r="1563" spans="1:10" ht="31.5" thickBot="1">
      <c r="A1563" s="338"/>
      <c r="B1563" s="321"/>
      <c r="C1563" s="321"/>
      <c r="D1563" s="324" t="s">
        <v>4537</v>
      </c>
      <c r="E1563" s="394" t="s">
        <v>4538</v>
      </c>
      <c r="F1563" s="403" t="s">
        <v>3862</v>
      </c>
      <c r="G1563" s="399" t="s">
        <v>4539</v>
      </c>
      <c r="H1563" s="326" t="s">
        <v>4540</v>
      </c>
      <c r="I1563" s="326" t="s">
        <v>4541</v>
      </c>
      <c r="J1563" s="327" t="s">
        <v>4542</v>
      </c>
    </row>
    <row r="1564" spans="1:10" ht="31.5" thickBot="1">
      <c r="A1564" s="338"/>
      <c r="B1564" s="321"/>
      <c r="C1564" s="321"/>
      <c r="D1564" s="324" t="s">
        <v>4543</v>
      </c>
      <c r="E1564" s="394" t="s">
        <v>4544</v>
      </c>
      <c r="F1564" s="403" t="s">
        <v>3862</v>
      </c>
      <c r="G1564" s="399" t="s">
        <v>4545</v>
      </c>
      <c r="H1564" s="326" t="s">
        <v>4546</v>
      </c>
      <c r="I1564" s="326" t="s">
        <v>4547</v>
      </c>
      <c r="J1564" s="327" t="s">
        <v>4548</v>
      </c>
    </row>
    <row r="1565" spans="1:10" ht="31.5" thickBot="1">
      <c r="A1565" s="338"/>
      <c r="B1565" s="321"/>
      <c r="C1565" s="321"/>
      <c r="D1565" s="324" t="s">
        <v>4549</v>
      </c>
      <c r="E1565" s="394" t="s">
        <v>4550</v>
      </c>
      <c r="F1565" s="403" t="s">
        <v>3862</v>
      </c>
      <c r="G1565" s="399" t="s">
        <v>4551</v>
      </c>
      <c r="H1565" s="326" t="s">
        <v>4552</v>
      </c>
      <c r="I1565" s="326" t="s">
        <v>4553</v>
      </c>
      <c r="J1565" s="327" t="s">
        <v>4554</v>
      </c>
    </row>
    <row r="1566" spans="1:10" ht="31.5" thickBot="1">
      <c r="A1566" s="338"/>
      <c r="B1566" s="321"/>
      <c r="C1566" s="321"/>
      <c r="D1566" s="324" t="s">
        <v>4555</v>
      </c>
      <c r="E1566" s="394" t="s">
        <v>4556</v>
      </c>
      <c r="F1566" s="403" t="s">
        <v>3862</v>
      </c>
      <c r="G1566" s="399" t="s">
        <v>4557</v>
      </c>
      <c r="H1566" s="326" t="s">
        <v>4558</v>
      </c>
      <c r="I1566" s="326" t="s">
        <v>4559</v>
      </c>
      <c r="J1566" s="327" t="s">
        <v>4560</v>
      </c>
    </row>
    <row r="1567" spans="1:10" ht="60.5" thickBot="1">
      <c r="A1567" s="338"/>
      <c r="B1567" s="321"/>
      <c r="C1567" s="321" t="s">
        <v>4561</v>
      </c>
      <c r="D1567" s="331" t="s">
        <v>4562</v>
      </c>
      <c r="E1567" s="396" t="s">
        <v>4563</v>
      </c>
      <c r="F1567" s="405" t="s">
        <v>4494</v>
      </c>
      <c r="G1567" s="401" t="s">
        <v>4564</v>
      </c>
      <c r="H1567" s="331" t="s">
        <v>4552</v>
      </c>
      <c r="I1567" s="331" t="s">
        <v>4565</v>
      </c>
      <c r="J1567" s="332" t="s">
        <v>4566</v>
      </c>
    </row>
    <row r="1568" spans="1:10" ht="45.5" thickBot="1">
      <c r="A1568" s="338"/>
      <c r="B1568" s="321"/>
      <c r="C1568" s="321"/>
      <c r="D1568" s="329" t="s">
        <v>4567</v>
      </c>
      <c r="E1568" s="396" t="s">
        <v>4568</v>
      </c>
      <c r="F1568" s="405" t="s">
        <v>4494</v>
      </c>
      <c r="G1568" s="401" t="s">
        <v>4569</v>
      </c>
      <c r="H1568" s="331" t="s">
        <v>2436</v>
      </c>
      <c r="I1568" s="331" t="s">
        <v>4570</v>
      </c>
      <c r="J1568" s="332" t="s">
        <v>4571</v>
      </c>
    </row>
    <row r="1569" spans="1:10" ht="30.5" thickBot="1">
      <c r="A1569" s="338"/>
      <c r="B1569" s="321"/>
      <c r="C1569" s="321"/>
      <c r="D1569" s="329" t="s">
        <v>4572</v>
      </c>
      <c r="E1569" s="396" t="s">
        <v>4573</v>
      </c>
      <c r="F1569" s="405" t="s">
        <v>4494</v>
      </c>
      <c r="G1569" s="401" t="s">
        <v>4574</v>
      </c>
      <c r="H1569" s="331" t="s">
        <v>4575</v>
      </c>
      <c r="I1569" s="331" t="s">
        <v>4576</v>
      </c>
      <c r="J1569" s="332" t="s">
        <v>4577</v>
      </c>
    </row>
    <row r="1570" spans="1:10" ht="30.5" thickBot="1">
      <c r="A1570" s="338"/>
      <c r="B1570" s="321"/>
      <c r="C1570" s="321"/>
      <c r="D1570" s="329" t="s">
        <v>4578</v>
      </c>
      <c r="E1570" s="396" t="s">
        <v>4579</v>
      </c>
      <c r="F1570" s="405" t="s">
        <v>4494</v>
      </c>
      <c r="G1570" s="401" t="s">
        <v>4580</v>
      </c>
      <c r="H1570" s="331" t="s">
        <v>4581</v>
      </c>
      <c r="I1570" s="331" t="s">
        <v>4582</v>
      </c>
      <c r="J1570" s="332" t="s">
        <v>4583</v>
      </c>
    </row>
    <row r="1571" spans="1:10" ht="30.5" thickBot="1">
      <c r="A1571" s="338"/>
      <c r="B1571" s="321"/>
      <c r="C1571" s="321"/>
      <c r="D1571" s="329" t="s">
        <v>4584</v>
      </c>
      <c r="E1571" s="396" t="s">
        <v>4585</v>
      </c>
      <c r="F1571" s="405" t="s">
        <v>4494</v>
      </c>
      <c r="G1571" s="401" t="s">
        <v>4586</v>
      </c>
      <c r="H1571" s="331" t="s">
        <v>4587</v>
      </c>
      <c r="I1571" s="331" t="s">
        <v>4588</v>
      </c>
      <c r="J1571" s="332" t="s">
        <v>4589</v>
      </c>
    </row>
    <row r="1572" spans="1:10" ht="15.5" thickBot="1">
      <c r="A1572" s="338"/>
      <c r="B1572" s="321" t="s">
        <v>4590</v>
      </c>
      <c r="C1572" s="321" t="s">
        <v>4591</v>
      </c>
      <c r="D1572" s="329" t="s">
        <v>2588</v>
      </c>
      <c r="E1572" s="395" t="s">
        <v>4592</v>
      </c>
      <c r="F1572" s="404" t="s">
        <v>4494</v>
      </c>
      <c r="G1572" s="400" t="s">
        <v>2588</v>
      </c>
      <c r="H1572" s="329" t="s">
        <v>4593</v>
      </c>
      <c r="I1572" s="329" t="s">
        <v>4594</v>
      </c>
      <c r="J1572" s="330" t="s">
        <v>4595</v>
      </c>
    </row>
    <row r="1573" spans="1:10" ht="15.5" thickBot="1">
      <c r="A1573" s="338"/>
      <c r="B1573" s="321"/>
      <c r="C1573" s="321"/>
      <c r="D1573" s="329" t="s">
        <v>4596</v>
      </c>
      <c r="E1573" s="395" t="s">
        <v>4597</v>
      </c>
      <c r="F1573" s="404" t="s">
        <v>4598</v>
      </c>
      <c r="G1573" s="400" t="s">
        <v>4599</v>
      </c>
      <c r="H1573" s="329" t="s">
        <v>3933</v>
      </c>
      <c r="I1573" s="329" t="s">
        <v>4600</v>
      </c>
      <c r="J1573" s="330" t="s">
        <v>4601</v>
      </c>
    </row>
    <row r="1574" spans="1:10" ht="15.5" thickBot="1">
      <c r="A1574" s="338"/>
      <c r="B1574" s="321"/>
      <c r="C1574" s="321"/>
      <c r="D1574" s="329" t="s">
        <v>4602</v>
      </c>
      <c r="E1574" s="395" t="s">
        <v>4603</v>
      </c>
      <c r="F1574" s="404" t="s">
        <v>4494</v>
      </c>
      <c r="G1574" s="400" t="s">
        <v>4604</v>
      </c>
      <c r="H1574" s="329" t="s">
        <v>4605</v>
      </c>
      <c r="I1574" s="329" t="s">
        <v>4606</v>
      </c>
      <c r="J1574" s="330" t="s">
        <v>4607</v>
      </c>
    </row>
    <row r="1575" spans="1:10" ht="15.5" thickBot="1">
      <c r="A1575" s="338"/>
      <c r="B1575" s="321"/>
      <c r="C1575" s="321"/>
      <c r="D1575" s="329" t="s">
        <v>4608</v>
      </c>
      <c r="E1575" s="395" t="s">
        <v>4609</v>
      </c>
      <c r="F1575" s="404" t="s">
        <v>3862</v>
      </c>
      <c r="G1575" s="400" t="s">
        <v>4610</v>
      </c>
      <c r="H1575" s="329" t="s">
        <v>4611</v>
      </c>
      <c r="I1575" s="329" t="s">
        <v>4612</v>
      </c>
      <c r="J1575" s="330" t="s">
        <v>4613</v>
      </c>
    </row>
    <row r="1576" spans="1:10" ht="15.5" thickBot="1">
      <c r="A1576" s="338"/>
      <c r="B1576" s="321"/>
      <c r="C1576" s="321"/>
      <c r="D1576" s="329" t="s">
        <v>4614</v>
      </c>
      <c r="E1576" s="395" t="s">
        <v>4615</v>
      </c>
      <c r="F1576" s="404" t="s">
        <v>3862</v>
      </c>
      <c r="G1576" s="400" t="s">
        <v>4616</v>
      </c>
      <c r="H1576" s="329" t="s">
        <v>4617</v>
      </c>
      <c r="I1576" s="329" t="s">
        <v>4618</v>
      </c>
      <c r="J1576" s="330" t="s">
        <v>4619</v>
      </c>
    </row>
    <row r="1577" spans="1:10" ht="16" thickBot="1">
      <c r="A1577" s="338"/>
      <c r="B1577" s="321"/>
      <c r="C1577" s="321" t="s">
        <v>4620</v>
      </c>
      <c r="D1577" s="324" t="s">
        <v>4621</v>
      </c>
      <c r="E1577" s="393" t="s">
        <v>4622</v>
      </c>
      <c r="F1577" s="345" t="s">
        <v>3862</v>
      </c>
      <c r="G1577" s="398" t="s">
        <v>4623</v>
      </c>
      <c r="H1577" s="324" t="s">
        <v>3989</v>
      </c>
      <c r="I1577" s="324" t="s">
        <v>4624</v>
      </c>
      <c r="J1577" s="325" t="s">
        <v>4625</v>
      </c>
    </row>
    <row r="1578" spans="1:10" ht="16" thickBot="1">
      <c r="A1578" s="338"/>
      <c r="B1578" s="321"/>
      <c r="C1578" s="321"/>
      <c r="D1578" s="324" t="s">
        <v>4626</v>
      </c>
      <c r="E1578" s="393" t="s">
        <v>4627</v>
      </c>
      <c r="F1578" s="345" t="s">
        <v>3862</v>
      </c>
      <c r="G1578" s="398" t="s">
        <v>4188</v>
      </c>
      <c r="H1578" s="324" t="s">
        <v>4628</v>
      </c>
      <c r="I1578" s="324" t="s">
        <v>4629</v>
      </c>
      <c r="J1578" s="325" t="s">
        <v>4630</v>
      </c>
    </row>
    <row r="1579" spans="1:10" ht="16" thickBot="1">
      <c r="A1579" s="338"/>
      <c r="B1579" s="321"/>
      <c r="C1579" s="321"/>
      <c r="D1579" s="324" t="s">
        <v>4631</v>
      </c>
      <c r="E1579" s="393" t="s">
        <v>4632</v>
      </c>
      <c r="F1579" s="345" t="s">
        <v>3862</v>
      </c>
      <c r="G1579" s="398" t="s">
        <v>4633</v>
      </c>
      <c r="H1579" s="324" t="s">
        <v>4634</v>
      </c>
      <c r="I1579" s="324" t="s">
        <v>4635</v>
      </c>
      <c r="J1579" s="325" t="s">
        <v>4636</v>
      </c>
    </row>
    <row r="1580" spans="1:10" ht="16" thickBot="1">
      <c r="A1580" s="338"/>
      <c r="B1580" s="321"/>
      <c r="C1580" s="321"/>
      <c r="D1580" s="324" t="s">
        <v>4637</v>
      </c>
      <c r="E1580" s="393" t="s">
        <v>4638</v>
      </c>
      <c r="F1580" s="345" t="s">
        <v>3862</v>
      </c>
      <c r="G1580" s="398" t="s">
        <v>4639</v>
      </c>
      <c r="H1580" s="324" t="s">
        <v>4640</v>
      </c>
      <c r="I1580" s="324" t="s">
        <v>4641</v>
      </c>
      <c r="J1580" s="325" t="s">
        <v>4642</v>
      </c>
    </row>
    <row r="1581" spans="1:10" ht="16" thickBot="1">
      <c r="A1581" s="338"/>
      <c r="B1581" s="321"/>
      <c r="C1581" s="321"/>
      <c r="D1581" s="324" t="s">
        <v>4643</v>
      </c>
      <c r="E1581" s="393" t="s">
        <v>4644</v>
      </c>
      <c r="F1581" s="345" t="s">
        <v>3862</v>
      </c>
      <c r="G1581" s="398" t="s">
        <v>4645</v>
      </c>
      <c r="H1581" s="324" t="s">
        <v>4646</v>
      </c>
      <c r="I1581" s="324" t="s">
        <v>4647</v>
      </c>
      <c r="J1581" s="325" t="s">
        <v>4648</v>
      </c>
    </row>
    <row r="1582" spans="1:10" ht="16" thickBot="1">
      <c r="A1582" s="338"/>
      <c r="B1582" s="321"/>
      <c r="C1582" s="340" t="s">
        <v>4649</v>
      </c>
      <c r="D1582" s="324"/>
      <c r="E1582" s="393"/>
      <c r="F1582" s="345" t="s">
        <v>3862</v>
      </c>
      <c r="G1582" s="398"/>
      <c r="H1582" s="324"/>
      <c r="I1582" s="324"/>
      <c r="J1582" s="325"/>
    </row>
    <row r="1583" spans="1:10" ht="16" thickBot="1">
      <c r="A1583" s="338"/>
      <c r="B1583" s="321"/>
      <c r="C1583" s="341"/>
      <c r="D1583" s="324"/>
      <c r="E1583" s="393"/>
      <c r="F1583" s="345" t="s">
        <v>3862</v>
      </c>
      <c r="G1583" s="398"/>
      <c r="H1583" s="324"/>
      <c r="I1583" s="324"/>
      <c r="J1583" s="325"/>
    </row>
    <row r="1584" spans="1:10" ht="16" thickBot="1">
      <c r="A1584" s="338"/>
      <c r="B1584" s="321"/>
      <c r="C1584" s="341"/>
      <c r="D1584" s="324"/>
      <c r="E1584" s="393"/>
      <c r="F1584" s="345" t="s">
        <v>3862</v>
      </c>
      <c r="G1584" s="398"/>
      <c r="H1584" s="324"/>
      <c r="I1584" s="324"/>
      <c r="J1584" s="325"/>
    </row>
    <row r="1585" spans="1:10" ht="16" thickBot="1">
      <c r="A1585" s="338"/>
      <c r="B1585" s="321"/>
      <c r="C1585" s="341"/>
      <c r="D1585" s="324"/>
      <c r="E1585" s="393"/>
      <c r="F1585" s="345" t="s">
        <v>3862</v>
      </c>
      <c r="G1585" s="398"/>
      <c r="H1585" s="324"/>
      <c r="I1585" s="324"/>
      <c r="J1585" s="325"/>
    </row>
    <row r="1586" spans="1:10" ht="16" thickBot="1">
      <c r="A1586" s="338"/>
      <c r="B1586" s="321"/>
      <c r="C1586" s="342"/>
      <c r="D1586" s="326"/>
      <c r="E1586" s="394"/>
      <c r="F1586" s="345" t="s">
        <v>3862</v>
      </c>
      <c r="G1586" s="399"/>
      <c r="H1586" s="326"/>
      <c r="I1586" s="326"/>
      <c r="J1586" s="327"/>
    </row>
    <row r="1587" spans="1:10" ht="16" thickBot="1">
      <c r="A1587" s="338"/>
      <c r="B1587" s="321"/>
      <c r="C1587" s="340" t="s">
        <v>4650</v>
      </c>
      <c r="D1587" s="326"/>
      <c r="E1587" s="394"/>
      <c r="F1587" s="345" t="s">
        <v>3862</v>
      </c>
      <c r="G1587" s="399"/>
      <c r="H1587" s="326"/>
      <c r="I1587" s="326"/>
      <c r="J1587" s="327"/>
    </row>
    <row r="1588" spans="1:10" ht="16" thickBot="1">
      <c r="A1588" s="338"/>
      <c r="B1588" s="321"/>
      <c r="C1588" s="341"/>
      <c r="D1588" s="326"/>
      <c r="E1588" s="394"/>
      <c r="F1588" s="345" t="s">
        <v>3862</v>
      </c>
      <c r="G1588" s="399"/>
      <c r="H1588" s="326"/>
      <c r="I1588" s="326"/>
      <c r="J1588" s="327"/>
    </row>
    <row r="1589" spans="1:10" ht="16" thickBot="1">
      <c r="A1589" s="338"/>
      <c r="B1589" s="321"/>
      <c r="C1589" s="341"/>
      <c r="D1589" s="326"/>
      <c r="E1589" s="394"/>
      <c r="F1589" s="345" t="s">
        <v>3862</v>
      </c>
      <c r="G1589" s="399"/>
      <c r="H1589" s="326"/>
      <c r="I1589" s="326"/>
      <c r="J1589" s="327"/>
    </row>
    <row r="1590" spans="1:10" ht="16" thickBot="1">
      <c r="A1590" s="338"/>
      <c r="B1590" s="321"/>
      <c r="C1590" s="341"/>
      <c r="D1590" s="326"/>
      <c r="E1590" s="394"/>
      <c r="F1590" s="345" t="s">
        <v>3862</v>
      </c>
      <c r="G1590" s="399"/>
      <c r="H1590" s="326"/>
      <c r="I1590" s="326"/>
      <c r="J1590" s="327"/>
    </row>
    <row r="1591" spans="1:10" ht="16" thickBot="1">
      <c r="A1591" s="338"/>
      <c r="B1591" s="321"/>
      <c r="C1591" s="342"/>
      <c r="D1591" s="326"/>
      <c r="E1591" s="394"/>
      <c r="F1591" s="345" t="s">
        <v>3862</v>
      </c>
      <c r="G1591" s="399"/>
      <c r="H1591" s="326"/>
      <c r="I1591" s="326"/>
      <c r="J1591" s="327"/>
    </row>
    <row r="1592" spans="1:10" ht="16" thickBot="1">
      <c r="A1592" s="338"/>
      <c r="B1592" s="321"/>
      <c r="C1592" s="340" t="s">
        <v>4651</v>
      </c>
      <c r="D1592" s="326"/>
      <c r="E1592" s="394"/>
      <c r="F1592" s="345" t="s">
        <v>3862</v>
      </c>
      <c r="G1592" s="399"/>
      <c r="H1592" s="326"/>
      <c r="I1592" s="326"/>
      <c r="J1592" s="327"/>
    </row>
    <row r="1593" spans="1:10" ht="16" thickBot="1">
      <c r="A1593" s="338"/>
      <c r="B1593" s="321"/>
      <c r="C1593" s="341"/>
      <c r="D1593" s="326"/>
      <c r="E1593" s="394"/>
      <c r="F1593" s="345" t="s">
        <v>3862</v>
      </c>
      <c r="G1593" s="399"/>
      <c r="H1593" s="326"/>
      <c r="I1593" s="326"/>
      <c r="J1593" s="327"/>
    </row>
    <row r="1594" spans="1:10" ht="16" thickBot="1">
      <c r="A1594" s="338"/>
      <c r="B1594" s="321"/>
      <c r="C1594" s="341"/>
      <c r="D1594" s="326"/>
      <c r="E1594" s="394"/>
      <c r="F1594" s="345" t="s">
        <v>3862</v>
      </c>
      <c r="G1594" s="399"/>
      <c r="H1594" s="326"/>
      <c r="I1594" s="326"/>
      <c r="J1594" s="327"/>
    </row>
    <row r="1595" spans="1:10" ht="16" thickBot="1">
      <c r="A1595" s="338"/>
      <c r="B1595" s="321"/>
      <c r="C1595" s="341"/>
      <c r="D1595" s="326"/>
      <c r="E1595" s="394"/>
      <c r="F1595" s="345" t="s">
        <v>3862</v>
      </c>
      <c r="G1595" s="399"/>
      <c r="H1595" s="326"/>
      <c r="I1595" s="326"/>
      <c r="J1595" s="327"/>
    </row>
    <row r="1596" spans="1:10" ht="16" thickBot="1">
      <c r="A1596" s="338"/>
      <c r="B1596" s="321"/>
      <c r="C1596" s="342"/>
      <c r="D1596" s="326"/>
      <c r="E1596" s="394"/>
      <c r="F1596" s="345" t="s">
        <v>3862</v>
      </c>
      <c r="G1596" s="399"/>
      <c r="H1596" s="326"/>
      <c r="I1596" s="326"/>
      <c r="J1596" s="327"/>
    </row>
    <row r="1597" spans="1:10" ht="30.5" thickBot="1">
      <c r="A1597" s="338"/>
      <c r="B1597" s="321" t="s">
        <v>4652</v>
      </c>
      <c r="C1597" s="321" t="s">
        <v>4653</v>
      </c>
      <c r="D1597" s="331" t="s">
        <v>4654</v>
      </c>
      <c r="E1597" s="396" t="s">
        <v>4655</v>
      </c>
      <c r="F1597" s="405" t="s">
        <v>3862</v>
      </c>
      <c r="G1597" s="401" t="s">
        <v>359</v>
      </c>
      <c r="H1597" s="331" t="s">
        <v>4656</v>
      </c>
      <c r="I1597" s="331" t="s">
        <v>4657</v>
      </c>
      <c r="J1597" s="332" t="s">
        <v>4658</v>
      </c>
    </row>
    <row r="1598" spans="1:10" ht="30.5" thickBot="1">
      <c r="A1598" s="338"/>
      <c r="B1598" s="321"/>
      <c r="C1598" s="321"/>
      <c r="D1598" s="329" t="s">
        <v>4659</v>
      </c>
      <c r="E1598" s="395" t="s">
        <v>4660</v>
      </c>
      <c r="F1598" s="405" t="s">
        <v>4494</v>
      </c>
      <c r="G1598" s="401" t="s">
        <v>4661</v>
      </c>
      <c r="H1598" s="331" t="s">
        <v>4662</v>
      </c>
      <c r="I1598" s="331" t="s">
        <v>4663</v>
      </c>
      <c r="J1598" s="332" t="s">
        <v>4664</v>
      </c>
    </row>
    <row r="1599" spans="1:10" ht="45.5" thickBot="1">
      <c r="A1599" s="338"/>
      <c r="B1599" s="321"/>
      <c r="C1599" s="321"/>
      <c r="D1599" s="329" t="s">
        <v>4665</v>
      </c>
      <c r="E1599" s="396" t="s">
        <v>4666</v>
      </c>
      <c r="F1599" s="405" t="s">
        <v>3862</v>
      </c>
      <c r="G1599" s="401" t="s">
        <v>4667</v>
      </c>
      <c r="H1599" s="331" t="s">
        <v>4668</v>
      </c>
      <c r="I1599" s="331" t="s">
        <v>4669</v>
      </c>
      <c r="J1599" s="332" t="s">
        <v>4670</v>
      </c>
    </row>
    <row r="1600" spans="1:10" ht="30.5" thickBot="1">
      <c r="A1600" s="338"/>
      <c r="B1600" s="321"/>
      <c r="C1600" s="321"/>
      <c r="D1600" s="329" t="s">
        <v>2154</v>
      </c>
      <c r="E1600" s="396" t="s">
        <v>4671</v>
      </c>
      <c r="F1600" s="405" t="s">
        <v>4598</v>
      </c>
      <c r="G1600" s="401" t="s">
        <v>4188</v>
      </c>
      <c r="H1600" s="331" t="s">
        <v>4672</v>
      </c>
      <c r="I1600" s="331" t="s">
        <v>4673</v>
      </c>
      <c r="J1600" s="332" t="s">
        <v>4674</v>
      </c>
    </row>
    <row r="1601" spans="1:10" ht="45.5" thickBot="1">
      <c r="A1601" s="338"/>
      <c r="B1601" s="321"/>
      <c r="C1601" s="321"/>
      <c r="D1601" s="329" t="s">
        <v>4675</v>
      </c>
      <c r="E1601" s="396" t="s">
        <v>4676</v>
      </c>
      <c r="F1601" s="405" t="s">
        <v>3862</v>
      </c>
      <c r="G1601" s="401" t="s">
        <v>4677</v>
      </c>
      <c r="H1601" s="331" t="s">
        <v>4678</v>
      </c>
      <c r="I1601" s="331" t="s">
        <v>4679</v>
      </c>
      <c r="J1601" s="332" t="s">
        <v>4680</v>
      </c>
    </row>
    <row r="1602" spans="1:10" ht="30.5" thickBot="1">
      <c r="A1602" s="338"/>
      <c r="B1602" s="321"/>
      <c r="C1602" s="321" t="s">
        <v>4681</v>
      </c>
      <c r="D1602" s="331" t="s">
        <v>4682</v>
      </c>
      <c r="E1602" s="396" t="s">
        <v>4683</v>
      </c>
      <c r="F1602" s="405" t="s">
        <v>4494</v>
      </c>
      <c r="G1602" s="401" t="s">
        <v>4684</v>
      </c>
      <c r="H1602" s="331" t="s">
        <v>4685</v>
      </c>
      <c r="I1602" s="331" t="s">
        <v>4686</v>
      </c>
      <c r="J1602" s="332" t="s">
        <v>4687</v>
      </c>
    </row>
    <row r="1603" spans="1:10" ht="30.5" thickBot="1">
      <c r="A1603" s="338"/>
      <c r="B1603" s="321"/>
      <c r="C1603" s="321"/>
      <c r="D1603" s="329" t="s">
        <v>4688</v>
      </c>
      <c r="E1603" s="396" t="s">
        <v>4689</v>
      </c>
      <c r="F1603" s="405" t="s">
        <v>3862</v>
      </c>
      <c r="G1603" s="401" t="s">
        <v>4690</v>
      </c>
      <c r="H1603" s="331" t="s">
        <v>4691</v>
      </c>
      <c r="I1603" s="331" t="s">
        <v>4692</v>
      </c>
      <c r="J1603" s="332" t="s">
        <v>4693</v>
      </c>
    </row>
    <row r="1604" spans="1:10" ht="30.5" thickBot="1">
      <c r="A1604" s="338"/>
      <c r="B1604" s="321"/>
      <c r="C1604" s="321"/>
      <c r="D1604" s="329" t="s">
        <v>4694</v>
      </c>
      <c r="E1604" s="396" t="s">
        <v>4695</v>
      </c>
      <c r="F1604" s="405" t="s">
        <v>4598</v>
      </c>
      <c r="G1604" s="401" t="s">
        <v>4696</v>
      </c>
      <c r="H1604" s="331" t="s">
        <v>4697</v>
      </c>
      <c r="I1604" s="331" t="s">
        <v>4698</v>
      </c>
      <c r="J1604" s="332" t="s">
        <v>4699</v>
      </c>
    </row>
    <row r="1605" spans="1:10" ht="30.5" thickBot="1">
      <c r="A1605" s="338"/>
      <c r="B1605" s="321"/>
      <c r="C1605" s="321"/>
      <c r="D1605" s="329" t="s">
        <v>4700</v>
      </c>
      <c r="E1605" s="396" t="s">
        <v>4701</v>
      </c>
      <c r="F1605" s="405" t="s">
        <v>3862</v>
      </c>
      <c r="G1605" s="401" t="s">
        <v>4702</v>
      </c>
      <c r="H1605" s="331" t="s">
        <v>4337</v>
      </c>
      <c r="I1605" s="331" t="s">
        <v>4703</v>
      </c>
      <c r="J1605" s="332" t="s">
        <v>4704</v>
      </c>
    </row>
    <row r="1606" spans="1:10" ht="45.5" thickBot="1">
      <c r="A1606" s="338"/>
      <c r="B1606" s="321"/>
      <c r="C1606" s="321"/>
      <c r="D1606" s="329" t="s">
        <v>4705</v>
      </c>
      <c r="E1606" s="396" t="s">
        <v>4706</v>
      </c>
      <c r="F1606" s="405" t="s">
        <v>4494</v>
      </c>
      <c r="G1606" s="401" t="s">
        <v>4707</v>
      </c>
      <c r="H1606" s="331" t="s">
        <v>4708</v>
      </c>
      <c r="I1606" s="331" t="s">
        <v>4709</v>
      </c>
      <c r="J1606" s="332" t="s">
        <v>4710</v>
      </c>
    </row>
    <row r="1607" spans="1:10" ht="30.5" thickBot="1">
      <c r="A1607" s="338"/>
      <c r="B1607" s="321"/>
      <c r="C1607" s="321" t="s">
        <v>4711</v>
      </c>
      <c r="D1607" s="331" t="s">
        <v>4712</v>
      </c>
      <c r="E1607" s="396" t="s">
        <v>4713</v>
      </c>
      <c r="F1607" s="405" t="s">
        <v>3862</v>
      </c>
      <c r="G1607" s="401" t="s">
        <v>4714</v>
      </c>
      <c r="H1607" s="331" t="s">
        <v>4715</v>
      </c>
      <c r="I1607" s="331" t="s">
        <v>4716</v>
      </c>
      <c r="J1607" s="332" t="s">
        <v>4717</v>
      </c>
    </row>
    <row r="1608" spans="1:10" ht="30.5" thickBot="1">
      <c r="A1608" s="338"/>
      <c r="B1608" s="321"/>
      <c r="C1608" s="321"/>
      <c r="D1608" s="329" t="s">
        <v>4718</v>
      </c>
      <c r="E1608" s="396" t="s">
        <v>4719</v>
      </c>
      <c r="F1608" s="405" t="s">
        <v>4598</v>
      </c>
      <c r="G1608" s="401" t="s">
        <v>4720</v>
      </c>
      <c r="H1608" s="331" t="s">
        <v>4721</v>
      </c>
      <c r="I1608" s="331" t="s">
        <v>4722</v>
      </c>
      <c r="J1608" s="332" t="s">
        <v>4723</v>
      </c>
    </row>
    <row r="1609" spans="1:10" ht="30.5" thickBot="1">
      <c r="A1609" s="338"/>
      <c r="B1609" s="321"/>
      <c r="C1609" s="321"/>
      <c r="D1609" s="329" t="s">
        <v>1926</v>
      </c>
      <c r="E1609" s="396" t="s">
        <v>4724</v>
      </c>
      <c r="F1609" s="405" t="s">
        <v>3862</v>
      </c>
      <c r="G1609" s="401" t="s">
        <v>4725</v>
      </c>
      <c r="H1609" s="331" t="s">
        <v>4726</v>
      </c>
      <c r="I1609" s="331" t="s">
        <v>4727</v>
      </c>
      <c r="J1609" s="332" t="s">
        <v>4728</v>
      </c>
    </row>
    <row r="1610" spans="1:10" ht="60.5" thickBot="1">
      <c r="A1610" s="338"/>
      <c r="B1610" s="321"/>
      <c r="C1610" s="321"/>
      <c r="D1610" s="329" t="s">
        <v>4729</v>
      </c>
      <c r="E1610" s="396" t="s">
        <v>4730</v>
      </c>
      <c r="F1610" s="405" t="s">
        <v>4494</v>
      </c>
      <c r="G1610" s="401" t="s">
        <v>2460</v>
      </c>
      <c r="H1610" s="331" t="s">
        <v>4731</v>
      </c>
      <c r="I1610" s="331" t="s">
        <v>4732</v>
      </c>
      <c r="J1610" s="332" t="s">
        <v>4733</v>
      </c>
    </row>
    <row r="1611" spans="1:10" ht="30.5" thickBot="1">
      <c r="A1611" s="338"/>
      <c r="B1611" s="321"/>
      <c r="C1611" s="321"/>
      <c r="D1611" s="329" t="s">
        <v>4734</v>
      </c>
      <c r="E1611" s="396" t="s">
        <v>4735</v>
      </c>
      <c r="F1611" s="405" t="s">
        <v>3862</v>
      </c>
      <c r="G1611" s="401" t="s">
        <v>4736</v>
      </c>
      <c r="H1611" s="331" t="s">
        <v>4013</v>
      </c>
      <c r="I1611" s="331" t="s">
        <v>4737</v>
      </c>
      <c r="J1611" s="332" t="s">
        <v>4738</v>
      </c>
    </row>
    <row r="1612" spans="1:10" ht="47" thickBot="1">
      <c r="A1612" s="338"/>
      <c r="B1612" s="321"/>
      <c r="C1612" s="321" t="s">
        <v>4739</v>
      </c>
      <c r="D1612" s="326" t="s">
        <v>4740</v>
      </c>
      <c r="E1612" s="394" t="s">
        <v>4741</v>
      </c>
      <c r="F1612" s="403" t="s">
        <v>3862</v>
      </c>
      <c r="G1612" s="399" t="s">
        <v>4742</v>
      </c>
      <c r="H1612" s="326" t="s">
        <v>4743</v>
      </c>
      <c r="I1612" s="326" t="s">
        <v>4744</v>
      </c>
      <c r="J1612" s="327" t="s">
        <v>4745</v>
      </c>
    </row>
    <row r="1613" spans="1:10" ht="47" thickBot="1">
      <c r="A1613" s="338"/>
      <c r="B1613" s="321"/>
      <c r="C1613" s="321"/>
      <c r="D1613" s="324" t="s">
        <v>4746</v>
      </c>
      <c r="E1613" s="394" t="s">
        <v>4747</v>
      </c>
      <c r="F1613" s="403" t="s">
        <v>3862</v>
      </c>
      <c r="G1613" s="399" t="s">
        <v>4748</v>
      </c>
      <c r="H1613" s="326" t="s">
        <v>4749</v>
      </c>
      <c r="I1613" s="326" t="s">
        <v>4750</v>
      </c>
      <c r="J1613" s="327" t="s">
        <v>4751</v>
      </c>
    </row>
    <row r="1614" spans="1:10" ht="47" thickBot="1">
      <c r="A1614" s="338"/>
      <c r="B1614" s="321"/>
      <c r="C1614" s="321"/>
      <c r="D1614" s="324" t="s">
        <v>4752</v>
      </c>
      <c r="E1614" s="394" t="s">
        <v>4753</v>
      </c>
      <c r="F1614" s="403" t="s">
        <v>3862</v>
      </c>
      <c r="G1614" s="399" t="s">
        <v>4754</v>
      </c>
      <c r="H1614" s="326" t="s">
        <v>4755</v>
      </c>
      <c r="I1614" s="326" t="s">
        <v>4756</v>
      </c>
      <c r="J1614" s="327" t="s">
        <v>4757</v>
      </c>
    </row>
    <row r="1615" spans="1:10" ht="31.5" thickBot="1">
      <c r="A1615" s="338"/>
      <c r="B1615" s="321"/>
      <c r="C1615" s="321"/>
      <c r="D1615" s="324" t="s">
        <v>4758</v>
      </c>
      <c r="E1615" s="394" t="s">
        <v>4759</v>
      </c>
      <c r="F1615" s="403" t="s">
        <v>3862</v>
      </c>
      <c r="G1615" s="399" t="s">
        <v>4760</v>
      </c>
      <c r="H1615" s="326" t="s">
        <v>4761</v>
      </c>
      <c r="I1615" s="326" t="s">
        <v>4762</v>
      </c>
      <c r="J1615" s="327" t="s">
        <v>4763</v>
      </c>
    </row>
    <row r="1616" spans="1:10" ht="47" thickBot="1">
      <c r="A1616" s="338"/>
      <c r="B1616" s="321"/>
      <c r="C1616" s="321"/>
      <c r="D1616" s="324" t="s">
        <v>3986</v>
      </c>
      <c r="E1616" s="394" t="s">
        <v>4764</v>
      </c>
      <c r="F1616" s="403" t="s">
        <v>3862</v>
      </c>
      <c r="G1616" s="399" t="s">
        <v>4765</v>
      </c>
      <c r="H1616" s="326" t="s">
        <v>4766</v>
      </c>
      <c r="I1616" s="326" t="s">
        <v>4767</v>
      </c>
      <c r="J1616" s="327" t="s">
        <v>4768</v>
      </c>
    </row>
    <row r="1617" spans="1:10" ht="16" thickBot="1">
      <c r="A1617" s="338"/>
      <c r="B1617" s="321"/>
      <c r="C1617" s="321" t="s">
        <v>4769</v>
      </c>
      <c r="D1617" s="324" t="s">
        <v>4770</v>
      </c>
      <c r="E1617" s="393" t="s">
        <v>4771</v>
      </c>
      <c r="F1617" s="345" t="s">
        <v>3862</v>
      </c>
      <c r="G1617" s="398" t="s">
        <v>1657</v>
      </c>
      <c r="H1617" s="324" t="s">
        <v>4772</v>
      </c>
      <c r="I1617" s="324" t="s">
        <v>4773</v>
      </c>
      <c r="J1617" s="325" t="s">
        <v>4774</v>
      </c>
    </row>
    <row r="1618" spans="1:10" ht="16" thickBot="1">
      <c r="A1618" s="338"/>
      <c r="B1618" s="321"/>
      <c r="C1618" s="321"/>
      <c r="D1618" s="324" t="s">
        <v>4775</v>
      </c>
      <c r="E1618" s="393" t="s">
        <v>4776</v>
      </c>
      <c r="F1618" s="345" t="s">
        <v>3862</v>
      </c>
      <c r="G1618" s="398" t="s">
        <v>4777</v>
      </c>
      <c r="H1618" s="324" t="s">
        <v>4587</v>
      </c>
      <c r="I1618" s="324" t="s">
        <v>4778</v>
      </c>
      <c r="J1618" s="325" t="s">
        <v>4779</v>
      </c>
    </row>
    <row r="1619" spans="1:10" ht="16" thickBot="1">
      <c r="A1619" s="338"/>
      <c r="B1619" s="321"/>
      <c r="C1619" s="321"/>
      <c r="D1619" s="324" t="s">
        <v>4780</v>
      </c>
      <c r="E1619" s="393" t="s">
        <v>4781</v>
      </c>
      <c r="F1619" s="345" t="s">
        <v>3862</v>
      </c>
      <c r="G1619" s="398" t="s">
        <v>4782</v>
      </c>
      <c r="H1619" s="324" t="s">
        <v>4783</v>
      </c>
      <c r="I1619" s="324" t="s">
        <v>4784</v>
      </c>
      <c r="J1619" s="325" t="s">
        <v>4785</v>
      </c>
    </row>
    <row r="1620" spans="1:10" ht="16" thickBot="1">
      <c r="A1620" s="338"/>
      <c r="B1620" s="321"/>
      <c r="C1620" s="321"/>
      <c r="D1620" s="324" t="s">
        <v>4786</v>
      </c>
      <c r="E1620" s="393" t="s">
        <v>4787</v>
      </c>
      <c r="F1620" s="345" t="s">
        <v>3862</v>
      </c>
      <c r="G1620" s="398" t="s">
        <v>4788</v>
      </c>
      <c r="H1620" s="324" t="s">
        <v>4789</v>
      </c>
      <c r="I1620" s="324" t="s">
        <v>4790</v>
      </c>
      <c r="J1620" s="325" t="s">
        <v>4791</v>
      </c>
    </row>
    <row r="1621" spans="1:10" ht="16" thickBot="1">
      <c r="A1621" s="338"/>
      <c r="B1621" s="321"/>
      <c r="C1621" s="321"/>
      <c r="D1621" s="324" t="s">
        <v>4792</v>
      </c>
      <c r="E1621" s="393" t="s">
        <v>4793</v>
      </c>
      <c r="F1621" s="345" t="s">
        <v>3862</v>
      </c>
      <c r="G1621" s="398" t="s">
        <v>4794</v>
      </c>
      <c r="H1621" s="324" t="s">
        <v>4795</v>
      </c>
      <c r="I1621" s="324" t="s">
        <v>4796</v>
      </c>
      <c r="J1621" s="325" t="s">
        <v>4797</v>
      </c>
    </row>
    <row r="1622" spans="1:10" ht="16" thickBot="1">
      <c r="A1622" s="338"/>
      <c r="B1622" s="321"/>
      <c r="C1622" s="321" t="s">
        <v>4798</v>
      </c>
      <c r="D1622" s="324" t="s">
        <v>4799</v>
      </c>
      <c r="E1622" s="393" t="s">
        <v>4800</v>
      </c>
      <c r="F1622" s="345" t="s">
        <v>3862</v>
      </c>
      <c r="G1622" s="398" t="s">
        <v>1657</v>
      </c>
      <c r="H1622" s="324" t="s">
        <v>4801</v>
      </c>
      <c r="I1622" s="324" t="s">
        <v>4802</v>
      </c>
      <c r="J1622" s="325" t="s">
        <v>4803</v>
      </c>
    </row>
    <row r="1623" spans="1:10" ht="16" thickBot="1">
      <c r="A1623" s="338"/>
      <c r="B1623" s="321"/>
      <c r="C1623" s="321"/>
      <c r="D1623" s="324" t="s">
        <v>4804</v>
      </c>
      <c r="E1623" s="393" t="s">
        <v>4805</v>
      </c>
      <c r="F1623" s="345" t="s">
        <v>3862</v>
      </c>
      <c r="G1623" s="398" t="s">
        <v>4806</v>
      </c>
      <c r="H1623" s="324" t="s">
        <v>4297</v>
      </c>
      <c r="I1623" s="324" t="s">
        <v>4807</v>
      </c>
      <c r="J1623" s="325" t="s">
        <v>4808</v>
      </c>
    </row>
    <row r="1624" spans="1:10" ht="16" thickBot="1">
      <c r="A1624" s="338"/>
      <c r="B1624" s="321"/>
      <c r="C1624" s="321"/>
      <c r="D1624" s="324" t="s">
        <v>4809</v>
      </c>
      <c r="E1624" s="393" t="s">
        <v>4810</v>
      </c>
      <c r="F1624" s="345" t="s">
        <v>3862</v>
      </c>
      <c r="G1624" s="398" t="s">
        <v>4811</v>
      </c>
      <c r="H1624" s="324" t="s">
        <v>4812</v>
      </c>
      <c r="I1624" s="324" t="s">
        <v>4813</v>
      </c>
      <c r="J1624" s="325" t="s">
        <v>4814</v>
      </c>
    </row>
    <row r="1625" spans="1:10" ht="16" thickBot="1">
      <c r="A1625" s="338"/>
      <c r="B1625" s="321"/>
      <c r="C1625" s="321"/>
      <c r="D1625" s="324" t="s">
        <v>4815</v>
      </c>
      <c r="E1625" s="393" t="s">
        <v>4816</v>
      </c>
      <c r="F1625" s="345" t="s">
        <v>3862</v>
      </c>
      <c r="G1625" s="398" t="s">
        <v>4817</v>
      </c>
      <c r="H1625" s="324" t="s">
        <v>4818</v>
      </c>
      <c r="I1625" s="324" t="s">
        <v>4819</v>
      </c>
      <c r="J1625" s="325" t="s">
        <v>4820</v>
      </c>
    </row>
    <row r="1626" spans="1:10" ht="16" thickBot="1">
      <c r="A1626" s="338"/>
      <c r="B1626" s="321"/>
      <c r="C1626" s="321"/>
      <c r="D1626" s="324" t="s">
        <v>4821</v>
      </c>
      <c r="E1626" s="393" t="s">
        <v>4822</v>
      </c>
      <c r="F1626" s="345" t="s">
        <v>3862</v>
      </c>
      <c r="G1626" s="398" t="s">
        <v>4823</v>
      </c>
      <c r="H1626" s="324" t="s">
        <v>4824</v>
      </c>
      <c r="I1626" s="324" t="s">
        <v>4825</v>
      </c>
      <c r="J1626" s="325" t="s">
        <v>4826</v>
      </c>
    </row>
    <row r="1627" spans="1:10" ht="47" thickBot="1">
      <c r="A1627" s="338"/>
      <c r="B1627" s="321"/>
      <c r="C1627" s="321" t="s">
        <v>4827</v>
      </c>
      <c r="D1627" s="324" t="s">
        <v>4828</v>
      </c>
      <c r="E1627" s="394" t="s">
        <v>4829</v>
      </c>
      <c r="F1627" s="403" t="s">
        <v>3862</v>
      </c>
      <c r="G1627" s="399" t="s">
        <v>4830</v>
      </c>
      <c r="H1627" s="326" t="s">
        <v>4831</v>
      </c>
      <c r="I1627" s="326" t="s">
        <v>4832</v>
      </c>
      <c r="J1627" s="327" t="s">
        <v>4833</v>
      </c>
    </row>
    <row r="1628" spans="1:10" ht="31.5" thickBot="1">
      <c r="A1628" s="338"/>
      <c r="B1628" s="321"/>
      <c r="C1628" s="321"/>
      <c r="D1628" s="324" t="s">
        <v>4834</v>
      </c>
      <c r="E1628" s="394" t="s">
        <v>4835</v>
      </c>
      <c r="F1628" s="403" t="s">
        <v>3862</v>
      </c>
      <c r="G1628" s="399" t="s">
        <v>4836</v>
      </c>
      <c r="H1628" s="326" t="s">
        <v>4837</v>
      </c>
      <c r="I1628" s="326" t="s">
        <v>4838</v>
      </c>
      <c r="J1628" s="327" t="s">
        <v>4839</v>
      </c>
    </row>
    <row r="1629" spans="1:10" ht="47" thickBot="1">
      <c r="A1629" s="338"/>
      <c r="B1629" s="321"/>
      <c r="C1629" s="321"/>
      <c r="D1629" s="324" t="s">
        <v>3986</v>
      </c>
      <c r="E1629" s="394" t="s">
        <v>4840</v>
      </c>
      <c r="F1629" s="403" t="s">
        <v>3862</v>
      </c>
      <c r="G1629" s="399" t="s">
        <v>4841</v>
      </c>
      <c r="H1629" s="326" t="s">
        <v>4842</v>
      </c>
      <c r="I1629" s="326" t="s">
        <v>4843</v>
      </c>
      <c r="J1629" s="327" t="s">
        <v>4844</v>
      </c>
    </row>
    <row r="1630" spans="1:10" ht="47" thickBot="1">
      <c r="A1630" s="338"/>
      <c r="B1630" s="321"/>
      <c r="C1630" s="321"/>
      <c r="D1630" s="324" t="s">
        <v>4845</v>
      </c>
      <c r="E1630" s="394" t="s">
        <v>4846</v>
      </c>
      <c r="F1630" s="403" t="s">
        <v>3862</v>
      </c>
      <c r="G1630" s="399" t="s">
        <v>4847</v>
      </c>
      <c r="H1630" s="326" t="s">
        <v>4848</v>
      </c>
      <c r="I1630" s="326" t="s">
        <v>4849</v>
      </c>
      <c r="J1630" s="327" t="s">
        <v>4850</v>
      </c>
    </row>
    <row r="1631" spans="1:10" ht="47" thickBot="1">
      <c r="A1631" s="338"/>
      <c r="B1631" s="321"/>
      <c r="C1631" s="321"/>
      <c r="D1631" s="324" t="s">
        <v>4851</v>
      </c>
      <c r="E1631" s="394" t="s">
        <v>4852</v>
      </c>
      <c r="F1631" s="403" t="s">
        <v>3862</v>
      </c>
      <c r="G1631" s="399" t="s">
        <v>4853</v>
      </c>
      <c r="H1631" s="326" t="s">
        <v>4854</v>
      </c>
      <c r="I1631" s="326" t="s">
        <v>4855</v>
      </c>
      <c r="J1631" s="327" t="s">
        <v>4856</v>
      </c>
    </row>
    <row r="1632" spans="1:10" ht="16" thickBot="1">
      <c r="A1632" s="338"/>
      <c r="B1632" s="321" t="s">
        <v>4857</v>
      </c>
      <c r="C1632" s="321" t="s">
        <v>4858</v>
      </c>
      <c r="D1632" s="324" t="s">
        <v>4859</v>
      </c>
      <c r="E1632" s="393" t="s">
        <v>4860</v>
      </c>
      <c r="F1632" s="345" t="s">
        <v>3862</v>
      </c>
      <c r="G1632" s="398" t="s">
        <v>4861</v>
      </c>
      <c r="H1632" s="324" t="s">
        <v>4673</v>
      </c>
      <c r="I1632" s="324" t="s">
        <v>4862</v>
      </c>
      <c r="J1632" s="325" t="s">
        <v>4863</v>
      </c>
    </row>
    <row r="1633" spans="1:10" ht="16" thickBot="1">
      <c r="A1633" s="338"/>
      <c r="B1633" s="321"/>
      <c r="C1633" s="321"/>
      <c r="D1633" s="324" t="s">
        <v>4864</v>
      </c>
      <c r="E1633" s="393" t="s">
        <v>4865</v>
      </c>
      <c r="F1633" s="345" t="s">
        <v>3862</v>
      </c>
      <c r="G1633" s="398" t="s">
        <v>4866</v>
      </c>
      <c r="H1633" s="324" t="s">
        <v>4867</v>
      </c>
      <c r="I1633" s="324" t="s">
        <v>4868</v>
      </c>
      <c r="J1633" s="325" t="s">
        <v>4869</v>
      </c>
    </row>
    <row r="1634" spans="1:10" ht="16" thickBot="1">
      <c r="A1634" s="338"/>
      <c r="B1634" s="321"/>
      <c r="C1634" s="321"/>
      <c r="D1634" s="324" t="s">
        <v>4870</v>
      </c>
      <c r="E1634" s="393" t="s">
        <v>4871</v>
      </c>
      <c r="F1634" s="345" t="s">
        <v>3862</v>
      </c>
      <c r="G1634" s="398" t="s">
        <v>4872</v>
      </c>
      <c r="H1634" s="324" t="s">
        <v>4873</v>
      </c>
      <c r="I1634" s="324" t="s">
        <v>4874</v>
      </c>
      <c r="J1634" s="325" t="s">
        <v>4875</v>
      </c>
    </row>
    <row r="1635" spans="1:10" ht="16" thickBot="1">
      <c r="A1635" s="338"/>
      <c r="B1635" s="321"/>
      <c r="C1635" s="321"/>
      <c r="D1635" s="324" t="s">
        <v>4876</v>
      </c>
      <c r="E1635" s="393" t="s">
        <v>4877</v>
      </c>
      <c r="F1635" s="345" t="s">
        <v>3862</v>
      </c>
      <c r="G1635" s="398" t="s">
        <v>4188</v>
      </c>
      <c r="H1635" s="324" t="s">
        <v>4878</v>
      </c>
      <c r="I1635" s="324" t="s">
        <v>4879</v>
      </c>
      <c r="J1635" s="325" t="s">
        <v>4880</v>
      </c>
    </row>
    <row r="1636" spans="1:10" ht="16" thickBot="1">
      <c r="A1636" s="338"/>
      <c r="B1636" s="321"/>
      <c r="C1636" s="321"/>
      <c r="D1636" s="324" t="s">
        <v>4881</v>
      </c>
      <c r="E1636" s="393" t="s">
        <v>4882</v>
      </c>
      <c r="F1636" s="345" t="s">
        <v>3862</v>
      </c>
      <c r="G1636" s="398" t="s">
        <v>4841</v>
      </c>
      <c r="H1636" s="324" t="s">
        <v>4883</v>
      </c>
      <c r="I1636" s="324" t="s">
        <v>4884</v>
      </c>
      <c r="J1636" s="325" t="s">
        <v>4885</v>
      </c>
    </row>
    <row r="1637" spans="1:10" ht="47" thickBot="1">
      <c r="A1637" s="338"/>
      <c r="B1637" s="321"/>
      <c r="C1637" s="321" t="s">
        <v>4886</v>
      </c>
      <c r="D1637" s="324" t="s">
        <v>4887</v>
      </c>
      <c r="E1637" s="394" t="s">
        <v>4888</v>
      </c>
      <c r="F1637" s="403" t="s">
        <v>3862</v>
      </c>
      <c r="G1637" s="399" t="s">
        <v>2013</v>
      </c>
      <c r="H1637" s="326" t="s">
        <v>4889</v>
      </c>
      <c r="I1637" s="326" t="s">
        <v>4890</v>
      </c>
      <c r="J1637" s="327" t="s">
        <v>4891</v>
      </c>
    </row>
    <row r="1638" spans="1:10" ht="31.5" thickBot="1">
      <c r="A1638" s="338"/>
      <c r="B1638" s="321"/>
      <c r="C1638" s="321"/>
      <c r="D1638" s="324" t="s">
        <v>4892</v>
      </c>
      <c r="E1638" s="394" t="s">
        <v>4893</v>
      </c>
      <c r="F1638" s="403" t="s">
        <v>3862</v>
      </c>
      <c r="G1638" s="399" t="s">
        <v>4894</v>
      </c>
      <c r="H1638" s="326" t="s">
        <v>4895</v>
      </c>
      <c r="I1638" s="326" t="s">
        <v>4896</v>
      </c>
      <c r="J1638" s="327" t="s">
        <v>4897</v>
      </c>
    </row>
    <row r="1639" spans="1:10" ht="31.5" thickBot="1">
      <c r="A1639" s="338"/>
      <c r="B1639" s="321"/>
      <c r="C1639" s="321"/>
      <c r="D1639" s="324" t="s">
        <v>4898</v>
      </c>
      <c r="E1639" s="394" t="s">
        <v>4899</v>
      </c>
      <c r="F1639" s="403" t="s">
        <v>3862</v>
      </c>
      <c r="G1639" s="399" t="s">
        <v>4900</v>
      </c>
      <c r="H1639" s="326" t="s">
        <v>4901</v>
      </c>
      <c r="I1639" s="326" t="s">
        <v>4902</v>
      </c>
      <c r="J1639" s="327" t="s">
        <v>4903</v>
      </c>
    </row>
    <row r="1640" spans="1:10" ht="31.5" thickBot="1">
      <c r="A1640" s="338"/>
      <c r="B1640" s="321"/>
      <c r="C1640" s="321"/>
      <c r="D1640" s="324" t="s">
        <v>4904</v>
      </c>
      <c r="E1640" s="394" t="s">
        <v>4905</v>
      </c>
      <c r="F1640" s="403" t="s">
        <v>3862</v>
      </c>
      <c r="G1640" s="399" t="s">
        <v>4906</v>
      </c>
      <c r="H1640" s="326" t="s">
        <v>4907</v>
      </c>
      <c r="I1640" s="326" t="s">
        <v>4908</v>
      </c>
      <c r="J1640" s="327" t="s">
        <v>4909</v>
      </c>
    </row>
    <row r="1641" spans="1:10" ht="47" thickBot="1">
      <c r="A1641" s="338"/>
      <c r="B1641" s="321"/>
      <c r="C1641" s="321"/>
      <c r="D1641" s="324" t="s">
        <v>4910</v>
      </c>
      <c r="E1641" s="394" t="s">
        <v>4911</v>
      </c>
      <c r="F1641" s="403" t="s">
        <v>3862</v>
      </c>
      <c r="G1641" s="399" t="s">
        <v>4912</v>
      </c>
      <c r="H1641" s="326" t="s">
        <v>4913</v>
      </c>
      <c r="I1641" s="326" t="s">
        <v>4914</v>
      </c>
      <c r="J1641" s="327" t="s">
        <v>4915</v>
      </c>
    </row>
    <row r="1642" spans="1:10" ht="31.5" thickBot="1">
      <c r="A1642" s="338"/>
      <c r="B1642" s="321"/>
      <c r="C1642" s="321" t="s">
        <v>4916</v>
      </c>
      <c r="D1642" s="326" t="s">
        <v>4917</v>
      </c>
      <c r="E1642" s="394" t="s">
        <v>4918</v>
      </c>
      <c r="F1642" s="403" t="s">
        <v>3862</v>
      </c>
      <c r="G1642" s="399" t="s">
        <v>4919</v>
      </c>
      <c r="H1642" s="326" t="s">
        <v>4920</v>
      </c>
      <c r="I1642" s="326" t="s">
        <v>4921</v>
      </c>
      <c r="J1642" s="327" t="s">
        <v>4922</v>
      </c>
    </row>
    <row r="1643" spans="1:10" ht="31.5" thickBot="1">
      <c r="A1643" s="338"/>
      <c r="B1643" s="321"/>
      <c r="C1643" s="321"/>
      <c r="D1643" s="324" t="s">
        <v>4923</v>
      </c>
      <c r="E1643" s="394" t="s">
        <v>4924</v>
      </c>
      <c r="F1643" s="403" t="s">
        <v>3862</v>
      </c>
      <c r="G1643" s="399" t="s">
        <v>4925</v>
      </c>
      <c r="H1643" s="326" t="s">
        <v>4926</v>
      </c>
      <c r="I1643" s="326" t="s">
        <v>4927</v>
      </c>
      <c r="J1643" s="327" t="s">
        <v>4928</v>
      </c>
    </row>
    <row r="1644" spans="1:10" ht="31.5" thickBot="1">
      <c r="A1644" s="338"/>
      <c r="B1644" s="321"/>
      <c r="C1644" s="321"/>
      <c r="D1644" s="324" t="s">
        <v>4929</v>
      </c>
      <c r="E1644" s="394" t="s">
        <v>4930</v>
      </c>
      <c r="F1644" s="403" t="s">
        <v>3862</v>
      </c>
      <c r="G1644" s="399" t="s">
        <v>4931</v>
      </c>
      <c r="H1644" s="326" t="s">
        <v>4932</v>
      </c>
      <c r="I1644" s="326" t="s">
        <v>4933</v>
      </c>
      <c r="J1644" s="327" t="s">
        <v>4934</v>
      </c>
    </row>
    <row r="1645" spans="1:10" ht="47" thickBot="1">
      <c r="A1645" s="338"/>
      <c r="B1645" s="321"/>
      <c r="C1645" s="321"/>
      <c r="D1645" s="324" t="s">
        <v>4935</v>
      </c>
      <c r="E1645" s="394" t="s">
        <v>4936</v>
      </c>
      <c r="F1645" s="403" t="s">
        <v>3862</v>
      </c>
      <c r="G1645" s="399" t="s">
        <v>2013</v>
      </c>
      <c r="H1645" s="326" t="s">
        <v>4937</v>
      </c>
      <c r="I1645" s="326" t="s">
        <v>4938</v>
      </c>
      <c r="J1645" s="327" t="s">
        <v>4939</v>
      </c>
    </row>
    <row r="1646" spans="1:10" ht="47" thickBot="1">
      <c r="A1646" s="338"/>
      <c r="B1646" s="321"/>
      <c r="C1646" s="321"/>
      <c r="D1646" s="324" t="s">
        <v>4940</v>
      </c>
      <c r="E1646" s="394" t="s">
        <v>4941</v>
      </c>
      <c r="F1646" s="403" t="s">
        <v>3862</v>
      </c>
      <c r="G1646" s="399" t="s">
        <v>4942</v>
      </c>
      <c r="H1646" s="326" t="s">
        <v>4943</v>
      </c>
      <c r="I1646" s="326" t="s">
        <v>4944</v>
      </c>
      <c r="J1646" s="327" t="s">
        <v>4945</v>
      </c>
    </row>
    <row r="1647" spans="1:10" ht="31.5" thickBot="1">
      <c r="A1647" s="338"/>
      <c r="B1647" s="321"/>
      <c r="C1647" s="321" t="s">
        <v>4946</v>
      </c>
      <c r="D1647" s="324" t="s">
        <v>4947</v>
      </c>
      <c r="E1647" s="394" t="s">
        <v>4948</v>
      </c>
      <c r="F1647" s="403" t="s">
        <v>3862</v>
      </c>
      <c r="G1647" s="399" t="s">
        <v>4949</v>
      </c>
      <c r="H1647" s="326" t="s">
        <v>4443</v>
      </c>
      <c r="I1647" s="326" t="s">
        <v>4950</v>
      </c>
      <c r="J1647" s="327" t="s">
        <v>4951</v>
      </c>
    </row>
    <row r="1648" spans="1:10" ht="31.5" thickBot="1">
      <c r="A1648" s="338"/>
      <c r="B1648" s="321"/>
      <c r="C1648" s="321"/>
      <c r="D1648" s="324" t="s">
        <v>4952</v>
      </c>
      <c r="E1648" s="394" t="s">
        <v>4953</v>
      </c>
      <c r="F1648" s="403" t="s">
        <v>3862</v>
      </c>
      <c r="G1648" s="399" t="s">
        <v>2013</v>
      </c>
      <c r="H1648" s="326" t="s">
        <v>4954</v>
      </c>
      <c r="I1648" s="326" t="s">
        <v>4955</v>
      </c>
      <c r="J1648" s="327" t="s">
        <v>4956</v>
      </c>
    </row>
    <row r="1649" spans="1:10" ht="31.5" thickBot="1">
      <c r="A1649" s="338"/>
      <c r="B1649" s="321"/>
      <c r="C1649" s="321"/>
      <c r="D1649" s="324" t="s">
        <v>4957</v>
      </c>
      <c r="E1649" s="394" t="s">
        <v>4958</v>
      </c>
      <c r="F1649" s="403" t="s">
        <v>3862</v>
      </c>
      <c r="G1649" s="399" t="s">
        <v>4959</v>
      </c>
      <c r="H1649" s="326" t="s">
        <v>4960</v>
      </c>
      <c r="I1649" s="326" t="s">
        <v>4961</v>
      </c>
      <c r="J1649" s="327" t="s">
        <v>4962</v>
      </c>
    </row>
    <row r="1650" spans="1:10" ht="47" thickBot="1">
      <c r="A1650" s="338"/>
      <c r="B1650" s="321"/>
      <c r="C1650" s="321"/>
      <c r="D1650" s="324" t="s">
        <v>4963</v>
      </c>
      <c r="E1650" s="394" t="s">
        <v>4964</v>
      </c>
      <c r="F1650" s="403" t="s">
        <v>3862</v>
      </c>
      <c r="G1650" s="399" t="s">
        <v>4965</v>
      </c>
      <c r="H1650" s="326" t="s">
        <v>4966</v>
      </c>
      <c r="I1650" s="326" t="s">
        <v>4967</v>
      </c>
      <c r="J1650" s="327" t="s">
        <v>4968</v>
      </c>
    </row>
    <row r="1651" spans="1:10" ht="47" thickBot="1">
      <c r="A1651" s="338"/>
      <c r="B1651" s="321"/>
      <c r="C1651" s="321"/>
      <c r="D1651" s="324" t="s">
        <v>1772</v>
      </c>
      <c r="E1651" s="394" t="s">
        <v>4969</v>
      </c>
      <c r="F1651" s="403" t="s">
        <v>3862</v>
      </c>
      <c r="G1651" s="399" t="s">
        <v>4970</v>
      </c>
      <c r="H1651" s="326" t="s">
        <v>4971</v>
      </c>
      <c r="I1651" s="326" t="s">
        <v>4972</v>
      </c>
      <c r="J1651" s="327" t="s">
        <v>4973</v>
      </c>
    </row>
    <row r="1652" spans="1:10" ht="62.5" thickBot="1">
      <c r="A1652" s="338"/>
      <c r="B1652" s="321"/>
      <c r="C1652" s="321" t="s">
        <v>4974</v>
      </c>
      <c r="D1652" s="324" t="s">
        <v>4975</v>
      </c>
      <c r="E1652" s="394" t="s">
        <v>4976</v>
      </c>
      <c r="F1652" s="403" t="s">
        <v>3862</v>
      </c>
      <c r="G1652" s="399" t="s">
        <v>4977</v>
      </c>
      <c r="H1652" s="326" t="s">
        <v>4978</v>
      </c>
      <c r="I1652" s="326" t="s">
        <v>4979</v>
      </c>
      <c r="J1652" s="327" t="s">
        <v>4980</v>
      </c>
    </row>
    <row r="1653" spans="1:10" ht="31.5" thickBot="1">
      <c r="A1653" s="338"/>
      <c r="B1653" s="321"/>
      <c r="C1653" s="321"/>
      <c r="D1653" s="324" t="s">
        <v>4981</v>
      </c>
      <c r="E1653" s="394" t="s">
        <v>4982</v>
      </c>
      <c r="F1653" s="403" t="s">
        <v>3862</v>
      </c>
      <c r="G1653" s="399" t="s">
        <v>4983</v>
      </c>
      <c r="H1653" s="326" t="s">
        <v>4984</v>
      </c>
      <c r="I1653" s="326" t="s">
        <v>4985</v>
      </c>
      <c r="J1653" s="327" t="s">
        <v>4986</v>
      </c>
    </row>
    <row r="1654" spans="1:10" ht="47" thickBot="1">
      <c r="A1654" s="338"/>
      <c r="B1654" s="321"/>
      <c r="C1654" s="321"/>
      <c r="D1654" s="324" t="s">
        <v>4987</v>
      </c>
      <c r="E1654" s="394" t="s">
        <v>4988</v>
      </c>
      <c r="F1654" s="403" t="s">
        <v>3862</v>
      </c>
      <c r="G1654" s="399" t="s">
        <v>4989</v>
      </c>
      <c r="H1654" s="326" t="s">
        <v>4990</v>
      </c>
      <c r="I1654" s="326" t="s">
        <v>4991</v>
      </c>
      <c r="J1654" s="327" t="s">
        <v>4992</v>
      </c>
    </row>
    <row r="1655" spans="1:10" ht="47" thickBot="1">
      <c r="A1655" s="338"/>
      <c r="B1655" s="321"/>
      <c r="C1655" s="321"/>
      <c r="D1655" s="324" t="s">
        <v>4993</v>
      </c>
      <c r="E1655" s="394" t="s">
        <v>4994</v>
      </c>
      <c r="F1655" s="403" t="s">
        <v>3862</v>
      </c>
      <c r="G1655" s="399" t="s">
        <v>4995</v>
      </c>
      <c r="H1655" s="326" t="s">
        <v>4873</v>
      </c>
      <c r="I1655" s="326" t="s">
        <v>4914</v>
      </c>
      <c r="J1655" s="327" t="s">
        <v>4996</v>
      </c>
    </row>
    <row r="1656" spans="1:10" ht="31.5" thickBot="1">
      <c r="A1656" s="338"/>
      <c r="B1656" s="321"/>
      <c r="C1656" s="321"/>
      <c r="D1656" s="324" t="s">
        <v>4997</v>
      </c>
      <c r="E1656" s="394" t="s">
        <v>4998</v>
      </c>
      <c r="F1656" s="403" t="s">
        <v>3862</v>
      </c>
      <c r="G1656" s="399" t="s">
        <v>4999</v>
      </c>
      <c r="H1656" s="326" t="s">
        <v>5000</v>
      </c>
      <c r="I1656" s="326" t="s">
        <v>5001</v>
      </c>
      <c r="J1656" s="327" t="s">
        <v>5002</v>
      </c>
    </row>
    <row r="1657" spans="1:10" ht="31.5" thickBot="1">
      <c r="A1657" s="338"/>
      <c r="B1657" s="321" t="s">
        <v>5003</v>
      </c>
      <c r="C1657" s="321" t="s">
        <v>5004</v>
      </c>
      <c r="D1657" s="324" t="s">
        <v>5005</v>
      </c>
      <c r="E1657" s="394" t="s">
        <v>5006</v>
      </c>
      <c r="F1657" s="403" t="s">
        <v>3862</v>
      </c>
      <c r="G1657" s="399" t="s">
        <v>5007</v>
      </c>
      <c r="H1657" s="326" t="s">
        <v>5008</v>
      </c>
      <c r="I1657" s="326" t="s">
        <v>5009</v>
      </c>
      <c r="J1657" s="327" t="s">
        <v>5010</v>
      </c>
    </row>
    <row r="1658" spans="1:10" ht="47" thickBot="1">
      <c r="A1658" s="338"/>
      <c r="B1658" s="321"/>
      <c r="C1658" s="321"/>
      <c r="D1658" s="324" t="s">
        <v>5011</v>
      </c>
      <c r="E1658" s="394" t="s">
        <v>5012</v>
      </c>
      <c r="F1658" s="403" t="s">
        <v>3862</v>
      </c>
      <c r="G1658" s="399" t="s">
        <v>4111</v>
      </c>
      <c r="H1658" s="326" t="s">
        <v>5013</v>
      </c>
      <c r="I1658" s="326" t="s">
        <v>5014</v>
      </c>
      <c r="J1658" s="327" t="s">
        <v>5015</v>
      </c>
    </row>
    <row r="1659" spans="1:10" ht="47" thickBot="1">
      <c r="A1659" s="338"/>
      <c r="B1659" s="321"/>
      <c r="C1659" s="321"/>
      <c r="D1659" s="324" t="s">
        <v>5016</v>
      </c>
      <c r="E1659" s="394" t="s">
        <v>5017</v>
      </c>
      <c r="F1659" s="403" t="s">
        <v>3862</v>
      </c>
      <c r="G1659" s="399" t="s">
        <v>5018</v>
      </c>
      <c r="H1659" s="326" t="s">
        <v>5019</v>
      </c>
      <c r="I1659" s="326" t="s">
        <v>5020</v>
      </c>
      <c r="J1659" s="327" t="s">
        <v>5021</v>
      </c>
    </row>
    <row r="1660" spans="1:10" ht="31.5" thickBot="1">
      <c r="A1660" s="338"/>
      <c r="B1660" s="321"/>
      <c r="C1660" s="321"/>
      <c r="D1660" s="324" t="s">
        <v>5022</v>
      </c>
      <c r="E1660" s="394" t="s">
        <v>5023</v>
      </c>
      <c r="F1660" s="403" t="s">
        <v>3862</v>
      </c>
      <c r="G1660" s="399" t="s">
        <v>5024</v>
      </c>
      <c r="H1660" s="326" t="s">
        <v>5025</v>
      </c>
      <c r="I1660" s="326" t="s">
        <v>5026</v>
      </c>
      <c r="J1660" s="327" t="s">
        <v>5027</v>
      </c>
    </row>
    <row r="1661" spans="1:10" ht="47" thickBot="1">
      <c r="A1661" s="338"/>
      <c r="B1661" s="321"/>
      <c r="C1661" s="321"/>
      <c r="D1661" s="324" t="s">
        <v>5028</v>
      </c>
      <c r="E1661" s="394" t="s">
        <v>5029</v>
      </c>
      <c r="F1661" s="403" t="s">
        <v>3862</v>
      </c>
      <c r="G1661" s="399" t="s">
        <v>5030</v>
      </c>
      <c r="H1661" s="326" t="s">
        <v>5031</v>
      </c>
      <c r="I1661" s="326" t="s">
        <v>5032</v>
      </c>
      <c r="J1661" s="327" t="s">
        <v>5033</v>
      </c>
    </row>
    <row r="1662" spans="1:10" ht="31.5" thickBot="1">
      <c r="A1662" s="338"/>
      <c r="B1662" s="321"/>
      <c r="C1662" s="321" t="s">
        <v>5034</v>
      </c>
      <c r="D1662" s="324" t="s">
        <v>5035</v>
      </c>
      <c r="E1662" s="394" t="s">
        <v>5036</v>
      </c>
      <c r="F1662" s="403" t="s">
        <v>3862</v>
      </c>
      <c r="G1662" s="399" t="s">
        <v>5037</v>
      </c>
      <c r="H1662" s="326" t="s">
        <v>5038</v>
      </c>
      <c r="I1662" s="326" t="s">
        <v>4818</v>
      </c>
      <c r="J1662" s="327" t="s">
        <v>5039</v>
      </c>
    </row>
    <row r="1663" spans="1:10" ht="31.5" thickBot="1">
      <c r="A1663" s="338"/>
      <c r="B1663" s="321"/>
      <c r="C1663" s="321"/>
      <c r="D1663" s="324" t="s">
        <v>5040</v>
      </c>
      <c r="E1663" s="394" t="s">
        <v>5041</v>
      </c>
      <c r="F1663" s="403" t="s">
        <v>3862</v>
      </c>
      <c r="G1663" s="399" t="s">
        <v>5042</v>
      </c>
      <c r="H1663" s="326" t="s">
        <v>5043</v>
      </c>
      <c r="I1663" s="326" t="s">
        <v>5044</v>
      </c>
      <c r="J1663" s="327" t="s">
        <v>5045</v>
      </c>
    </row>
    <row r="1664" spans="1:10" ht="16" thickBot="1">
      <c r="A1664" s="338"/>
      <c r="B1664" s="321"/>
      <c r="C1664" s="321"/>
      <c r="D1664" s="324" t="s">
        <v>5046</v>
      </c>
      <c r="E1664" s="394" t="s">
        <v>5047</v>
      </c>
      <c r="F1664" s="403" t="s">
        <v>3862</v>
      </c>
      <c r="G1664" s="399" t="s">
        <v>5048</v>
      </c>
      <c r="H1664" s="326" t="s">
        <v>5049</v>
      </c>
      <c r="I1664" s="326" t="s">
        <v>5050</v>
      </c>
      <c r="J1664" s="327" t="s">
        <v>5051</v>
      </c>
    </row>
    <row r="1665" spans="1:10" ht="31.5" thickBot="1">
      <c r="A1665" s="338"/>
      <c r="B1665" s="321"/>
      <c r="C1665" s="321"/>
      <c r="D1665" s="324" t="s">
        <v>5052</v>
      </c>
      <c r="E1665" s="394" t="s">
        <v>5053</v>
      </c>
      <c r="F1665" s="403" t="s">
        <v>3862</v>
      </c>
      <c r="G1665" s="399" t="s">
        <v>5054</v>
      </c>
      <c r="H1665" s="326" t="s">
        <v>5055</v>
      </c>
      <c r="I1665" s="326" t="s">
        <v>5056</v>
      </c>
      <c r="J1665" s="327" t="s">
        <v>5057</v>
      </c>
    </row>
    <row r="1666" spans="1:10" ht="31.5" thickBot="1">
      <c r="A1666" s="338"/>
      <c r="B1666" s="321"/>
      <c r="C1666" s="321"/>
      <c r="D1666" s="324" t="s">
        <v>5058</v>
      </c>
      <c r="E1666" s="394" t="s">
        <v>5059</v>
      </c>
      <c r="F1666" s="403" t="s">
        <v>3862</v>
      </c>
      <c r="G1666" s="399" t="s">
        <v>5060</v>
      </c>
      <c r="H1666" s="326" t="s">
        <v>5061</v>
      </c>
      <c r="I1666" s="326" t="s">
        <v>5062</v>
      </c>
      <c r="J1666" s="327" t="s">
        <v>5063</v>
      </c>
    </row>
    <row r="1667" spans="1:10" ht="47" thickBot="1">
      <c r="A1667" s="338"/>
      <c r="B1667" s="321"/>
      <c r="C1667" s="321" t="s">
        <v>5064</v>
      </c>
      <c r="D1667" s="324" t="s">
        <v>5065</v>
      </c>
      <c r="E1667" s="394" t="s">
        <v>5066</v>
      </c>
      <c r="F1667" s="403" t="s">
        <v>3862</v>
      </c>
      <c r="G1667" s="399" t="s">
        <v>5067</v>
      </c>
      <c r="H1667" s="326" t="s">
        <v>5068</v>
      </c>
      <c r="I1667" s="326" t="s">
        <v>5069</v>
      </c>
      <c r="J1667" s="327" t="s">
        <v>5070</v>
      </c>
    </row>
    <row r="1668" spans="1:10" ht="31.5" thickBot="1">
      <c r="A1668" s="338"/>
      <c r="B1668" s="321"/>
      <c r="C1668" s="321"/>
      <c r="D1668" s="324" t="s">
        <v>5071</v>
      </c>
      <c r="E1668" s="394" t="s">
        <v>5072</v>
      </c>
      <c r="F1668" s="403" t="s">
        <v>3862</v>
      </c>
      <c r="G1668" s="399" t="s">
        <v>5048</v>
      </c>
      <c r="H1668" s="326" t="s">
        <v>4831</v>
      </c>
      <c r="I1668" s="326" t="s">
        <v>5073</v>
      </c>
      <c r="J1668" s="327" t="s">
        <v>5074</v>
      </c>
    </row>
    <row r="1669" spans="1:10" ht="31.5" thickBot="1">
      <c r="A1669" s="338"/>
      <c r="B1669" s="321"/>
      <c r="C1669" s="321"/>
      <c r="D1669" s="324" t="s">
        <v>5075</v>
      </c>
      <c r="E1669" s="394" t="s">
        <v>5076</v>
      </c>
      <c r="F1669" s="403" t="s">
        <v>3862</v>
      </c>
      <c r="G1669" s="399" t="s">
        <v>5077</v>
      </c>
      <c r="H1669" s="326" t="s">
        <v>5078</v>
      </c>
      <c r="I1669" s="326" t="s">
        <v>5079</v>
      </c>
      <c r="J1669" s="327" t="s">
        <v>5080</v>
      </c>
    </row>
    <row r="1670" spans="1:10" ht="62.5" thickBot="1">
      <c r="A1670" s="338"/>
      <c r="B1670" s="321"/>
      <c r="C1670" s="321"/>
      <c r="D1670" s="324" t="s">
        <v>5081</v>
      </c>
      <c r="E1670" s="394" t="s">
        <v>5082</v>
      </c>
      <c r="F1670" s="403" t="s">
        <v>3862</v>
      </c>
      <c r="G1670" s="399" t="s">
        <v>5083</v>
      </c>
      <c r="H1670" s="326" t="s">
        <v>5084</v>
      </c>
      <c r="I1670" s="326" t="s">
        <v>5085</v>
      </c>
      <c r="J1670" s="327" t="s">
        <v>5086</v>
      </c>
    </row>
    <row r="1671" spans="1:10" ht="47" thickBot="1">
      <c r="A1671" s="338"/>
      <c r="B1671" s="321"/>
      <c r="C1671" s="321"/>
      <c r="D1671" s="324" t="s">
        <v>2154</v>
      </c>
      <c r="E1671" s="394" t="s">
        <v>5087</v>
      </c>
      <c r="F1671" s="403" t="s">
        <v>3862</v>
      </c>
      <c r="G1671" s="399" t="s">
        <v>5088</v>
      </c>
      <c r="H1671" s="326" t="s">
        <v>4873</v>
      </c>
      <c r="I1671" s="326" t="s">
        <v>5089</v>
      </c>
      <c r="J1671" s="327" t="s">
        <v>5090</v>
      </c>
    </row>
    <row r="1672" spans="1:10" ht="31.5" thickBot="1">
      <c r="A1672" s="338"/>
      <c r="B1672" s="321"/>
      <c r="C1672" s="321" t="s">
        <v>5091</v>
      </c>
      <c r="D1672" s="324" t="s">
        <v>5092</v>
      </c>
      <c r="E1672" s="394" t="s">
        <v>5093</v>
      </c>
      <c r="F1672" s="403" t="s">
        <v>3862</v>
      </c>
      <c r="G1672" s="399" t="s">
        <v>5094</v>
      </c>
      <c r="H1672" s="326" t="s">
        <v>5095</v>
      </c>
      <c r="I1672" s="326" t="s">
        <v>5096</v>
      </c>
      <c r="J1672" s="327" t="s">
        <v>5097</v>
      </c>
    </row>
    <row r="1673" spans="1:10" ht="31.5" thickBot="1">
      <c r="A1673" s="338"/>
      <c r="B1673" s="321"/>
      <c r="C1673" s="321"/>
      <c r="D1673" s="324" t="s">
        <v>5098</v>
      </c>
      <c r="E1673" s="394" t="s">
        <v>1899</v>
      </c>
      <c r="F1673" s="403" t="s">
        <v>3862</v>
      </c>
      <c r="G1673" s="399" t="s">
        <v>5099</v>
      </c>
      <c r="H1673" s="326" t="s">
        <v>5100</v>
      </c>
      <c r="I1673" s="326" t="s">
        <v>5101</v>
      </c>
      <c r="J1673" s="327" t="s">
        <v>5102</v>
      </c>
    </row>
    <row r="1674" spans="1:10" ht="31.5" thickBot="1">
      <c r="A1674" s="338"/>
      <c r="B1674" s="321"/>
      <c r="C1674" s="321"/>
      <c r="D1674" s="324" t="s">
        <v>5103</v>
      </c>
      <c r="E1674" s="394" t="s">
        <v>5104</v>
      </c>
      <c r="F1674" s="403" t="s">
        <v>3862</v>
      </c>
      <c r="G1674" s="399" t="s">
        <v>5105</v>
      </c>
      <c r="H1674" s="326" t="s">
        <v>5106</v>
      </c>
      <c r="I1674" s="326" t="s">
        <v>5107</v>
      </c>
      <c r="J1674" s="327" t="s">
        <v>5108</v>
      </c>
    </row>
    <row r="1675" spans="1:10" ht="31.5" thickBot="1">
      <c r="A1675" s="338"/>
      <c r="B1675" s="321"/>
      <c r="C1675" s="321"/>
      <c r="D1675" s="324" t="s">
        <v>5109</v>
      </c>
      <c r="E1675" s="394" t="s">
        <v>5110</v>
      </c>
      <c r="F1675" s="403" t="s">
        <v>3862</v>
      </c>
      <c r="G1675" s="399" t="s">
        <v>5111</v>
      </c>
      <c r="H1675" s="326" t="s">
        <v>5112</v>
      </c>
      <c r="I1675" s="326" t="s">
        <v>5113</v>
      </c>
      <c r="J1675" s="327" t="s">
        <v>5114</v>
      </c>
    </row>
    <row r="1676" spans="1:10" ht="31.5" thickBot="1">
      <c r="A1676" s="338"/>
      <c r="B1676" s="321"/>
      <c r="C1676" s="321"/>
      <c r="D1676" s="324" t="s">
        <v>5115</v>
      </c>
      <c r="E1676" s="394" t="s">
        <v>5116</v>
      </c>
      <c r="F1676" s="403" t="s">
        <v>3862</v>
      </c>
      <c r="G1676" s="399" t="s">
        <v>5117</v>
      </c>
      <c r="H1676" s="326" t="s">
        <v>5118</v>
      </c>
      <c r="I1676" s="326" t="s">
        <v>5119</v>
      </c>
      <c r="J1676" s="327" t="s">
        <v>5120</v>
      </c>
    </row>
    <row r="1677" spans="1:10" ht="31.5" thickBot="1">
      <c r="A1677" s="338"/>
      <c r="B1677" s="321"/>
      <c r="C1677" s="321" t="s">
        <v>5121</v>
      </c>
      <c r="D1677" s="324" t="s">
        <v>5122</v>
      </c>
      <c r="E1677" s="394" t="s">
        <v>5123</v>
      </c>
      <c r="F1677" s="403" t="s">
        <v>3862</v>
      </c>
      <c r="G1677" s="399" t="s">
        <v>5124</v>
      </c>
      <c r="H1677" s="326" t="s">
        <v>5125</v>
      </c>
      <c r="I1677" s="326" t="s">
        <v>5126</v>
      </c>
      <c r="J1677" s="327" t="s">
        <v>5127</v>
      </c>
    </row>
    <row r="1678" spans="1:10" ht="31.5" thickBot="1">
      <c r="A1678" s="338"/>
      <c r="B1678" s="321"/>
      <c r="C1678" s="321"/>
      <c r="D1678" s="324" t="s">
        <v>5128</v>
      </c>
      <c r="E1678" s="394" t="s">
        <v>5129</v>
      </c>
      <c r="F1678" s="403" t="s">
        <v>3862</v>
      </c>
      <c r="G1678" s="399" t="s">
        <v>5130</v>
      </c>
      <c r="H1678" s="326" t="s">
        <v>5131</v>
      </c>
      <c r="I1678" s="326" t="s">
        <v>5132</v>
      </c>
      <c r="J1678" s="327" t="s">
        <v>5133</v>
      </c>
    </row>
    <row r="1679" spans="1:10" ht="47" thickBot="1">
      <c r="A1679" s="338"/>
      <c r="B1679" s="321"/>
      <c r="C1679" s="321"/>
      <c r="D1679" s="324" t="s">
        <v>5134</v>
      </c>
      <c r="E1679" s="394" t="s">
        <v>5135</v>
      </c>
      <c r="F1679" s="403" t="s">
        <v>3862</v>
      </c>
      <c r="G1679" s="399" t="s">
        <v>5136</v>
      </c>
      <c r="H1679" s="326" t="s">
        <v>5137</v>
      </c>
      <c r="I1679" s="326" t="s">
        <v>5138</v>
      </c>
      <c r="J1679" s="327" t="s">
        <v>5139</v>
      </c>
    </row>
    <row r="1680" spans="1:10" ht="47" thickBot="1">
      <c r="A1680" s="338"/>
      <c r="B1680" s="321"/>
      <c r="C1680" s="321"/>
      <c r="D1680" s="324" t="s">
        <v>4584</v>
      </c>
      <c r="E1680" s="394" t="s">
        <v>5140</v>
      </c>
      <c r="F1680" s="403" t="s">
        <v>3862</v>
      </c>
      <c r="G1680" s="399" t="s">
        <v>4925</v>
      </c>
      <c r="H1680" s="326" t="s">
        <v>5141</v>
      </c>
      <c r="I1680" s="326" t="s">
        <v>5142</v>
      </c>
      <c r="J1680" s="327" t="s">
        <v>5143</v>
      </c>
    </row>
    <row r="1681" spans="1:10" ht="31.5" thickBot="1">
      <c r="A1681" s="338"/>
      <c r="B1681" s="321"/>
      <c r="C1681" s="321"/>
      <c r="D1681" s="324" t="s">
        <v>5144</v>
      </c>
      <c r="E1681" s="394" t="s">
        <v>5145</v>
      </c>
      <c r="F1681" s="403" t="s">
        <v>3862</v>
      </c>
      <c r="G1681" s="399" t="s">
        <v>5146</v>
      </c>
      <c r="H1681" s="326" t="s">
        <v>5147</v>
      </c>
      <c r="I1681" s="326" t="s">
        <v>5148</v>
      </c>
      <c r="J1681" s="327" t="s">
        <v>5149</v>
      </c>
    </row>
    <row r="1682" spans="1:10" ht="16" thickBot="1">
      <c r="A1682" s="338"/>
      <c r="B1682" s="321"/>
      <c r="C1682" s="321" t="s">
        <v>5150</v>
      </c>
      <c r="D1682" s="324" t="s">
        <v>5151</v>
      </c>
      <c r="E1682" s="393" t="s">
        <v>5152</v>
      </c>
      <c r="F1682" s="345" t="s">
        <v>3862</v>
      </c>
      <c r="G1682" s="398" t="s">
        <v>5153</v>
      </c>
      <c r="H1682" s="324" t="s">
        <v>5154</v>
      </c>
      <c r="I1682" s="324" t="s">
        <v>5155</v>
      </c>
      <c r="J1682" s="325" t="s">
        <v>5156</v>
      </c>
    </row>
    <row r="1683" spans="1:10" ht="16" thickBot="1">
      <c r="A1683" s="338"/>
      <c r="B1683" s="321"/>
      <c r="C1683" s="321"/>
      <c r="D1683" s="324" t="s">
        <v>4815</v>
      </c>
      <c r="E1683" s="393" t="s">
        <v>5157</v>
      </c>
      <c r="F1683" s="345" t="s">
        <v>3862</v>
      </c>
      <c r="G1683" s="398" t="s">
        <v>5158</v>
      </c>
      <c r="H1683" s="324" t="s">
        <v>5159</v>
      </c>
      <c r="I1683" s="324" t="s">
        <v>5160</v>
      </c>
      <c r="J1683" s="325" t="s">
        <v>5161</v>
      </c>
    </row>
    <row r="1684" spans="1:10" ht="16" thickBot="1">
      <c r="A1684" s="338"/>
      <c r="B1684" s="321"/>
      <c r="C1684" s="321"/>
      <c r="D1684" s="324" t="s">
        <v>5162</v>
      </c>
      <c r="E1684" s="393" t="s">
        <v>5163</v>
      </c>
      <c r="F1684" s="345" t="s">
        <v>3862</v>
      </c>
      <c r="G1684" s="398" t="s">
        <v>5164</v>
      </c>
      <c r="H1684" s="324" t="s">
        <v>5165</v>
      </c>
      <c r="I1684" s="324" t="s">
        <v>4297</v>
      </c>
      <c r="J1684" s="325" t="s">
        <v>5166</v>
      </c>
    </row>
    <row r="1685" spans="1:10" ht="16" thickBot="1">
      <c r="A1685" s="338"/>
      <c r="B1685" s="321"/>
      <c r="C1685" s="321"/>
      <c r="D1685" s="324" t="s">
        <v>5167</v>
      </c>
      <c r="E1685" s="393" t="s">
        <v>5168</v>
      </c>
      <c r="F1685" s="345" t="s">
        <v>3862</v>
      </c>
      <c r="G1685" s="398" t="s">
        <v>5130</v>
      </c>
      <c r="H1685" s="324" t="s">
        <v>5169</v>
      </c>
      <c r="I1685" s="324" t="s">
        <v>5170</v>
      </c>
      <c r="J1685" s="325" t="s">
        <v>5171</v>
      </c>
    </row>
    <row r="1686" spans="1:10" ht="16" thickBot="1">
      <c r="A1686" s="338"/>
      <c r="B1686" s="321"/>
      <c r="C1686" s="321"/>
      <c r="D1686" s="324" t="s">
        <v>5172</v>
      </c>
      <c r="E1686" s="393" t="s">
        <v>5173</v>
      </c>
      <c r="F1686" s="345" t="s">
        <v>3862</v>
      </c>
      <c r="G1686" s="398" t="s">
        <v>5174</v>
      </c>
      <c r="H1686" s="324" t="s">
        <v>5175</v>
      </c>
      <c r="I1686" s="324" t="s">
        <v>5176</v>
      </c>
      <c r="J1686" s="325" t="s">
        <v>5177</v>
      </c>
    </row>
    <row r="1687" spans="1:10" ht="16" thickBot="1">
      <c r="A1687" s="338"/>
      <c r="B1687" s="321"/>
      <c r="C1687" s="321" t="s">
        <v>5178</v>
      </c>
      <c r="D1687" s="333"/>
      <c r="E1687" s="406"/>
      <c r="F1687" s="410" t="s">
        <v>23</v>
      </c>
      <c r="G1687" s="408"/>
      <c r="H1687" s="333"/>
      <c r="I1687" s="333"/>
      <c r="J1687" s="334"/>
    </row>
    <row r="1688" spans="1:10" ht="16" thickBot="1">
      <c r="A1688" s="338"/>
      <c r="B1688" s="321"/>
      <c r="C1688" s="321"/>
      <c r="D1688" s="333"/>
      <c r="E1688" s="406"/>
      <c r="F1688" s="410" t="s">
        <v>23</v>
      </c>
      <c r="G1688" s="408"/>
      <c r="H1688" s="333"/>
      <c r="I1688" s="333"/>
      <c r="J1688" s="334"/>
    </row>
    <row r="1689" spans="1:10" ht="16" thickBot="1">
      <c r="A1689" s="338"/>
      <c r="B1689" s="321"/>
      <c r="C1689" s="321"/>
      <c r="D1689" s="333"/>
      <c r="E1689" s="406"/>
      <c r="F1689" s="410" t="s">
        <v>58</v>
      </c>
      <c r="G1689" s="408"/>
      <c r="H1689" s="333"/>
      <c r="I1689" s="333"/>
      <c r="J1689" s="334"/>
    </row>
    <row r="1690" spans="1:10" ht="16" thickBot="1">
      <c r="A1690" s="338"/>
      <c r="B1690" s="321"/>
      <c r="C1690" s="321"/>
      <c r="D1690" s="333"/>
      <c r="E1690" s="406"/>
      <c r="F1690" s="410" t="s">
        <v>23</v>
      </c>
      <c r="G1690" s="408"/>
      <c r="H1690" s="333"/>
      <c r="I1690" s="333"/>
      <c r="J1690" s="334"/>
    </row>
    <row r="1691" spans="1:10" ht="16" thickBot="1">
      <c r="A1691" s="338"/>
      <c r="B1691" s="321"/>
      <c r="C1691" s="321"/>
      <c r="D1691" s="333"/>
      <c r="E1691" s="406"/>
      <c r="F1691" s="410" t="s">
        <v>58</v>
      </c>
      <c r="G1691" s="408"/>
      <c r="H1691" s="333"/>
      <c r="I1691" s="333"/>
      <c r="J1691" s="334"/>
    </row>
    <row r="1692" spans="1:10" ht="16" thickBot="1">
      <c r="A1692" s="338"/>
      <c r="B1692" s="321"/>
      <c r="C1692" s="321" t="s">
        <v>5179</v>
      </c>
      <c r="D1692" s="333"/>
      <c r="E1692" s="406"/>
      <c r="F1692" s="410" t="s">
        <v>58</v>
      </c>
      <c r="G1692" s="408"/>
      <c r="H1692" s="333"/>
      <c r="I1692" s="333"/>
      <c r="J1692" s="334"/>
    </row>
    <row r="1693" spans="1:10" ht="16" thickBot="1">
      <c r="A1693" s="338"/>
      <c r="B1693" s="321"/>
      <c r="C1693" s="321"/>
      <c r="D1693" s="333"/>
      <c r="E1693" s="406"/>
      <c r="F1693" s="410" t="s">
        <v>58</v>
      </c>
      <c r="G1693" s="408"/>
      <c r="H1693" s="333"/>
      <c r="I1693" s="333"/>
      <c r="J1693" s="334"/>
    </row>
    <row r="1694" spans="1:10" ht="16" thickBot="1">
      <c r="A1694" s="338"/>
      <c r="B1694" s="321"/>
      <c r="C1694" s="321"/>
      <c r="D1694" s="333"/>
      <c r="E1694" s="406"/>
      <c r="F1694" s="410" t="s">
        <v>23</v>
      </c>
      <c r="G1694" s="408"/>
      <c r="H1694" s="333"/>
      <c r="I1694" s="333"/>
      <c r="J1694" s="334"/>
    </row>
    <row r="1695" spans="1:10" ht="16" thickBot="1">
      <c r="A1695" s="338"/>
      <c r="B1695" s="321"/>
      <c r="C1695" s="321"/>
      <c r="D1695" s="333"/>
      <c r="E1695" s="406"/>
      <c r="F1695" s="410" t="s">
        <v>3862</v>
      </c>
      <c r="G1695" s="408"/>
      <c r="H1695" s="333"/>
      <c r="I1695" s="333"/>
      <c r="J1695" s="334"/>
    </row>
    <row r="1696" spans="1:10" ht="16" thickBot="1">
      <c r="A1696" s="338"/>
      <c r="B1696" s="321"/>
      <c r="C1696" s="321"/>
      <c r="D1696" s="333"/>
      <c r="E1696" s="406"/>
      <c r="F1696" s="410" t="s">
        <v>3862</v>
      </c>
      <c r="G1696" s="408"/>
      <c r="H1696" s="333"/>
      <c r="I1696" s="333"/>
      <c r="J1696" s="334"/>
    </row>
    <row r="1697" spans="1:10" ht="16" thickBot="1">
      <c r="A1697" s="338"/>
      <c r="B1697" s="321"/>
      <c r="C1697" s="321" t="s">
        <v>5180</v>
      </c>
      <c r="D1697" s="333"/>
      <c r="E1697" s="406"/>
      <c r="F1697" s="410" t="s">
        <v>3862</v>
      </c>
      <c r="G1697" s="408"/>
      <c r="H1697" s="333"/>
      <c r="I1697" s="333"/>
      <c r="J1697" s="334"/>
    </row>
    <row r="1698" spans="1:10" ht="16" thickBot="1">
      <c r="A1698" s="338"/>
      <c r="B1698" s="321"/>
      <c r="C1698" s="321"/>
      <c r="D1698" s="333"/>
      <c r="E1698" s="406"/>
      <c r="F1698" s="410" t="s">
        <v>3862</v>
      </c>
      <c r="G1698" s="408"/>
      <c r="H1698" s="333"/>
      <c r="I1698" s="333"/>
      <c r="J1698" s="334"/>
    </row>
    <row r="1699" spans="1:10" ht="16" thickBot="1">
      <c r="A1699" s="338"/>
      <c r="B1699" s="321"/>
      <c r="C1699" s="321"/>
      <c r="D1699" s="333"/>
      <c r="E1699" s="406"/>
      <c r="F1699" s="410" t="s">
        <v>3862</v>
      </c>
      <c r="G1699" s="408"/>
      <c r="H1699" s="333"/>
      <c r="I1699" s="333"/>
      <c r="J1699" s="334"/>
    </row>
    <row r="1700" spans="1:10" ht="16" thickBot="1">
      <c r="A1700" s="338"/>
      <c r="B1700" s="321"/>
      <c r="C1700" s="321"/>
      <c r="D1700" s="333"/>
      <c r="E1700" s="406"/>
      <c r="F1700" s="410" t="s">
        <v>3862</v>
      </c>
      <c r="G1700" s="408"/>
      <c r="H1700" s="333"/>
      <c r="I1700" s="333"/>
      <c r="J1700" s="334"/>
    </row>
    <row r="1701" spans="1:10" ht="16" thickBot="1">
      <c r="A1701" s="338"/>
      <c r="B1701" s="321"/>
      <c r="C1701" s="321"/>
      <c r="D1701" s="333"/>
      <c r="E1701" s="406"/>
      <c r="F1701" s="410" t="s">
        <v>3862</v>
      </c>
      <c r="G1701" s="408"/>
      <c r="H1701" s="333"/>
      <c r="I1701" s="333"/>
      <c r="J1701" s="334"/>
    </row>
    <row r="1702" spans="1:10" ht="31.5" thickBot="1">
      <c r="A1702" s="338"/>
      <c r="B1702" s="321" t="s">
        <v>5181</v>
      </c>
      <c r="C1702" s="321" t="s">
        <v>5182</v>
      </c>
      <c r="D1702" s="324" t="s">
        <v>5183</v>
      </c>
      <c r="E1702" s="394" t="s">
        <v>5184</v>
      </c>
      <c r="F1702" s="403" t="s">
        <v>3862</v>
      </c>
      <c r="G1702" s="399" t="s">
        <v>5185</v>
      </c>
      <c r="H1702" s="326" t="s">
        <v>5186</v>
      </c>
      <c r="I1702" s="326" t="s">
        <v>5187</v>
      </c>
      <c r="J1702" s="327" t="s">
        <v>5188</v>
      </c>
    </row>
    <row r="1703" spans="1:10" ht="31.5" thickBot="1">
      <c r="A1703" s="338"/>
      <c r="B1703" s="321"/>
      <c r="C1703" s="321"/>
      <c r="D1703" s="324" t="s">
        <v>5189</v>
      </c>
      <c r="E1703" s="394" t="s">
        <v>5190</v>
      </c>
      <c r="F1703" s="403" t="s">
        <v>3862</v>
      </c>
      <c r="G1703" s="399" t="s">
        <v>5191</v>
      </c>
      <c r="H1703" s="326" t="s">
        <v>5192</v>
      </c>
      <c r="I1703" s="326" t="s">
        <v>5193</v>
      </c>
      <c r="J1703" s="327" t="s">
        <v>4364</v>
      </c>
    </row>
    <row r="1704" spans="1:10" ht="31.5" thickBot="1">
      <c r="A1704" s="338"/>
      <c r="B1704" s="321"/>
      <c r="C1704" s="321"/>
      <c r="D1704" s="324" t="s">
        <v>4427</v>
      </c>
      <c r="E1704" s="394" t="s">
        <v>5194</v>
      </c>
      <c r="F1704" s="403" t="s">
        <v>3862</v>
      </c>
      <c r="G1704" s="399" t="s">
        <v>5195</v>
      </c>
      <c r="H1704" s="326" t="s">
        <v>5196</v>
      </c>
      <c r="I1704" s="326" t="s">
        <v>5197</v>
      </c>
      <c r="J1704" s="327" t="s">
        <v>5198</v>
      </c>
    </row>
    <row r="1705" spans="1:10" ht="31.5" thickBot="1">
      <c r="A1705" s="338"/>
      <c r="B1705" s="321"/>
      <c r="C1705" s="321"/>
      <c r="D1705" s="324" t="s">
        <v>5199</v>
      </c>
      <c r="E1705" s="394" t="s">
        <v>5200</v>
      </c>
      <c r="F1705" s="403" t="s">
        <v>3862</v>
      </c>
      <c r="G1705" s="399" t="s">
        <v>5201</v>
      </c>
      <c r="H1705" s="326" t="s">
        <v>5202</v>
      </c>
      <c r="I1705" s="326" t="s">
        <v>5203</v>
      </c>
      <c r="J1705" s="327" t="s">
        <v>5204</v>
      </c>
    </row>
    <row r="1706" spans="1:10" ht="31.5" thickBot="1">
      <c r="A1706" s="338"/>
      <c r="B1706" s="321"/>
      <c r="C1706" s="321"/>
      <c r="D1706" s="324" t="s">
        <v>2154</v>
      </c>
      <c r="E1706" s="394" t="s">
        <v>5205</v>
      </c>
      <c r="F1706" s="403" t="s">
        <v>3862</v>
      </c>
      <c r="G1706" s="399" t="s">
        <v>5206</v>
      </c>
      <c r="H1706" s="326" t="s">
        <v>4873</v>
      </c>
      <c r="I1706" s="326" t="s">
        <v>5207</v>
      </c>
      <c r="J1706" s="327" t="s">
        <v>5208</v>
      </c>
    </row>
    <row r="1707" spans="1:10" ht="47" thickBot="1">
      <c r="A1707" s="338"/>
      <c r="B1707" s="321"/>
      <c r="C1707" s="321" t="s">
        <v>5209</v>
      </c>
      <c r="D1707" s="324" t="s">
        <v>5210</v>
      </c>
      <c r="E1707" s="394" t="s">
        <v>5211</v>
      </c>
      <c r="F1707" s="403" t="s">
        <v>3862</v>
      </c>
      <c r="G1707" s="399" t="s">
        <v>5212</v>
      </c>
      <c r="H1707" s="326" t="s">
        <v>5213</v>
      </c>
      <c r="I1707" s="326" t="s">
        <v>5214</v>
      </c>
      <c r="J1707" s="327" t="s">
        <v>5215</v>
      </c>
    </row>
    <row r="1708" spans="1:10" ht="31.5" thickBot="1">
      <c r="A1708" s="338"/>
      <c r="B1708" s="321"/>
      <c r="C1708" s="321"/>
      <c r="D1708" s="324" t="s">
        <v>5216</v>
      </c>
      <c r="E1708" s="394" t="s">
        <v>5217</v>
      </c>
      <c r="F1708" s="403" t="s">
        <v>3862</v>
      </c>
      <c r="G1708" s="399" t="s">
        <v>5218</v>
      </c>
      <c r="H1708" s="326" t="s">
        <v>5219</v>
      </c>
      <c r="I1708" s="326" t="s">
        <v>5220</v>
      </c>
      <c r="J1708" s="327" t="s">
        <v>5221</v>
      </c>
    </row>
    <row r="1709" spans="1:10" ht="47" thickBot="1">
      <c r="A1709" s="338"/>
      <c r="B1709" s="321"/>
      <c r="C1709" s="321"/>
      <c r="D1709" s="324" t="s">
        <v>5222</v>
      </c>
      <c r="E1709" s="394" t="s">
        <v>5223</v>
      </c>
      <c r="F1709" s="403" t="s">
        <v>3862</v>
      </c>
      <c r="G1709" s="399" t="s">
        <v>5224</v>
      </c>
      <c r="H1709" s="326" t="s">
        <v>5225</v>
      </c>
      <c r="I1709" s="326" t="s">
        <v>5226</v>
      </c>
      <c r="J1709" s="327" t="s">
        <v>5227</v>
      </c>
    </row>
    <row r="1710" spans="1:10" ht="47" thickBot="1">
      <c r="A1710" s="338"/>
      <c r="B1710" s="321"/>
      <c r="C1710" s="321"/>
      <c r="D1710" s="324" t="s">
        <v>5228</v>
      </c>
      <c r="E1710" s="394" t="s">
        <v>5229</v>
      </c>
      <c r="F1710" s="403" t="s">
        <v>3862</v>
      </c>
      <c r="G1710" s="399" t="s">
        <v>5230</v>
      </c>
      <c r="H1710" s="326" t="s">
        <v>5231</v>
      </c>
      <c r="I1710" s="326" t="s">
        <v>5232</v>
      </c>
      <c r="J1710" s="327" t="s">
        <v>5233</v>
      </c>
    </row>
    <row r="1711" spans="1:10" ht="47" thickBot="1">
      <c r="A1711" s="338"/>
      <c r="B1711" s="321"/>
      <c r="C1711" s="321"/>
      <c r="D1711" s="324" t="s">
        <v>5234</v>
      </c>
      <c r="E1711" s="394" t="s">
        <v>5235</v>
      </c>
      <c r="F1711" s="403" t="s">
        <v>3862</v>
      </c>
      <c r="G1711" s="399" t="s">
        <v>5236</v>
      </c>
      <c r="H1711" s="326" t="s">
        <v>5237</v>
      </c>
      <c r="I1711" s="326" t="s">
        <v>5238</v>
      </c>
      <c r="J1711" s="327" t="s">
        <v>5239</v>
      </c>
    </row>
    <row r="1712" spans="1:10" ht="31.5" thickBot="1">
      <c r="A1712" s="338"/>
      <c r="B1712" s="321"/>
      <c r="C1712" s="321" t="s">
        <v>5240</v>
      </c>
      <c r="D1712" s="324" t="s">
        <v>5241</v>
      </c>
      <c r="E1712" s="394" t="s">
        <v>5242</v>
      </c>
      <c r="F1712" s="403" t="s">
        <v>3862</v>
      </c>
      <c r="G1712" s="399" t="s">
        <v>4111</v>
      </c>
      <c r="H1712" s="326" t="s">
        <v>5243</v>
      </c>
      <c r="I1712" s="326" t="s">
        <v>4818</v>
      </c>
      <c r="J1712" s="327" t="s">
        <v>5244</v>
      </c>
    </row>
    <row r="1713" spans="1:10" ht="31.5" thickBot="1">
      <c r="A1713" s="338"/>
      <c r="B1713" s="321"/>
      <c r="C1713" s="321"/>
      <c r="D1713" s="324" t="s">
        <v>5245</v>
      </c>
      <c r="E1713" s="394" t="s">
        <v>5246</v>
      </c>
      <c r="F1713" s="403" t="s">
        <v>3862</v>
      </c>
      <c r="G1713" s="399" t="s">
        <v>5247</v>
      </c>
      <c r="H1713" s="326" t="s">
        <v>5248</v>
      </c>
      <c r="I1713" s="326" t="s">
        <v>5249</v>
      </c>
      <c r="J1713" s="327" t="s">
        <v>5250</v>
      </c>
    </row>
    <row r="1714" spans="1:10" ht="47" thickBot="1">
      <c r="A1714" s="338"/>
      <c r="B1714" s="321"/>
      <c r="C1714" s="321"/>
      <c r="D1714" s="324" t="s">
        <v>5251</v>
      </c>
      <c r="E1714" s="394" t="s">
        <v>5082</v>
      </c>
      <c r="F1714" s="403" t="s">
        <v>3862</v>
      </c>
      <c r="G1714" s="399" t="s">
        <v>5252</v>
      </c>
      <c r="H1714" s="326" t="s">
        <v>5253</v>
      </c>
      <c r="I1714" s="326" t="s">
        <v>5254</v>
      </c>
      <c r="J1714" s="327" t="s">
        <v>5255</v>
      </c>
    </row>
    <row r="1715" spans="1:10" ht="31.5" thickBot="1">
      <c r="A1715" s="338"/>
      <c r="B1715" s="321"/>
      <c r="C1715" s="321"/>
      <c r="D1715" s="324" t="s">
        <v>5256</v>
      </c>
      <c r="E1715" s="394" t="s">
        <v>5257</v>
      </c>
      <c r="F1715" s="403" t="s">
        <v>3862</v>
      </c>
      <c r="G1715" s="399" t="s">
        <v>5258</v>
      </c>
      <c r="H1715" s="326" t="s">
        <v>5259</v>
      </c>
      <c r="I1715" s="326" t="s">
        <v>5260</v>
      </c>
      <c r="J1715" s="327" t="s">
        <v>5261</v>
      </c>
    </row>
    <row r="1716" spans="1:10" ht="47" thickBot="1">
      <c r="A1716" s="338"/>
      <c r="B1716" s="321"/>
      <c r="C1716" s="321"/>
      <c r="D1716" s="324" t="s">
        <v>5262</v>
      </c>
      <c r="E1716" s="394" t="s">
        <v>5263</v>
      </c>
      <c r="F1716" s="403" t="s">
        <v>3862</v>
      </c>
      <c r="G1716" s="399" t="s">
        <v>5264</v>
      </c>
      <c r="H1716" s="326" t="s">
        <v>5084</v>
      </c>
      <c r="I1716" s="326" t="s">
        <v>5265</v>
      </c>
      <c r="J1716" s="327" t="s">
        <v>5266</v>
      </c>
    </row>
    <row r="1717" spans="1:10" ht="47" thickBot="1">
      <c r="A1717" s="338"/>
      <c r="B1717" s="321"/>
      <c r="C1717" s="321" t="s">
        <v>5267</v>
      </c>
      <c r="D1717" s="324" t="s">
        <v>5268</v>
      </c>
      <c r="E1717" s="394" t="s">
        <v>5269</v>
      </c>
      <c r="F1717" s="403" t="s">
        <v>3862</v>
      </c>
      <c r="G1717" s="399" t="s">
        <v>5270</v>
      </c>
      <c r="H1717" s="326" t="s">
        <v>4818</v>
      </c>
      <c r="I1717" s="326" t="s">
        <v>5271</v>
      </c>
      <c r="J1717" s="327" t="s">
        <v>5272</v>
      </c>
    </row>
    <row r="1718" spans="1:10" ht="47" thickBot="1">
      <c r="A1718" s="338"/>
      <c r="B1718" s="321"/>
      <c r="C1718" s="321"/>
      <c r="D1718" s="324" t="s">
        <v>5273</v>
      </c>
      <c r="E1718" s="394" t="s">
        <v>5274</v>
      </c>
      <c r="F1718" s="403" t="s">
        <v>3862</v>
      </c>
      <c r="G1718" s="399" t="s">
        <v>5275</v>
      </c>
      <c r="H1718" s="326" t="s">
        <v>4356</v>
      </c>
      <c r="I1718" s="326" t="s">
        <v>5276</v>
      </c>
      <c r="J1718" s="327" t="s">
        <v>5277</v>
      </c>
    </row>
    <row r="1719" spans="1:10" ht="31.5" thickBot="1">
      <c r="A1719" s="338"/>
      <c r="B1719" s="321"/>
      <c r="C1719" s="321"/>
      <c r="D1719" s="324" t="s">
        <v>5278</v>
      </c>
      <c r="E1719" s="394" t="s">
        <v>5279</v>
      </c>
      <c r="F1719" s="403" t="s">
        <v>3862</v>
      </c>
      <c r="G1719" s="399" t="s">
        <v>5280</v>
      </c>
      <c r="H1719" s="326" t="s">
        <v>5281</v>
      </c>
      <c r="I1719" s="326" t="s">
        <v>5282</v>
      </c>
      <c r="J1719" s="327" t="s">
        <v>5283</v>
      </c>
    </row>
    <row r="1720" spans="1:10" ht="47" thickBot="1">
      <c r="A1720" s="338"/>
      <c r="B1720" s="321"/>
      <c r="C1720" s="321"/>
      <c r="D1720" s="324" t="s">
        <v>5016</v>
      </c>
      <c r="E1720" s="394" t="s">
        <v>4366</v>
      </c>
      <c r="F1720" s="403" t="s">
        <v>3862</v>
      </c>
      <c r="G1720" s="399" t="s">
        <v>5284</v>
      </c>
      <c r="H1720" s="326" t="s">
        <v>4189</v>
      </c>
      <c r="I1720" s="326" t="s">
        <v>5285</v>
      </c>
      <c r="J1720" s="327" t="s">
        <v>5286</v>
      </c>
    </row>
    <row r="1721" spans="1:10" ht="31.5" thickBot="1">
      <c r="A1721" s="338"/>
      <c r="B1721" s="321"/>
      <c r="C1721" s="321"/>
      <c r="D1721" s="324" t="s">
        <v>5287</v>
      </c>
      <c r="E1721" s="394" t="s">
        <v>5288</v>
      </c>
      <c r="F1721" s="403" t="s">
        <v>3862</v>
      </c>
      <c r="G1721" s="399" t="s">
        <v>5289</v>
      </c>
      <c r="H1721" s="326" t="s">
        <v>5290</v>
      </c>
      <c r="I1721" s="326" t="s">
        <v>5291</v>
      </c>
      <c r="J1721" s="327" t="s">
        <v>5292</v>
      </c>
    </row>
    <row r="1722" spans="1:10" ht="31.5" thickBot="1">
      <c r="A1722" s="338"/>
      <c r="B1722" s="321"/>
      <c r="C1722" s="321" t="s">
        <v>5293</v>
      </c>
      <c r="D1722" s="324" t="s">
        <v>5294</v>
      </c>
      <c r="E1722" s="394" t="s">
        <v>5295</v>
      </c>
      <c r="F1722" s="403" t="s">
        <v>3862</v>
      </c>
      <c r="G1722" s="399" t="s">
        <v>5296</v>
      </c>
      <c r="H1722" s="326" t="s">
        <v>5297</v>
      </c>
      <c r="I1722" s="326" t="s">
        <v>5298</v>
      </c>
      <c r="J1722" s="327" t="s">
        <v>5299</v>
      </c>
    </row>
    <row r="1723" spans="1:10" ht="31.5" thickBot="1">
      <c r="A1723" s="338"/>
      <c r="B1723" s="321"/>
      <c r="C1723" s="321"/>
      <c r="D1723" s="324" t="s">
        <v>5300</v>
      </c>
      <c r="E1723" s="394" t="s">
        <v>4360</v>
      </c>
      <c r="F1723" s="403" t="s">
        <v>3862</v>
      </c>
      <c r="G1723" s="399" t="s">
        <v>5301</v>
      </c>
      <c r="H1723" s="326" t="s">
        <v>5302</v>
      </c>
      <c r="I1723" s="326" t="s">
        <v>5303</v>
      </c>
      <c r="J1723" s="327" t="s">
        <v>4364</v>
      </c>
    </row>
    <row r="1724" spans="1:10" ht="47" thickBot="1">
      <c r="A1724" s="338"/>
      <c r="B1724" s="321"/>
      <c r="C1724" s="321"/>
      <c r="D1724" s="324" t="s">
        <v>5304</v>
      </c>
      <c r="E1724" s="394" t="s">
        <v>5305</v>
      </c>
      <c r="F1724" s="403" t="s">
        <v>3862</v>
      </c>
      <c r="G1724" s="399" t="s">
        <v>5306</v>
      </c>
      <c r="H1724" s="326" t="s">
        <v>5307</v>
      </c>
      <c r="I1724" s="326" t="s">
        <v>5308</v>
      </c>
      <c r="J1724" s="327" t="s">
        <v>5309</v>
      </c>
    </row>
    <row r="1725" spans="1:10" ht="31.5" thickBot="1">
      <c r="A1725" s="338"/>
      <c r="B1725" s="321"/>
      <c r="C1725" s="321"/>
      <c r="D1725" s="324" t="s">
        <v>5310</v>
      </c>
      <c r="E1725" s="394" t="s">
        <v>4366</v>
      </c>
      <c r="F1725" s="403" t="s">
        <v>3862</v>
      </c>
      <c r="G1725" s="399" t="s">
        <v>5311</v>
      </c>
      <c r="H1725" s="326" t="s">
        <v>5312</v>
      </c>
      <c r="I1725" s="326" t="s">
        <v>5313</v>
      </c>
      <c r="J1725" s="327" t="s">
        <v>5314</v>
      </c>
    </row>
    <row r="1726" spans="1:10" ht="47" thickBot="1">
      <c r="A1726" s="338"/>
      <c r="B1726" s="321"/>
      <c r="C1726" s="321"/>
      <c r="D1726" s="324" t="s">
        <v>5315</v>
      </c>
      <c r="E1726" s="394" t="s">
        <v>5316</v>
      </c>
      <c r="F1726" s="403" t="s">
        <v>3862</v>
      </c>
      <c r="G1726" s="399" t="s">
        <v>5317</v>
      </c>
      <c r="H1726" s="326" t="s">
        <v>5318</v>
      </c>
      <c r="I1726" s="326" t="s">
        <v>5319</v>
      </c>
      <c r="J1726" s="327" t="s">
        <v>5320</v>
      </c>
    </row>
    <row r="1727" spans="1:10" ht="31.5" thickBot="1">
      <c r="A1727" s="338"/>
      <c r="B1727" s="321"/>
      <c r="C1727" s="321" t="s">
        <v>5321</v>
      </c>
      <c r="D1727" s="324" t="s">
        <v>5322</v>
      </c>
      <c r="E1727" s="394" t="s">
        <v>5323</v>
      </c>
      <c r="F1727" s="403" t="s">
        <v>3862</v>
      </c>
      <c r="G1727" s="399" t="s">
        <v>5324</v>
      </c>
      <c r="H1727" s="326" t="s">
        <v>5325</v>
      </c>
      <c r="I1727" s="326" t="s">
        <v>5326</v>
      </c>
      <c r="J1727" s="327" t="s">
        <v>5327</v>
      </c>
    </row>
    <row r="1728" spans="1:10" ht="47" thickBot="1">
      <c r="A1728" s="338"/>
      <c r="B1728" s="321"/>
      <c r="C1728" s="321"/>
      <c r="D1728" s="324" t="s">
        <v>5328</v>
      </c>
      <c r="E1728" s="394" t="s">
        <v>5329</v>
      </c>
      <c r="F1728" s="403" t="s">
        <v>3862</v>
      </c>
      <c r="G1728" s="399" t="s">
        <v>5230</v>
      </c>
      <c r="H1728" s="326" t="s">
        <v>5330</v>
      </c>
      <c r="I1728" s="326" t="s">
        <v>5331</v>
      </c>
      <c r="J1728" s="327" t="s">
        <v>5332</v>
      </c>
    </row>
    <row r="1729" spans="1:10" ht="31.5" thickBot="1">
      <c r="A1729" s="338"/>
      <c r="B1729" s="321"/>
      <c r="C1729" s="321"/>
      <c r="D1729" s="324" t="s">
        <v>5333</v>
      </c>
      <c r="E1729" s="394" t="s">
        <v>5334</v>
      </c>
      <c r="F1729" s="403" t="s">
        <v>3862</v>
      </c>
      <c r="G1729" s="399" t="s">
        <v>5335</v>
      </c>
      <c r="H1729" s="326" t="s">
        <v>5336</v>
      </c>
      <c r="I1729" s="326" t="s">
        <v>5337</v>
      </c>
      <c r="J1729" s="327" t="s">
        <v>5338</v>
      </c>
    </row>
    <row r="1730" spans="1:10" ht="31.5" thickBot="1">
      <c r="A1730" s="338"/>
      <c r="B1730" s="321"/>
      <c r="C1730" s="321"/>
      <c r="D1730" s="324" t="s">
        <v>5310</v>
      </c>
      <c r="E1730" s="394" t="s">
        <v>5339</v>
      </c>
      <c r="F1730" s="403" t="s">
        <v>3862</v>
      </c>
      <c r="G1730" s="399" t="s">
        <v>5340</v>
      </c>
      <c r="H1730" s="326" t="s">
        <v>5290</v>
      </c>
      <c r="I1730" s="326" t="s">
        <v>5341</v>
      </c>
      <c r="J1730" s="327" t="s">
        <v>5342</v>
      </c>
    </row>
    <row r="1731" spans="1:10" ht="31.5" thickBot="1">
      <c r="A1731" s="338"/>
      <c r="B1731" s="321"/>
      <c r="C1731" s="321"/>
      <c r="D1731" s="324" t="s">
        <v>5343</v>
      </c>
      <c r="E1731" s="394" t="s">
        <v>5344</v>
      </c>
      <c r="F1731" s="403" t="s">
        <v>3862</v>
      </c>
      <c r="G1731" s="399" t="s">
        <v>5345</v>
      </c>
      <c r="H1731" s="326" t="s">
        <v>5346</v>
      </c>
      <c r="I1731" s="326" t="s">
        <v>5347</v>
      </c>
      <c r="J1731" s="327" t="s">
        <v>5348</v>
      </c>
    </row>
    <row r="1732" spans="1:10" ht="16" thickBot="1">
      <c r="A1732" s="338"/>
      <c r="B1732" s="321"/>
      <c r="C1732" s="321" t="s">
        <v>5349</v>
      </c>
      <c r="D1732" s="324" t="s">
        <v>5350</v>
      </c>
      <c r="E1732" s="393" t="s">
        <v>5351</v>
      </c>
      <c r="F1732" s="345" t="s">
        <v>3862</v>
      </c>
      <c r="G1732" s="398" t="s">
        <v>5352</v>
      </c>
      <c r="H1732" s="324" t="s">
        <v>5353</v>
      </c>
      <c r="I1732" s="324" t="s">
        <v>5354</v>
      </c>
      <c r="J1732" s="325" t="s">
        <v>5355</v>
      </c>
    </row>
    <row r="1733" spans="1:10" ht="16" thickBot="1">
      <c r="A1733" s="338"/>
      <c r="B1733" s="321"/>
      <c r="C1733" s="321"/>
      <c r="D1733" s="324" t="s">
        <v>5356</v>
      </c>
      <c r="E1733" s="393" t="s">
        <v>5357</v>
      </c>
      <c r="F1733" s="345" t="s">
        <v>3862</v>
      </c>
      <c r="G1733" s="398" t="s">
        <v>5358</v>
      </c>
      <c r="H1733" s="324" t="s">
        <v>5359</v>
      </c>
      <c r="I1733" s="324" t="s">
        <v>5360</v>
      </c>
      <c r="J1733" s="325" t="s">
        <v>5361</v>
      </c>
    </row>
    <row r="1734" spans="1:10" ht="16" thickBot="1">
      <c r="A1734" s="338"/>
      <c r="B1734" s="321"/>
      <c r="C1734" s="321"/>
      <c r="D1734" s="324" t="s">
        <v>5362</v>
      </c>
      <c r="E1734" s="393" t="s">
        <v>5363</v>
      </c>
      <c r="F1734" s="345" t="s">
        <v>3862</v>
      </c>
      <c r="G1734" s="398" t="s">
        <v>5364</v>
      </c>
      <c r="H1734" s="324" t="s">
        <v>5290</v>
      </c>
      <c r="I1734" s="324" t="s">
        <v>5291</v>
      </c>
      <c r="J1734" s="325" t="s">
        <v>5365</v>
      </c>
    </row>
    <row r="1735" spans="1:10" ht="16" thickBot="1">
      <c r="A1735" s="338"/>
      <c r="B1735" s="321"/>
      <c r="C1735" s="321"/>
      <c r="D1735" s="324" t="s">
        <v>5366</v>
      </c>
      <c r="E1735" s="393" t="s">
        <v>5367</v>
      </c>
      <c r="F1735" s="345" t="s">
        <v>3862</v>
      </c>
      <c r="G1735" s="398" t="s">
        <v>5368</v>
      </c>
      <c r="H1735" s="324" t="s">
        <v>5369</v>
      </c>
      <c r="I1735" s="324" t="s">
        <v>5370</v>
      </c>
      <c r="J1735" s="325" t="s">
        <v>5371</v>
      </c>
    </row>
    <row r="1736" spans="1:10" ht="16" thickBot="1">
      <c r="A1736" s="338"/>
      <c r="B1736" s="321"/>
      <c r="C1736" s="321"/>
      <c r="D1736" s="324" t="s">
        <v>5372</v>
      </c>
      <c r="E1736" s="393" t="s">
        <v>5373</v>
      </c>
      <c r="F1736" s="345" t="s">
        <v>3862</v>
      </c>
      <c r="G1736" s="398" t="s">
        <v>5374</v>
      </c>
      <c r="H1736" s="324" t="s">
        <v>4721</v>
      </c>
      <c r="I1736" s="324" t="s">
        <v>5375</v>
      </c>
      <c r="J1736" s="325" t="s">
        <v>5376</v>
      </c>
    </row>
    <row r="1737" spans="1:10" ht="31.5" thickBot="1">
      <c r="A1737" s="338"/>
      <c r="B1737" s="321"/>
      <c r="C1737" s="321" t="s">
        <v>5377</v>
      </c>
      <c r="D1737" s="324" t="s">
        <v>5378</v>
      </c>
      <c r="E1737" s="394" t="s">
        <v>5379</v>
      </c>
      <c r="F1737" s="403" t="s">
        <v>3862</v>
      </c>
      <c r="G1737" s="399" t="s">
        <v>5380</v>
      </c>
      <c r="H1737" s="326" t="s">
        <v>5381</v>
      </c>
      <c r="I1737" s="326" t="s">
        <v>4812</v>
      </c>
      <c r="J1737" s="327" t="s">
        <v>5382</v>
      </c>
    </row>
    <row r="1738" spans="1:10" ht="47" thickBot="1">
      <c r="A1738" s="338"/>
      <c r="B1738" s="321"/>
      <c r="C1738" s="321"/>
      <c r="D1738" s="324" t="s">
        <v>5383</v>
      </c>
      <c r="E1738" s="394" t="s">
        <v>5384</v>
      </c>
      <c r="F1738" s="403" t="s">
        <v>3862</v>
      </c>
      <c r="G1738" s="399" t="s">
        <v>5094</v>
      </c>
      <c r="H1738" s="326" t="s">
        <v>5385</v>
      </c>
      <c r="I1738" s="326" t="s">
        <v>5214</v>
      </c>
      <c r="J1738" s="327" t="s">
        <v>5386</v>
      </c>
    </row>
    <row r="1739" spans="1:10" ht="31.5" thickBot="1">
      <c r="A1739" s="338"/>
      <c r="B1739" s="321"/>
      <c r="C1739" s="321"/>
      <c r="D1739" s="324" t="s">
        <v>5387</v>
      </c>
      <c r="E1739" s="394" t="s">
        <v>5388</v>
      </c>
      <c r="F1739" s="403" t="s">
        <v>3862</v>
      </c>
      <c r="G1739" s="399" t="s">
        <v>5389</v>
      </c>
      <c r="H1739" s="326" t="s">
        <v>5390</v>
      </c>
      <c r="I1739" s="326" t="s">
        <v>5391</v>
      </c>
      <c r="J1739" s="327" t="s">
        <v>5392</v>
      </c>
    </row>
    <row r="1740" spans="1:10" ht="31.5" thickBot="1">
      <c r="A1740" s="338"/>
      <c r="B1740" s="321"/>
      <c r="C1740" s="321"/>
      <c r="D1740" s="324" t="s">
        <v>5393</v>
      </c>
      <c r="E1740" s="394" t="s">
        <v>5394</v>
      </c>
      <c r="F1740" s="403" t="s">
        <v>3862</v>
      </c>
      <c r="G1740" s="399" t="s">
        <v>5395</v>
      </c>
      <c r="H1740" s="326" t="s">
        <v>5396</v>
      </c>
      <c r="I1740" s="326" t="s">
        <v>5397</v>
      </c>
      <c r="J1740" s="327" t="s">
        <v>5398</v>
      </c>
    </row>
    <row r="1741" spans="1:10" ht="47" thickBot="1">
      <c r="A1741" s="338"/>
      <c r="B1741" s="321"/>
      <c r="C1741" s="321"/>
      <c r="D1741" s="324" t="s">
        <v>5399</v>
      </c>
      <c r="E1741" s="394" t="s">
        <v>5400</v>
      </c>
      <c r="F1741" s="403" t="s">
        <v>3862</v>
      </c>
      <c r="G1741" s="399" t="s">
        <v>4765</v>
      </c>
      <c r="H1741" s="326" t="s">
        <v>4546</v>
      </c>
      <c r="I1741" s="326" t="s">
        <v>5401</v>
      </c>
      <c r="J1741" s="327" t="s">
        <v>5402</v>
      </c>
    </row>
    <row r="1742" spans="1:10" ht="47" thickBot="1">
      <c r="A1742" s="338"/>
      <c r="B1742" s="321"/>
      <c r="C1742" s="321" t="s">
        <v>5403</v>
      </c>
      <c r="D1742" s="326" t="s">
        <v>414</v>
      </c>
      <c r="E1742" s="394" t="s">
        <v>5404</v>
      </c>
      <c r="F1742" s="403" t="s">
        <v>3862</v>
      </c>
      <c r="G1742" s="399" t="s">
        <v>5405</v>
      </c>
      <c r="H1742" s="326" t="s">
        <v>5406</v>
      </c>
      <c r="I1742" s="326" t="s">
        <v>5407</v>
      </c>
      <c r="J1742" s="327" t="s">
        <v>5408</v>
      </c>
    </row>
    <row r="1743" spans="1:10" ht="31.5" thickBot="1">
      <c r="A1743" s="338"/>
      <c r="B1743" s="321"/>
      <c r="C1743" s="321"/>
      <c r="D1743" s="324" t="s">
        <v>5409</v>
      </c>
      <c r="E1743" s="394" t="s">
        <v>5410</v>
      </c>
      <c r="F1743" s="403" t="s">
        <v>3862</v>
      </c>
      <c r="G1743" s="399" t="s">
        <v>4806</v>
      </c>
      <c r="H1743" s="326" t="s">
        <v>5411</v>
      </c>
      <c r="I1743" s="326" t="s">
        <v>4063</v>
      </c>
      <c r="J1743" s="327" t="s">
        <v>5412</v>
      </c>
    </row>
    <row r="1744" spans="1:10" ht="47" thickBot="1">
      <c r="A1744" s="338"/>
      <c r="B1744" s="321"/>
      <c r="C1744" s="321"/>
      <c r="D1744" s="324" t="s">
        <v>5413</v>
      </c>
      <c r="E1744" s="394" t="s">
        <v>5414</v>
      </c>
      <c r="F1744" s="403" t="s">
        <v>3862</v>
      </c>
      <c r="G1744" s="399" t="s">
        <v>4754</v>
      </c>
      <c r="H1744" s="326" t="s">
        <v>5415</v>
      </c>
      <c r="I1744" s="326" t="s">
        <v>5416</v>
      </c>
      <c r="J1744" s="327" t="s">
        <v>5417</v>
      </c>
    </row>
    <row r="1745" spans="1:10" ht="31.5" thickBot="1">
      <c r="A1745" s="338"/>
      <c r="B1745" s="321"/>
      <c r="C1745" s="321"/>
      <c r="D1745" s="324" t="s">
        <v>5418</v>
      </c>
      <c r="E1745" s="394" t="s">
        <v>5419</v>
      </c>
      <c r="F1745" s="403" t="s">
        <v>3862</v>
      </c>
      <c r="G1745" s="399" t="s">
        <v>5420</v>
      </c>
      <c r="H1745" s="326" t="s">
        <v>5421</v>
      </c>
      <c r="I1745" s="326" t="s">
        <v>5422</v>
      </c>
      <c r="J1745" s="327" t="s">
        <v>5423</v>
      </c>
    </row>
    <row r="1746" spans="1:10" ht="31.5" thickBot="1">
      <c r="A1746" s="338"/>
      <c r="B1746" s="321"/>
      <c r="C1746" s="321"/>
      <c r="D1746" s="324" t="s">
        <v>5424</v>
      </c>
      <c r="E1746" s="394" t="s">
        <v>5425</v>
      </c>
      <c r="F1746" s="403" t="s">
        <v>3862</v>
      </c>
      <c r="G1746" s="399" t="s">
        <v>5426</v>
      </c>
      <c r="H1746" s="326" t="s">
        <v>5427</v>
      </c>
      <c r="I1746" s="326" t="s">
        <v>5428</v>
      </c>
      <c r="J1746" s="327" t="s">
        <v>5429</v>
      </c>
    </row>
    <row r="1747" spans="1:10" ht="31.5" thickBot="1">
      <c r="A1747" s="338"/>
      <c r="B1747" s="321" t="s">
        <v>5430</v>
      </c>
      <c r="C1747" s="321" t="s">
        <v>5431</v>
      </c>
      <c r="D1747" s="326" t="s">
        <v>5432</v>
      </c>
      <c r="E1747" s="394" t="s">
        <v>5433</v>
      </c>
      <c r="F1747" s="403" t="s">
        <v>3862</v>
      </c>
      <c r="G1747" s="399" t="s">
        <v>621</v>
      </c>
      <c r="H1747" s="326" t="s">
        <v>5434</v>
      </c>
      <c r="I1747" s="326" t="s">
        <v>5435</v>
      </c>
      <c r="J1747" s="327" t="s">
        <v>5436</v>
      </c>
    </row>
    <row r="1748" spans="1:10" ht="31.5" thickBot="1">
      <c r="A1748" s="338"/>
      <c r="B1748" s="321"/>
      <c r="C1748" s="321"/>
      <c r="D1748" s="324" t="s">
        <v>5437</v>
      </c>
      <c r="E1748" s="394" t="s">
        <v>5438</v>
      </c>
      <c r="F1748" s="403" t="s">
        <v>3862</v>
      </c>
      <c r="G1748" s="399" t="s">
        <v>5439</v>
      </c>
      <c r="H1748" s="326" t="s">
        <v>5440</v>
      </c>
      <c r="I1748" s="326" t="s">
        <v>5441</v>
      </c>
      <c r="J1748" s="327" t="s">
        <v>5442</v>
      </c>
    </row>
    <row r="1749" spans="1:10" ht="47" thickBot="1">
      <c r="A1749" s="338"/>
      <c r="B1749" s="321"/>
      <c r="C1749" s="321"/>
      <c r="D1749" s="324" t="s">
        <v>5443</v>
      </c>
      <c r="E1749" s="394" t="s">
        <v>5444</v>
      </c>
      <c r="F1749" s="403" t="s">
        <v>3862</v>
      </c>
      <c r="G1749" s="399" t="s">
        <v>5445</v>
      </c>
      <c r="H1749" s="326" t="s">
        <v>5446</v>
      </c>
      <c r="I1749" s="326" t="s">
        <v>5447</v>
      </c>
      <c r="J1749" s="327" t="s">
        <v>5448</v>
      </c>
    </row>
    <row r="1750" spans="1:10" ht="31.5" thickBot="1">
      <c r="A1750" s="338"/>
      <c r="B1750" s="321"/>
      <c r="C1750" s="321"/>
      <c r="D1750" s="324" t="s">
        <v>5449</v>
      </c>
      <c r="E1750" s="394" t="s">
        <v>5450</v>
      </c>
      <c r="F1750" s="403" t="s">
        <v>3862</v>
      </c>
      <c r="G1750" s="399" t="s">
        <v>5451</v>
      </c>
      <c r="H1750" s="326" t="s">
        <v>4937</v>
      </c>
      <c r="I1750" s="326" t="s">
        <v>5452</v>
      </c>
      <c r="J1750" s="327" t="s">
        <v>5453</v>
      </c>
    </row>
    <row r="1751" spans="1:10" ht="31.5" thickBot="1">
      <c r="A1751" s="338"/>
      <c r="B1751" s="321"/>
      <c r="C1751" s="321"/>
      <c r="D1751" s="324" t="s">
        <v>5454</v>
      </c>
      <c r="E1751" s="394" t="s">
        <v>5455</v>
      </c>
      <c r="F1751" s="403" t="s">
        <v>3862</v>
      </c>
      <c r="G1751" s="399" t="s">
        <v>5456</v>
      </c>
      <c r="H1751" s="326" t="s">
        <v>5457</v>
      </c>
      <c r="I1751" s="326" t="s">
        <v>5458</v>
      </c>
      <c r="J1751" s="327" t="s">
        <v>5459</v>
      </c>
    </row>
    <row r="1752" spans="1:10" ht="31.5" thickBot="1">
      <c r="A1752" s="338"/>
      <c r="B1752" s="321"/>
      <c r="C1752" s="321" t="s">
        <v>5460</v>
      </c>
      <c r="D1752" s="324" t="s">
        <v>5461</v>
      </c>
      <c r="E1752" s="394" t="s">
        <v>5462</v>
      </c>
      <c r="F1752" s="403" t="s">
        <v>3862</v>
      </c>
      <c r="G1752" s="399" t="s">
        <v>375</v>
      </c>
      <c r="H1752" s="326" t="s">
        <v>5463</v>
      </c>
      <c r="I1752" s="326" t="s">
        <v>5464</v>
      </c>
      <c r="J1752" s="327" t="s">
        <v>5465</v>
      </c>
    </row>
    <row r="1753" spans="1:10" ht="31.5" thickBot="1">
      <c r="A1753" s="338"/>
      <c r="B1753" s="321"/>
      <c r="C1753" s="321"/>
      <c r="D1753" s="324" t="s">
        <v>5466</v>
      </c>
      <c r="E1753" s="394" t="s">
        <v>5467</v>
      </c>
      <c r="F1753" s="403" t="s">
        <v>3862</v>
      </c>
      <c r="G1753" s="399" t="s">
        <v>5468</v>
      </c>
      <c r="H1753" s="326" t="s">
        <v>5469</v>
      </c>
      <c r="I1753" s="326" t="s">
        <v>5470</v>
      </c>
      <c r="J1753" s="327" t="s">
        <v>5471</v>
      </c>
    </row>
    <row r="1754" spans="1:10" ht="31.5" thickBot="1">
      <c r="A1754" s="338"/>
      <c r="B1754" s="321"/>
      <c r="C1754" s="321"/>
      <c r="D1754" s="326" t="s">
        <v>5472</v>
      </c>
      <c r="E1754" s="394" t="s">
        <v>5473</v>
      </c>
      <c r="F1754" s="403" t="s">
        <v>3862</v>
      </c>
      <c r="G1754" s="399" t="s">
        <v>5340</v>
      </c>
      <c r="H1754" s="326" t="s">
        <v>5474</v>
      </c>
      <c r="I1754" s="326" t="s">
        <v>5475</v>
      </c>
      <c r="J1754" s="327" t="s">
        <v>5476</v>
      </c>
    </row>
    <row r="1755" spans="1:10" ht="47" thickBot="1">
      <c r="A1755" s="338"/>
      <c r="B1755" s="321"/>
      <c r="C1755" s="321"/>
      <c r="D1755" s="324" t="s">
        <v>5477</v>
      </c>
      <c r="E1755" s="394" t="s">
        <v>5478</v>
      </c>
      <c r="F1755" s="403" t="s">
        <v>3862</v>
      </c>
      <c r="G1755" s="399" t="s">
        <v>5479</v>
      </c>
      <c r="H1755" s="326" t="s">
        <v>5480</v>
      </c>
      <c r="I1755" s="326" t="s">
        <v>5481</v>
      </c>
      <c r="J1755" s="327" t="s">
        <v>5482</v>
      </c>
    </row>
    <row r="1756" spans="1:10" ht="47" thickBot="1">
      <c r="A1756" s="338"/>
      <c r="B1756" s="321"/>
      <c r="C1756" s="321"/>
      <c r="D1756" s="324" t="s">
        <v>5483</v>
      </c>
      <c r="E1756" s="394" t="s">
        <v>5484</v>
      </c>
      <c r="F1756" s="403" t="s">
        <v>3862</v>
      </c>
      <c r="G1756" s="399" t="s">
        <v>5485</v>
      </c>
      <c r="H1756" s="326" t="s">
        <v>5486</v>
      </c>
      <c r="I1756" s="326" t="s">
        <v>5487</v>
      </c>
      <c r="J1756" s="327" t="s">
        <v>5488</v>
      </c>
    </row>
    <row r="1757" spans="1:10" ht="47" thickBot="1">
      <c r="A1757" s="338"/>
      <c r="B1757" s="321"/>
      <c r="C1757" s="321" t="s">
        <v>5489</v>
      </c>
      <c r="D1757" s="324" t="s">
        <v>5490</v>
      </c>
      <c r="E1757" s="394" t="s">
        <v>5491</v>
      </c>
      <c r="F1757" s="403" t="s">
        <v>3862</v>
      </c>
      <c r="G1757" s="399" t="s">
        <v>5492</v>
      </c>
      <c r="H1757" s="326" t="s">
        <v>5493</v>
      </c>
      <c r="I1757" s="326" t="s">
        <v>5494</v>
      </c>
      <c r="J1757" s="327" t="s">
        <v>5495</v>
      </c>
    </row>
    <row r="1758" spans="1:10" ht="47" thickBot="1">
      <c r="A1758" s="338"/>
      <c r="B1758" s="321"/>
      <c r="C1758" s="321"/>
      <c r="D1758" s="324" t="s">
        <v>1781</v>
      </c>
      <c r="E1758" s="394" t="s">
        <v>5496</v>
      </c>
      <c r="F1758" s="403" t="s">
        <v>3862</v>
      </c>
      <c r="G1758" s="399" t="s">
        <v>5497</v>
      </c>
      <c r="H1758" s="326" t="s">
        <v>5498</v>
      </c>
      <c r="I1758" s="326" t="s">
        <v>5499</v>
      </c>
      <c r="J1758" s="327" t="s">
        <v>5500</v>
      </c>
    </row>
    <row r="1759" spans="1:10" ht="31.5" thickBot="1">
      <c r="A1759" s="338"/>
      <c r="B1759" s="321"/>
      <c r="C1759" s="321"/>
      <c r="D1759" s="324" t="s">
        <v>5501</v>
      </c>
      <c r="E1759" s="394" t="s">
        <v>5502</v>
      </c>
      <c r="F1759" s="403" t="s">
        <v>3862</v>
      </c>
      <c r="G1759" s="399" t="s">
        <v>5503</v>
      </c>
      <c r="H1759" s="326" t="s">
        <v>5504</v>
      </c>
      <c r="I1759" s="326" t="s">
        <v>5505</v>
      </c>
      <c r="J1759" s="327" t="s">
        <v>5506</v>
      </c>
    </row>
    <row r="1760" spans="1:10" ht="31.5" thickBot="1">
      <c r="A1760" s="338"/>
      <c r="B1760" s="321"/>
      <c r="C1760" s="321"/>
      <c r="D1760" s="324" t="s">
        <v>5507</v>
      </c>
      <c r="E1760" s="394" t="s">
        <v>5508</v>
      </c>
      <c r="F1760" s="403" t="s">
        <v>3862</v>
      </c>
      <c r="G1760" s="399" t="s">
        <v>5509</v>
      </c>
      <c r="H1760" s="326" t="s">
        <v>5510</v>
      </c>
      <c r="I1760" s="326" t="s">
        <v>5511</v>
      </c>
      <c r="J1760" s="327" t="s">
        <v>5512</v>
      </c>
    </row>
    <row r="1761" spans="1:11" ht="47" thickBot="1">
      <c r="A1761" s="338"/>
      <c r="B1761" s="321"/>
      <c r="C1761" s="321"/>
      <c r="D1761" s="324" t="s">
        <v>5513</v>
      </c>
      <c r="E1761" s="394" t="s">
        <v>5514</v>
      </c>
      <c r="F1761" s="403" t="s">
        <v>3862</v>
      </c>
      <c r="G1761" s="399" t="s">
        <v>5515</v>
      </c>
      <c r="H1761" s="326" t="s">
        <v>5516</v>
      </c>
      <c r="I1761" s="326" t="s">
        <v>5517</v>
      </c>
      <c r="J1761" s="327" t="s">
        <v>5518</v>
      </c>
    </row>
    <row r="1762" spans="1:11" ht="31.5" thickBot="1">
      <c r="A1762" s="338"/>
      <c r="B1762" s="321"/>
      <c r="C1762" s="321" t="s">
        <v>5519</v>
      </c>
      <c r="D1762" s="324" t="s">
        <v>5520</v>
      </c>
      <c r="E1762" s="394" t="s">
        <v>5521</v>
      </c>
      <c r="F1762" s="403" t="s">
        <v>3862</v>
      </c>
      <c r="G1762" s="399" t="s">
        <v>5522</v>
      </c>
      <c r="H1762" s="326" t="s">
        <v>5523</v>
      </c>
      <c r="I1762" s="326" t="s">
        <v>5524</v>
      </c>
      <c r="J1762" s="327" t="s">
        <v>5525</v>
      </c>
    </row>
    <row r="1763" spans="1:11" ht="31.5" thickBot="1">
      <c r="A1763" s="338"/>
      <c r="B1763" s="321"/>
      <c r="C1763" s="321"/>
      <c r="D1763" s="324" t="s">
        <v>5526</v>
      </c>
      <c r="E1763" s="394" t="s">
        <v>5527</v>
      </c>
      <c r="F1763" s="403" t="s">
        <v>3862</v>
      </c>
      <c r="G1763" s="399" t="s">
        <v>5528</v>
      </c>
      <c r="H1763" s="326" t="s">
        <v>5529</v>
      </c>
      <c r="I1763" s="326" t="s">
        <v>5530</v>
      </c>
      <c r="J1763" s="327" t="s">
        <v>5531</v>
      </c>
    </row>
    <row r="1764" spans="1:11" ht="78" thickBot="1">
      <c r="A1764" s="338"/>
      <c r="B1764" s="321"/>
      <c r="C1764" s="321"/>
      <c r="D1764" s="324" t="s">
        <v>5532</v>
      </c>
      <c r="E1764" s="394" t="s">
        <v>5533</v>
      </c>
      <c r="F1764" s="403" t="s">
        <v>3862</v>
      </c>
      <c r="G1764" s="399" t="s">
        <v>5105</v>
      </c>
      <c r="H1764" s="326" t="s">
        <v>5534</v>
      </c>
      <c r="I1764" s="326" t="s">
        <v>5535</v>
      </c>
      <c r="J1764" s="327" t="s">
        <v>5536</v>
      </c>
    </row>
    <row r="1765" spans="1:11" ht="31.5" thickBot="1">
      <c r="A1765" s="338"/>
      <c r="B1765" s="321"/>
      <c r="C1765" s="321"/>
      <c r="D1765" s="324" t="s">
        <v>5537</v>
      </c>
      <c r="E1765" s="394" t="s">
        <v>5538</v>
      </c>
      <c r="F1765" s="403" t="s">
        <v>3862</v>
      </c>
      <c r="G1765" s="399" t="s">
        <v>5539</v>
      </c>
      <c r="H1765" s="326" t="s">
        <v>5540</v>
      </c>
      <c r="I1765" s="326" t="s">
        <v>5541</v>
      </c>
      <c r="J1765" s="327" t="s">
        <v>5542</v>
      </c>
    </row>
    <row r="1766" spans="1:11" ht="31.5" thickBot="1">
      <c r="A1766" s="338"/>
      <c r="B1766" s="321"/>
      <c r="C1766" s="321"/>
      <c r="D1766" s="324" t="s">
        <v>5543</v>
      </c>
      <c r="E1766" s="394" t="s">
        <v>5544</v>
      </c>
      <c r="F1766" s="403" t="s">
        <v>3862</v>
      </c>
      <c r="G1766" s="399" t="s">
        <v>5497</v>
      </c>
      <c r="H1766" s="326" t="s">
        <v>5545</v>
      </c>
      <c r="I1766" s="326" t="s">
        <v>5546</v>
      </c>
      <c r="J1766" s="327" t="s">
        <v>5547</v>
      </c>
    </row>
    <row r="1767" spans="1:11" ht="47" thickBot="1">
      <c r="A1767" s="338"/>
      <c r="B1767" s="321"/>
      <c r="C1767" s="321" t="s">
        <v>5548</v>
      </c>
      <c r="D1767" s="324" t="s">
        <v>5549</v>
      </c>
      <c r="E1767" s="394" t="s">
        <v>5550</v>
      </c>
      <c r="F1767" s="403" t="s">
        <v>3862</v>
      </c>
      <c r="G1767" s="399" t="s">
        <v>5551</v>
      </c>
      <c r="H1767" s="326" t="s">
        <v>4818</v>
      </c>
      <c r="I1767" s="326" t="s">
        <v>5552</v>
      </c>
      <c r="J1767" s="327" t="s">
        <v>5553</v>
      </c>
    </row>
    <row r="1768" spans="1:11" ht="31.5" thickBot="1">
      <c r="A1768" s="338"/>
      <c r="B1768" s="321"/>
      <c r="C1768" s="321"/>
      <c r="D1768" s="324" t="s">
        <v>5554</v>
      </c>
      <c r="E1768" s="394" t="s">
        <v>5555</v>
      </c>
      <c r="F1768" s="403" t="s">
        <v>3862</v>
      </c>
      <c r="G1768" s="399" t="s">
        <v>5556</v>
      </c>
      <c r="H1768" s="326" t="s">
        <v>4812</v>
      </c>
      <c r="I1768" s="326" t="s">
        <v>5557</v>
      </c>
      <c r="J1768" s="327" t="s">
        <v>5558</v>
      </c>
    </row>
    <row r="1769" spans="1:11" ht="47" thickBot="1">
      <c r="A1769" s="338"/>
      <c r="B1769" s="321"/>
      <c r="C1769" s="321"/>
      <c r="D1769" s="324" t="s">
        <v>5559</v>
      </c>
      <c r="E1769" s="394" t="s">
        <v>5560</v>
      </c>
      <c r="F1769" s="403" t="s">
        <v>3862</v>
      </c>
      <c r="G1769" s="399" t="s">
        <v>5561</v>
      </c>
      <c r="H1769" s="326" t="s">
        <v>5562</v>
      </c>
      <c r="I1769" s="326" t="s">
        <v>5563</v>
      </c>
      <c r="J1769" s="327" t="s">
        <v>5564</v>
      </c>
    </row>
    <row r="1770" spans="1:11" ht="47" thickBot="1">
      <c r="A1770" s="338"/>
      <c r="B1770" s="321"/>
      <c r="C1770" s="321"/>
      <c r="D1770" s="324" t="s">
        <v>1898</v>
      </c>
      <c r="E1770" s="394" t="s">
        <v>1899</v>
      </c>
      <c r="F1770" s="403" t="s">
        <v>3862</v>
      </c>
      <c r="G1770" s="399" t="s">
        <v>5565</v>
      </c>
      <c r="H1770" s="326" t="s">
        <v>5566</v>
      </c>
      <c r="I1770" s="326" t="s">
        <v>5567</v>
      </c>
      <c r="J1770" s="327" t="s">
        <v>5568</v>
      </c>
    </row>
    <row r="1771" spans="1:11" ht="47" thickBot="1">
      <c r="A1771" s="339"/>
      <c r="B1771" s="335"/>
      <c r="C1771" s="335"/>
      <c r="D1771" s="343" t="s">
        <v>5569</v>
      </c>
      <c r="E1771" s="407" t="s">
        <v>5570</v>
      </c>
      <c r="F1771" s="403" t="s">
        <v>3862</v>
      </c>
      <c r="G1771" s="409" t="s">
        <v>5571</v>
      </c>
      <c r="H1771" s="336" t="s">
        <v>5572</v>
      </c>
      <c r="I1771" s="336" t="s">
        <v>4796</v>
      </c>
      <c r="J1771" s="344" t="s">
        <v>5573</v>
      </c>
    </row>
    <row r="1772" spans="1:11" ht="29.5" thickBot="1">
      <c r="A1772" s="258" t="s">
        <v>2475</v>
      </c>
      <c r="B1772" s="156" t="s">
        <v>2476</v>
      </c>
      <c r="C1772" s="286" t="s">
        <v>2477</v>
      </c>
      <c r="D1772" s="14" t="s">
        <v>2478</v>
      </c>
      <c r="E1772" s="310" t="s">
        <v>2479</v>
      </c>
      <c r="F1772" s="12" t="s">
        <v>16</v>
      </c>
      <c r="G1772" s="24" t="s">
        <v>2480</v>
      </c>
      <c r="H1772" s="24" t="s">
        <v>2481</v>
      </c>
      <c r="I1772" s="305" t="s">
        <v>19</v>
      </c>
      <c r="J1772" s="214" t="s">
        <v>5575</v>
      </c>
      <c r="K1772" s="214" t="s">
        <v>5576</v>
      </c>
    </row>
    <row r="1773" spans="1:11" ht="29.5" thickBot="1">
      <c r="A1773" s="261"/>
      <c r="B1773" s="157"/>
      <c r="C1773" s="287"/>
      <c r="D1773" s="41" t="s">
        <v>2482</v>
      </c>
      <c r="E1773" s="16" t="s">
        <v>2483</v>
      </c>
      <c r="F1773" s="262" t="s">
        <v>16</v>
      </c>
      <c r="G1773" s="16" t="s">
        <v>2484</v>
      </c>
      <c r="H1773" s="16" t="s">
        <v>2485</v>
      </c>
      <c r="I1773" s="299" t="s">
        <v>19</v>
      </c>
      <c r="J1773" s="214" t="s">
        <v>5577</v>
      </c>
      <c r="K1773" s="214" t="s">
        <v>5578</v>
      </c>
    </row>
    <row r="1774" spans="1:11" ht="29.5" thickBot="1">
      <c r="A1774" s="261"/>
      <c r="B1774" s="157"/>
      <c r="C1774" s="287"/>
      <c r="D1774" s="46" t="s">
        <v>2486</v>
      </c>
      <c r="E1774" s="16" t="s">
        <v>2487</v>
      </c>
      <c r="F1774" s="262" t="s">
        <v>16</v>
      </c>
      <c r="G1774" s="16" t="s">
        <v>2488</v>
      </c>
      <c r="H1774" s="16" t="s">
        <v>2489</v>
      </c>
      <c r="I1774" s="299" t="s">
        <v>19</v>
      </c>
      <c r="J1774" s="214" t="s">
        <v>5579</v>
      </c>
      <c r="K1774" s="214" t="s">
        <v>5580</v>
      </c>
    </row>
    <row r="1775" spans="1:11" ht="25.5" thickBot="1">
      <c r="A1775" s="261"/>
      <c r="B1775" s="157"/>
      <c r="C1775" s="287"/>
      <c r="D1775" s="46" t="s">
        <v>2490</v>
      </c>
      <c r="E1775" s="16" t="s">
        <v>2491</v>
      </c>
      <c r="F1775" s="262" t="s">
        <v>16</v>
      </c>
      <c r="G1775" s="16" t="s">
        <v>2492</v>
      </c>
      <c r="H1775" s="16" t="s">
        <v>2493</v>
      </c>
      <c r="I1775" s="301" t="s">
        <v>26</v>
      </c>
      <c r="J1775" s="214" t="s">
        <v>5581</v>
      </c>
      <c r="K1775" s="214" t="s">
        <v>5582</v>
      </c>
    </row>
    <row r="1776" spans="1:11" ht="29.5" thickBot="1">
      <c r="A1776" s="261"/>
      <c r="B1776" s="157"/>
      <c r="C1776" s="288"/>
      <c r="D1776" s="18" t="s">
        <v>2494</v>
      </c>
      <c r="E1776" s="16" t="s">
        <v>2495</v>
      </c>
      <c r="F1776" s="262" t="s">
        <v>23</v>
      </c>
      <c r="G1776" s="16" t="s">
        <v>2496</v>
      </c>
      <c r="H1776" s="16" t="s">
        <v>2497</v>
      </c>
      <c r="I1776" s="301" t="s">
        <v>19</v>
      </c>
      <c r="J1776" s="214" t="s">
        <v>309</v>
      </c>
      <c r="K1776" s="214" t="s">
        <v>5583</v>
      </c>
    </row>
    <row r="1777" spans="1:11" ht="29.5" thickBot="1">
      <c r="A1777" s="261"/>
      <c r="B1777" s="157"/>
      <c r="C1777" s="289" t="s">
        <v>2498</v>
      </c>
      <c r="D1777" s="13" t="s">
        <v>2499</v>
      </c>
      <c r="E1777" s="25" t="s">
        <v>2500</v>
      </c>
      <c r="F1777" s="12" t="s">
        <v>16</v>
      </c>
      <c r="G1777" s="24" t="s">
        <v>2501</v>
      </c>
      <c r="H1777" s="24" t="s">
        <v>2502</v>
      </c>
      <c r="I1777" s="300" t="s">
        <v>19</v>
      </c>
      <c r="J1777" s="214" t="s">
        <v>5584</v>
      </c>
      <c r="K1777" s="214" t="s">
        <v>5585</v>
      </c>
    </row>
    <row r="1778" spans="1:11" ht="29.5" thickBot="1">
      <c r="A1778" s="261"/>
      <c r="B1778" s="157"/>
      <c r="C1778" s="290"/>
      <c r="D1778" s="69" t="s">
        <v>2503</v>
      </c>
      <c r="E1778" s="16" t="s">
        <v>2504</v>
      </c>
      <c r="F1778" s="262" t="s">
        <v>23</v>
      </c>
      <c r="G1778" s="16" t="s">
        <v>2505</v>
      </c>
      <c r="H1778" s="16" t="s">
        <v>2506</v>
      </c>
      <c r="I1778" s="301" t="s">
        <v>26</v>
      </c>
      <c r="J1778" s="214" t="s">
        <v>3891</v>
      </c>
      <c r="K1778" s="214" t="s">
        <v>5586</v>
      </c>
    </row>
    <row r="1779" spans="1:11" ht="29.5" thickBot="1">
      <c r="A1779" s="261"/>
      <c r="B1779" s="157"/>
      <c r="C1779" s="290"/>
      <c r="D1779" s="70" t="s">
        <v>2507</v>
      </c>
      <c r="E1779" s="16" t="s">
        <v>2508</v>
      </c>
      <c r="F1779" s="262" t="s">
        <v>58</v>
      </c>
      <c r="G1779" s="16" t="s">
        <v>2509</v>
      </c>
      <c r="H1779" s="16" t="s">
        <v>2510</v>
      </c>
      <c r="I1779" s="301" t="s">
        <v>19</v>
      </c>
      <c r="J1779" s="214" t="s">
        <v>5587</v>
      </c>
      <c r="K1779" s="214" t="s">
        <v>5588</v>
      </c>
    </row>
    <row r="1780" spans="1:11" ht="29.5" thickBot="1">
      <c r="A1780" s="261"/>
      <c r="B1780" s="157"/>
      <c r="C1780" s="290"/>
      <c r="D1780" s="70" t="s">
        <v>2511</v>
      </c>
      <c r="E1780" s="16" t="s">
        <v>2512</v>
      </c>
      <c r="F1780" s="262" t="s">
        <v>23</v>
      </c>
      <c r="G1780" s="16" t="s">
        <v>2513</v>
      </c>
      <c r="H1780" s="16" t="s">
        <v>2514</v>
      </c>
      <c r="I1780" s="301" t="s">
        <v>19</v>
      </c>
      <c r="J1780" s="214" t="s">
        <v>5589</v>
      </c>
      <c r="K1780" s="214" t="s">
        <v>5590</v>
      </c>
    </row>
    <row r="1781" spans="1:11" ht="29.5" thickBot="1">
      <c r="A1781" s="261"/>
      <c r="B1781" s="157"/>
      <c r="C1781" s="291"/>
      <c r="D1781" s="17" t="s">
        <v>2515</v>
      </c>
      <c r="E1781" s="16" t="s">
        <v>2516</v>
      </c>
      <c r="F1781" s="262" t="s">
        <v>16</v>
      </c>
      <c r="G1781" s="16" t="s">
        <v>2517</v>
      </c>
      <c r="H1781" s="16" t="s">
        <v>2518</v>
      </c>
      <c r="I1781" s="301" t="s">
        <v>26</v>
      </c>
      <c r="J1781" s="214" t="s">
        <v>5591</v>
      </c>
      <c r="K1781" s="214" t="s">
        <v>5592</v>
      </c>
    </row>
    <row r="1782" spans="1:11" ht="29.5" thickBot="1">
      <c r="A1782" s="261"/>
      <c r="B1782" s="157"/>
      <c r="C1782" s="289" t="s">
        <v>2519</v>
      </c>
      <c r="D1782" s="13" t="s">
        <v>2520</v>
      </c>
      <c r="E1782" s="25" t="s">
        <v>2521</v>
      </c>
      <c r="F1782" s="12" t="s">
        <v>23</v>
      </c>
      <c r="G1782" s="24" t="s">
        <v>2522</v>
      </c>
      <c r="H1782" s="24" t="s">
        <v>2523</v>
      </c>
      <c r="I1782" s="346" t="s">
        <v>26</v>
      </c>
      <c r="J1782" s="214" t="s">
        <v>5593</v>
      </c>
      <c r="K1782" s="214" t="s">
        <v>5594</v>
      </c>
    </row>
    <row r="1783" spans="1:11" ht="29.5" thickBot="1">
      <c r="A1783" s="261"/>
      <c r="B1783" s="157"/>
      <c r="C1783" s="289"/>
      <c r="D1783" s="69" t="s">
        <v>2524</v>
      </c>
      <c r="E1783" s="16" t="s">
        <v>2525</v>
      </c>
      <c r="F1783" s="262" t="s">
        <v>23</v>
      </c>
      <c r="G1783" s="16" t="s">
        <v>2526</v>
      </c>
      <c r="H1783" s="16" t="s">
        <v>2527</v>
      </c>
      <c r="I1783" s="347" t="s">
        <v>26</v>
      </c>
      <c r="J1783" s="214" t="s">
        <v>5575</v>
      </c>
      <c r="K1783" s="214" t="s">
        <v>5595</v>
      </c>
    </row>
    <row r="1784" spans="1:11" ht="29.5" thickBot="1">
      <c r="A1784" s="261"/>
      <c r="B1784" s="157"/>
      <c r="C1784" s="289"/>
      <c r="D1784" s="70" t="s">
        <v>2528</v>
      </c>
      <c r="E1784" s="16" t="s">
        <v>2529</v>
      </c>
      <c r="F1784" s="262" t="s">
        <v>23</v>
      </c>
      <c r="G1784" s="16" t="s">
        <v>2530</v>
      </c>
      <c r="H1784" s="16" t="s">
        <v>2531</v>
      </c>
      <c r="I1784" s="347" t="s">
        <v>26</v>
      </c>
      <c r="J1784" s="214" t="s">
        <v>5596</v>
      </c>
      <c r="K1784" s="214" t="s">
        <v>5597</v>
      </c>
    </row>
    <row r="1785" spans="1:11" ht="29.5" thickBot="1">
      <c r="A1785" s="261"/>
      <c r="B1785" s="157"/>
      <c r="C1785" s="289"/>
      <c r="D1785" s="70" t="s">
        <v>2532</v>
      </c>
      <c r="E1785" s="16" t="s">
        <v>2533</v>
      </c>
      <c r="F1785" s="262" t="s">
        <v>23</v>
      </c>
      <c r="G1785" s="16" t="s">
        <v>350</v>
      </c>
      <c r="H1785" s="16" t="s">
        <v>2534</v>
      </c>
      <c r="I1785" s="347" t="s">
        <v>26</v>
      </c>
      <c r="J1785" s="214" t="s">
        <v>5598</v>
      </c>
      <c r="K1785" s="214" t="s">
        <v>5599</v>
      </c>
    </row>
    <row r="1786" spans="1:11" ht="29.5" thickBot="1">
      <c r="A1786" s="261"/>
      <c r="B1786" s="157"/>
      <c r="C1786" s="289"/>
      <c r="D1786" s="21" t="s">
        <v>2535</v>
      </c>
      <c r="E1786" s="20" t="s">
        <v>2536</v>
      </c>
      <c r="F1786" s="265" t="s">
        <v>23</v>
      </c>
      <c r="G1786" s="20" t="s">
        <v>2537</v>
      </c>
      <c r="H1786" s="20" t="s">
        <v>2538</v>
      </c>
      <c r="I1786" s="348" t="s">
        <v>26</v>
      </c>
      <c r="J1786" s="214" t="s">
        <v>5600</v>
      </c>
      <c r="K1786" s="214" t="s">
        <v>5601</v>
      </c>
    </row>
    <row r="1787" spans="1:11" ht="29.5" thickBot="1">
      <c r="A1787" s="261"/>
      <c r="B1787" s="157"/>
      <c r="C1787" s="289" t="s">
        <v>2539</v>
      </c>
      <c r="D1787" s="13" t="s">
        <v>2540</v>
      </c>
      <c r="E1787" s="25" t="s">
        <v>2541</v>
      </c>
      <c r="F1787" s="12" t="s">
        <v>16</v>
      </c>
      <c r="G1787" s="24" t="s">
        <v>2542</v>
      </c>
      <c r="H1787" s="24" t="s">
        <v>2543</v>
      </c>
      <c r="I1787" s="346" t="s">
        <v>19</v>
      </c>
      <c r="J1787" s="214" t="s">
        <v>5602</v>
      </c>
      <c r="K1787" s="214" t="s">
        <v>5603</v>
      </c>
    </row>
    <row r="1788" spans="1:11" ht="29.5" thickBot="1">
      <c r="A1788" s="261"/>
      <c r="B1788" s="157"/>
      <c r="C1788" s="290"/>
      <c r="D1788" s="69" t="s">
        <v>2544</v>
      </c>
      <c r="E1788" s="16" t="s">
        <v>2545</v>
      </c>
      <c r="F1788" s="262" t="s">
        <v>58</v>
      </c>
      <c r="G1788" s="16" t="s">
        <v>2546</v>
      </c>
      <c r="H1788" s="16" t="s">
        <v>2547</v>
      </c>
      <c r="I1788" s="347" t="s">
        <v>26</v>
      </c>
      <c r="J1788" s="214" t="s">
        <v>5604</v>
      </c>
      <c r="K1788" s="214" t="s">
        <v>5605</v>
      </c>
    </row>
    <row r="1789" spans="1:11" ht="29.5" thickBot="1">
      <c r="A1789" s="261"/>
      <c r="B1789" s="157"/>
      <c r="C1789" s="290"/>
      <c r="D1789" s="70" t="s">
        <v>2548</v>
      </c>
      <c r="E1789" s="16" t="s">
        <v>2549</v>
      </c>
      <c r="F1789" s="262" t="s">
        <v>23</v>
      </c>
      <c r="G1789" s="16" t="s">
        <v>2550</v>
      </c>
      <c r="H1789" s="16" t="s">
        <v>2551</v>
      </c>
      <c r="I1789" s="347" t="s">
        <v>26</v>
      </c>
      <c r="J1789" s="214" t="s">
        <v>5606</v>
      </c>
      <c r="K1789" s="214" t="s">
        <v>5607</v>
      </c>
    </row>
    <row r="1790" spans="1:11" ht="29.5" thickBot="1">
      <c r="A1790" s="261"/>
      <c r="B1790" s="157"/>
      <c r="C1790" s="290"/>
      <c r="D1790" s="70" t="s">
        <v>2552</v>
      </c>
      <c r="E1790" s="16" t="s">
        <v>2553</v>
      </c>
      <c r="F1790" s="262" t="s">
        <v>58</v>
      </c>
      <c r="G1790" s="16" t="s">
        <v>2554</v>
      </c>
      <c r="H1790" s="16" t="s">
        <v>2555</v>
      </c>
      <c r="I1790" s="347" t="s">
        <v>26</v>
      </c>
      <c r="J1790" s="214" t="s">
        <v>5608</v>
      </c>
      <c r="K1790" s="214" t="s">
        <v>5609</v>
      </c>
    </row>
    <row r="1791" spans="1:11" ht="29.5" thickBot="1">
      <c r="A1791" s="261"/>
      <c r="B1791" s="157"/>
      <c r="C1791" s="291"/>
      <c r="D1791" s="17" t="s">
        <v>2556</v>
      </c>
      <c r="E1791" s="16" t="s">
        <v>2557</v>
      </c>
      <c r="F1791" s="262" t="s">
        <v>23</v>
      </c>
      <c r="G1791" s="16" t="s">
        <v>333</v>
      </c>
      <c r="H1791" s="16" t="s">
        <v>2558</v>
      </c>
      <c r="I1791" s="347" t="s">
        <v>19</v>
      </c>
      <c r="J1791" s="214" t="s">
        <v>5610</v>
      </c>
      <c r="K1791" s="214" t="s">
        <v>5611</v>
      </c>
    </row>
    <row r="1792" spans="1:11" ht="29.5" thickBot="1">
      <c r="A1792" s="261"/>
      <c r="B1792" s="157"/>
      <c r="C1792" s="289" t="s">
        <v>2559</v>
      </c>
      <c r="D1792" s="13" t="s">
        <v>2560</v>
      </c>
      <c r="E1792" s="25" t="s">
        <v>2561</v>
      </c>
      <c r="F1792" s="12" t="s">
        <v>23</v>
      </c>
      <c r="G1792" s="24" t="s">
        <v>2562</v>
      </c>
      <c r="H1792" s="24" t="s">
        <v>2563</v>
      </c>
      <c r="I1792" s="346" t="s">
        <v>19</v>
      </c>
      <c r="J1792" s="214" t="s">
        <v>5612</v>
      </c>
      <c r="K1792" s="214" t="s">
        <v>5613</v>
      </c>
    </row>
    <row r="1793" spans="1:11" ht="29.5" thickBot="1">
      <c r="A1793" s="261"/>
      <c r="B1793" s="157"/>
      <c r="C1793" s="290"/>
      <c r="D1793" s="69" t="s">
        <v>2564</v>
      </c>
      <c r="E1793" s="16" t="s">
        <v>2565</v>
      </c>
      <c r="F1793" s="262" t="s">
        <v>23</v>
      </c>
      <c r="G1793" s="16" t="s">
        <v>2566</v>
      </c>
      <c r="H1793" s="16" t="s">
        <v>2567</v>
      </c>
      <c r="I1793" s="347" t="s">
        <v>19</v>
      </c>
      <c r="J1793" s="214" t="s">
        <v>5614</v>
      </c>
      <c r="K1793" s="214" t="s">
        <v>5615</v>
      </c>
    </row>
    <row r="1794" spans="1:11" ht="29.5" thickBot="1">
      <c r="A1794" s="261"/>
      <c r="B1794" s="157"/>
      <c r="C1794" s="290"/>
      <c r="D1794" s="70" t="s">
        <v>2568</v>
      </c>
      <c r="E1794" s="16" t="s">
        <v>2569</v>
      </c>
      <c r="F1794" s="262" t="s">
        <v>23</v>
      </c>
      <c r="G1794" s="16" t="s">
        <v>2570</v>
      </c>
      <c r="H1794" s="16" t="s">
        <v>2571</v>
      </c>
      <c r="I1794" s="347" t="s">
        <v>26</v>
      </c>
      <c r="J1794" s="214" t="s">
        <v>5616</v>
      </c>
      <c r="K1794" s="214" t="s">
        <v>5617</v>
      </c>
    </row>
    <row r="1795" spans="1:11" ht="29.5" thickBot="1">
      <c r="A1795" s="261"/>
      <c r="B1795" s="157"/>
      <c r="C1795" s="290"/>
      <c r="D1795" s="17" t="s">
        <v>2572</v>
      </c>
      <c r="E1795" s="16" t="s">
        <v>2573</v>
      </c>
      <c r="F1795" s="262" t="s">
        <v>58</v>
      </c>
      <c r="G1795" s="16" t="s">
        <v>2574</v>
      </c>
      <c r="H1795" s="16" t="s">
        <v>2575</v>
      </c>
      <c r="I1795" s="347" t="s">
        <v>19</v>
      </c>
      <c r="J1795" s="214" t="s">
        <v>5618</v>
      </c>
      <c r="K1795" s="214" t="s">
        <v>5619</v>
      </c>
    </row>
    <row r="1796" spans="1:11" ht="29.5" thickBot="1">
      <c r="A1796" s="261"/>
      <c r="B1796" s="157"/>
      <c r="C1796" s="291"/>
      <c r="D1796" s="21" t="s">
        <v>2576</v>
      </c>
      <c r="E1796" s="20" t="s">
        <v>2577</v>
      </c>
      <c r="F1796" s="265" t="s">
        <v>58</v>
      </c>
      <c r="G1796" s="20" t="s">
        <v>2578</v>
      </c>
      <c r="H1796" s="20" t="s">
        <v>2579</v>
      </c>
      <c r="I1796" s="348" t="s">
        <v>26</v>
      </c>
      <c r="J1796" s="214" t="s">
        <v>5620</v>
      </c>
      <c r="K1796" s="214" t="s">
        <v>5621</v>
      </c>
    </row>
    <row r="1797" spans="1:11" ht="25.5" thickBot="1">
      <c r="A1797" s="261"/>
      <c r="B1797" s="156" t="s">
        <v>2580</v>
      </c>
      <c r="C1797" s="289" t="s">
        <v>2581</v>
      </c>
      <c r="D1797" s="14" t="s">
        <v>2582</v>
      </c>
      <c r="E1797" s="24" t="s">
        <v>2583</v>
      </c>
      <c r="F1797" s="268" t="s">
        <v>16</v>
      </c>
      <c r="G1797" s="24" t="s">
        <v>2584</v>
      </c>
      <c r="H1797" s="24" t="s">
        <v>2585</v>
      </c>
      <c r="I1797" s="346" t="s">
        <v>26</v>
      </c>
      <c r="J1797" s="214" t="s">
        <v>5622</v>
      </c>
      <c r="K1797" s="214" t="s">
        <v>5623</v>
      </c>
    </row>
    <row r="1798" spans="1:11" ht="25.5" thickBot="1">
      <c r="A1798" s="261"/>
      <c r="B1798" s="157"/>
      <c r="C1798" s="290"/>
      <c r="D1798" s="70" t="s">
        <v>2586</v>
      </c>
      <c r="E1798" s="16" t="s">
        <v>2587</v>
      </c>
      <c r="F1798" s="262" t="s">
        <v>23</v>
      </c>
      <c r="G1798" s="16" t="s">
        <v>2588</v>
      </c>
      <c r="H1798" s="16" t="s">
        <v>2589</v>
      </c>
      <c r="I1798" s="347" t="s">
        <v>26</v>
      </c>
      <c r="J1798" s="214" t="s">
        <v>5624</v>
      </c>
      <c r="K1798" s="214" t="s">
        <v>5625</v>
      </c>
    </row>
    <row r="1799" spans="1:11" ht="29.5" thickBot="1">
      <c r="A1799" s="261"/>
      <c r="B1799" s="157"/>
      <c r="C1799" s="290"/>
      <c r="D1799" s="70" t="s">
        <v>2590</v>
      </c>
      <c r="E1799" s="16" t="s">
        <v>2591</v>
      </c>
      <c r="F1799" s="262" t="s">
        <v>16</v>
      </c>
      <c r="G1799" s="16" t="s">
        <v>2592</v>
      </c>
      <c r="H1799" s="16" t="s">
        <v>2593</v>
      </c>
      <c r="I1799" s="347" t="s">
        <v>26</v>
      </c>
      <c r="J1799" s="214" t="s">
        <v>5626</v>
      </c>
      <c r="K1799" s="214" t="s">
        <v>5627</v>
      </c>
    </row>
    <row r="1800" spans="1:11" ht="29.5" thickBot="1">
      <c r="A1800" s="261"/>
      <c r="B1800" s="157"/>
      <c r="C1800" s="290"/>
      <c r="D1800" s="17" t="s">
        <v>2594</v>
      </c>
      <c r="E1800" s="16" t="s">
        <v>2595</v>
      </c>
      <c r="F1800" s="262" t="s">
        <v>23</v>
      </c>
      <c r="G1800" s="16" t="s">
        <v>2596</v>
      </c>
      <c r="H1800" s="16" t="s">
        <v>2597</v>
      </c>
      <c r="I1800" s="347" t="s">
        <v>26</v>
      </c>
      <c r="J1800" s="214" t="s">
        <v>4486</v>
      </c>
      <c r="K1800" s="214" t="s">
        <v>5628</v>
      </c>
    </row>
    <row r="1801" spans="1:11" ht="29.5" thickBot="1">
      <c r="A1801" s="261"/>
      <c r="B1801" s="157"/>
      <c r="C1801" s="291"/>
      <c r="D1801" s="21" t="s">
        <v>2598</v>
      </c>
      <c r="E1801" s="20" t="s">
        <v>2599</v>
      </c>
      <c r="F1801" s="265" t="s">
        <v>23</v>
      </c>
      <c r="G1801" s="20" t="s">
        <v>2600</v>
      </c>
      <c r="H1801" s="20" t="s">
        <v>2601</v>
      </c>
      <c r="I1801" s="348" t="s">
        <v>26</v>
      </c>
      <c r="J1801" s="214" t="s">
        <v>3891</v>
      </c>
      <c r="K1801" s="214" t="s">
        <v>5629</v>
      </c>
    </row>
    <row r="1802" spans="1:11" ht="25.5" thickBot="1">
      <c r="A1802" s="261"/>
      <c r="B1802" s="157"/>
      <c r="C1802" s="289" t="s">
        <v>2602</v>
      </c>
      <c r="D1802" s="14" t="s">
        <v>2603</v>
      </c>
      <c r="E1802" s="24" t="s">
        <v>2604</v>
      </c>
      <c r="F1802" s="268" t="s">
        <v>16</v>
      </c>
      <c r="G1802" s="24" t="s">
        <v>2605</v>
      </c>
      <c r="H1802" s="24" t="s">
        <v>2606</v>
      </c>
      <c r="I1802" s="346" t="s">
        <v>26</v>
      </c>
      <c r="J1802" s="214" t="s">
        <v>5630</v>
      </c>
      <c r="K1802" s="214" t="s">
        <v>5631</v>
      </c>
    </row>
    <row r="1803" spans="1:11" ht="29.5" thickBot="1">
      <c r="A1803" s="261"/>
      <c r="B1803" s="157"/>
      <c r="C1803" s="290"/>
      <c r="D1803" s="70" t="s">
        <v>2607</v>
      </c>
      <c r="E1803" s="16" t="s">
        <v>2608</v>
      </c>
      <c r="F1803" s="262" t="s">
        <v>58</v>
      </c>
      <c r="G1803" s="16" t="s">
        <v>2609</v>
      </c>
      <c r="H1803" s="16" t="s">
        <v>2610</v>
      </c>
      <c r="I1803" s="347" t="s">
        <v>26</v>
      </c>
      <c r="J1803" s="214" t="s">
        <v>5632</v>
      </c>
      <c r="K1803" s="214" t="s">
        <v>5633</v>
      </c>
    </row>
    <row r="1804" spans="1:11" ht="25.5" thickBot="1">
      <c r="A1804" s="261"/>
      <c r="B1804" s="157"/>
      <c r="C1804" s="290"/>
      <c r="D1804" s="70" t="s">
        <v>2611</v>
      </c>
      <c r="E1804" s="16" t="s">
        <v>2612</v>
      </c>
      <c r="F1804" s="262" t="s">
        <v>58</v>
      </c>
      <c r="G1804" s="16" t="s">
        <v>2613</v>
      </c>
      <c r="H1804" s="16" t="s">
        <v>2614</v>
      </c>
      <c r="I1804" s="347" t="s">
        <v>19</v>
      </c>
      <c r="J1804" s="214" t="s">
        <v>5634</v>
      </c>
      <c r="K1804" s="227" t="s">
        <v>5635</v>
      </c>
    </row>
    <row r="1805" spans="1:11" ht="29.5" thickBot="1">
      <c r="A1805" s="261"/>
      <c r="B1805" s="157"/>
      <c r="C1805" s="290"/>
      <c r="D1805" s="17" t="s">
        <v>2615</v>
      </c>
      <c r="E1805" s="16" t="s">
        <v>2616</v>
      </c>
      <c r="F1805" s="262" t="s">
        <v>16</v>
      </c>
      <c r="G1805" s="16" t="s">
        <v>2617</v>
      </c>
      <c r="H1805" s="16" t="s">
        <v>2618</v>
      </c>
      <c r="I1805" s="347" t="s">
        <v>26</v>
      </c>
      <c r="J1805" s="214" t="s">
        <v>5636</v>
      </c>
      <c r="K1805" s="214" t="s">
        <v>5637</v>
      </c>
    </row>
    <row r="1806" spans="1:11" ht="29.5" thickBot="1">
      <c r="A1806" s="261"/>
      <c r="B1806" s="157"/>
      <c r="C1806" s="291"/>
      <c r="D1806" s="21" t="s">
        <v>2619</v>
      </c>
      <c r="E1806" s="20" t="s">
        <v>2620</v>
      </c>
      <c r="F1806" s="265" t="s">
        <v>23</v>
      </c>
      <c r="G1806" s="20" t="s">
        <v>2621</v>
      </c>
      <c r="H1806" s="20" t="s">
        <v>2622</v>
      </c>
      <c r="I1806" s="348" t="s">
        <v>26</v>
      </c>
      <c r="J1806" s="214" t="s">
        <v>5638</v>
      </c>
      <c r="K1806" s="214" t="s">
        <v>5639</v>
      </c>
    </row>
    <row r="1807" spans="1:11" ht="29.5" thickBot="1">
      <c r="A1807" s="261"/>
      <c r="B1807" s="157"/>
      <c r="C1807" s="289" t="s">
        <v>2623</v>
      </c>
      <c r="D1807" s="14" t="s">
        <v>2624</v>
      </c>
      <c r="E1807" s="24" t="s">
        <v>2625</v>
      </c>
      <c r="F1807" s="268" t="s">
        <v>23</v>
      </c>
      <c r="G1807" s="24" t="s">
        <v>2626</v>
      </c>
      <c r="H1807" s="24" t="s">
        <v>2627</v>
      </c>
      <c r="I1807" s="346" t="s">
        <v>19</v>
      </c>
      <c r="J1807" s="214" t="s">
        <v>5640</v>
      </c>
      <c r="K1807" s="214" t="s">
        <v>5641</v>
      </c>
    </row>
    <row r="1808" spans="1:11" ht="29.5" thickBot="1">
      <c r="A1808" s="261"/>
      <c r="B1808" s="157"/>
      <c r="C1808" s="290"/>
      <c r="D1808" s="70" t="s">
        <v>2628</v>
      </c>
      <c r="E1808" s="16" t="s">
        <v>2629</v>
      </c>
      <c r="F1808" s="262" t="s">
        <v>23</v>
      </c>
      <c r="G1808" s="16" t="s">
        <v>2630</v>
      </c>
      <c r="H1808" s="16" t="s">
        <v>2631</v>
      </c>
      <c r="I1808" s="347" t="s">
        <v>26</v>
      </c>
      <c r="J1808" s="214" t="s">
        <v>5642</v>
      </c>
      <c r="K1808" s="214" t="s">
        <v>5643</v>
      </c>
    </row>
    <row r="1809" spans="1:11" ht="29.5" thickBot="1">
      <c r="A1809" s="261"/>
      <c r="B1809" s="157"/>
      <c r="C1809" s="290"/>
      <c r="D1809" s="70" t="s">
        <v>2632</v>
      </c>
      <c r="E1809" s="16" t="s">
        <v>2633</v>
      </c>
      <c r="F1809" s="262" t="s">
        <v>23</v>
      </c>
      <c r="G1809" s="16" t="s">
        <v>2634</v>
      </c>
      <c r="H1809" s="16" t="s">
        <v>2635</v>
      </c>
      <c r="I1809" s="347" t="s">
        <v>26</v>
      </c>
      <c r="J1809" s="214" t="s">
        <v>5644</v>
      </c>
      <c r="K1809" s="214" t="s">
        <v>5645</v>
      </c>
    </row>
    <row r="1810" spans="1:11" ht="25.5" thickBot="1">
      <c r="A1810" s="261"/>
      <c r="B1810" s="157"/>
      <c r="C1810" s="290"/>
      <c r="D1810" s="17" t="s">
        <v>2636</v>
      </c>
      <c r="E1810" s="16" t="s">
        <v>2637</v>
      </c>
      <c r="F1810" s="262" t="s">
        <v>23</v>
      </c>
      <c r="G1810" s="16" t="s">
        <v>2638</v>
      </c>
      <c r="H1810" s="16" t="s">
        <v>2639</v>
      </c>
      <c r="I1810" s="347" t="s">
        <v>26</v>
      </c>
      <c r="J1810" s="214" t="s">
        <v>5646</v>
      </c>
      <c r="K1810" s="214" t="s">
        <v>5647</v>
      </c>
    </row>
    <row r="1811" spans="1:11" ht="25.5" thickBot="1">
      <c r="A1811" s="261"/>
      <c r="B1811" s="157"/>
      <c r="C1811" s="291"/>
      <c r="D1811" s="21" t="s">
        <v>2640</v>
      </c>
      <c r="E1811" s="20" t="s">
        <v>2641</v>
      </c>
      <c r="F1811" s="265" t="s">
        <v>58</v>
      </c>
      <c r="G1811" s="20" t="s">
        <v>2642</v>
      </c>
      <c r="H1811" s="20" t="s">
        <v>2643</v>
      </c>
      <c r="I1811" s="348" t="s">
        <v>26</v>
      </c>
      <c r="J1811" s="214" t="s">
        <v>5648</v>
      </c>
      <c r="K1811" s="214" t="s">
        <v>5649</v>
      </c>
    </row>
    <row r="1812" spans="1:11" ht="25.5" thickBot="1">
      <c r="A1812" s="261"/>
      <c r="B1812" s="157"/>
      <c r="C1812" s="289" t="s">
        <v>2644</v>
      </c>
      <c r="D1812" s="14" t="s">
        <v>2645</v>
      </c>
      <c r="E1812" s="24" t="s">
        <v>2646</v>
      </c>
      <c r="F1812" s="268" t="s">
        <v>23</v>
      </c>
      <c r="G1812" s="24" t="s">
        <v>2647</v>
      </c>
      <c r="H1812" s="24" t="s">
        <v>2648</v>
      </c>
      <c r="I1812" s="346" t="s">
        <v>26</v>
      </c>
      <c r="J1812" s="214" t="s">
        <v>5650</v>
      </c>
      <c r="K1812" s="227" t="s">
        <v>5651</v>
      </c>
    </row>
    <row r="1813" spans="1:11" ht="29.5" thickBot="1">
      <c r="A1813" s="261"/>
      <c r="B1813" s="157"/>
      <c r="C1813" s="290"/>
      <c r="D1813" s="70" t="s">
        <v>2649</v>
      </c>
      <c r="E1813" s="16" t="s">
        <v>2650</v>
      </c>
      <c r="F1813" s="262" t="s">
        <v>23</v>
      </c>
      <c r="G1813" s="16" t="s">
        <v>2651</v>
      </c>
      <c r="H1813" s="16" t="s">
        <v>2652</v>
      </c>
      <c r="I1813" s="347" t="s">
        <v>206</v>
      </c>
      <c r="J1813" s="214" t="s">
        <v>5652</v>
      </c>
      <c r="K1813" s="214" t="s">
        <v>5653</v>
      </c>
    </row>
    <row r="1814" spans="1:11" ht="29.5" thickBot="1">
      <c r="A1814" s="261"/>
      <c r="B1814" s="157"/>
      <c r="C1814" s="290"/>
      <c r="D1814" s="70" t="s">
        <v>2653</v>
      </c>
      <c r="E1814" s="16" t="s">
        <v>2654</v>
      </c>
      <c r="F1814" s="262" t="s">
        <v>23</v>
      </c>
      <c r="G1814" s="16" t="s">
        <v>2655</v>
      </c>
      <c r="H1814" s="16" t="s">
        <v>2656</v>
      </c>
      <c r="I1814" s="347" t="s">
        <v>206</v>
      </c>
      <c r="J1814" s="214" t="s">
        <v>5654</v>
      </c>
      <c r="K1814" s="214" t="s">
        <v>5655</v>
      </c>
    </row>
    <row r="1815" spans="1:11" ht="29.5" thickBot="1">
      <c r="A1815" s="261"/>
      <c r="B1815" s="157"/>
      <c r="C1815" s="290"/>
      <c r="D1815" s="17" t="s">
        <v>2657</v>
      </c>
      <c r="E1815" s="16" t="s">
        <v>2658</v>
      </c>
      <c r="F1815" s="262" t="s">
        <v>23</v>
      </c>
      <c r="G1815" s="16" t="s">
        <v>2659</v>
      </c>
      <c r="H1815" s="16" t="s">
        <v>2660</v>
      </c>
      <c r="I1815" s="347" t="s">
        <v>206</v>
      </c>
      <c r="J1815" s="214" t="s">
        <v>5656</v>
      </c>
      <c r="K1815" s="214" t="s">
        <v>5657</v>
      </c>
    </row>
    <row r="1816" spans="1:11" ht="25.5" thickBot="1">
      <c r="A1816" s="261"/>
      <c r="B1816" s="157"/>
      <c r="C1816" s="291"/>
      <c r="D1816" s="21" t="s">
        <v>2661</v>
      </c>
      <c r="E1816" s="20" t="s">
        <v>2662</v>
      </c>
      <c r="F1816" s="265" t="s">
        <v>23</v>
      </c>
      <c r="G1816" s="20" t="s">
        <v>2663</v>
      </c>
      <c r="H1816" s="20" t="s">
        <v>2664</v>
      </c>
      <c r="I1816" s="348" t="s">
        <v>206</v>
      </c>
      <c r="J1816" s="214" t="s">
        <v>5658</v>
      </c>
      <c r="K1816" s="214" t="s">
        <v>5659</v>
      </c>
    </row>
    <row r="1817" spans="1:11" ht="29.5" thickBot="1">
      <c r="A1817" s="261"/>
      <c r="B1817" s="157"/>
      <c r="C1817" s="289" t="s">
        <v>2665</v>
      </c>
      <c r="D1817" s="14" t="s">
        <v>2666</v>
      </c>
      <c r="E1817" s="24" t="s">
        <v>2667</v>
      </c>
      <c r="F1817" s="268" t="s">
        <v>16</v>
      </c>
      <c r="G1817" s="24" t="s">
        <v>2668</v>
      </c>
      <c r="H1817" s="24" t="s">
        <v>2669</v>
      </c>
      <c r="I1817" s="346" t="s">
        <v>26</v>
      </c>
      <c r="J1817" s="214" t="s">
        <v>5660</v>
      </c>
      <c r="K1817" s="214" t="s">
        <v>5661</v>
      </c>
    </row>
    <row r="1818" spans="1:11" ht="25">
      <c r="A1818" s="261"/>
      <c r="B1818" s="157"/>
      <c r="C1818" s="290"/>
      <c r="D1818" s="70" t="s">
        <v>2670</v>
      </c>
      <c r="E1818" s="16" t="s">
        <v>2671</v>
      </c>
      <c r="F1818" s="262" t="s">
        <v>16</v>
      </c>
      <c r="G1818" s="16" t="s">
        <v>2672</v>
      </c>
      <c r="H1818" s="16" t="s">
        <v>2673</v>
      </c>
      <c r="I1818" s="301" t="s">
        <v>206</v>
      </c>
      <c r="J1818" s="270"/>
      <c r="K1818" s="271"/>
    </row>
    <row r="1819" spans="1:11" ht="25">
      <c r="A1819" s="261"/>
      <c r="B1819" s="157"/>
      <c r="C1819" s="290"/>
      <c r="D1819" s="70" t="s">
        <v>2674</v>
      </c>
      <c r="E1819" s="16" t="s">
        <v>2675</v>
      </c>
      <c r="F1819" s="262" t="s">
        <v>23</v>
      </c>
      <c r="G1819" s="16" t="s">
        <v>2676</v>
      </c>
      <c r="H1819" s="16" t="s">
        <v>2677</v>
      </c>
      <c r="I1819" s="301" t="s">
        <v>206</v>
      </c>
      <c r="J1819" s="263"/>
      <c r="K1819" s="264"/>
    </row>
    <row r="1820" spans="1:11" ht="25">
      <c r="A1820" s="261"/>
      <c r="B1820" s="157"/>
      <c r="C1820" s="290"/>
      <c r="D1820" s="17" t="s">
        <v>2678</v>
      </c>
      <c r="E1820" s="16" t="s">
        <v>2679</v>
      </c>
      <c r="F1820" s="262" t="s">
        <v>16</v>
      </c>
      <c r="G1820" s="16" t="s">
        <v>2680</v>
      </c>
      <c r="H1820" s="16" t="s">
        <v>2681</v>
      </c>
      <c r="I1820" s="301" t="s">
        <v>26</v>
      </c>
      <c r="J1820" s="263"/>
      <c r="K1820" s="264"/>
    </row>
    <row r="1821" spans="1:11" ht="25.5" thickBot="1">
      <c r="A1821" s="261"/>
      <c r="B1821" s="173"/>
      <c r="C1821" s="291"/>
      <c r="D1821" s="21" t="s">
        <v>2682</v>
      </c>
      <c r="E1821" s="20" t="s">
        <v>2683</v>
      </c>
      <c r="F1821" s="265" t="s">
        <v>58</v>
      </c>
      <c r="G1821" s="20" t="s">
        <v>2684</v>
      </c>
      <c r="H1821" s="20" t="s">
        <v>2685</v>
      </c>
      <c r="I1821" s="302" t="s">
        <v>206</v>
      </c>
      <c r="J1821" s="266"/>
      <c r="K1821" s="267"/>
    </row>
    <row r="1822" spans="1:11" ht="25">
      <c r="A1822" s="261"/>
      <c r="B1822" s="156" t="s">
        <v>2686</v>
      </c>
      <c r="C1822" s="287" t="s">
        <v>2687</v>
      </c>
      <c r="D1822" s="55" t="s">
        <v>2688</v>
      </c>
      <c r="E1822" s="269" t="s">
        <v>2689</v>
      </c>
      <c r="F1822" s="51" t="s">
        <v>23</v>
      </c>
      <c r="G1822" s="65" t="s">
        <v>2690</v>
      </c>
      <c r="H1822" s="65" t="s">
        <v>2691</v>
      </c>
      <c r="I1822" s="303" t="s">
        <v>26</v>
      </c>
      <c r="J1822" s="270"/>
      <c r="K1822" s="271"/>
    </row>
    <row r="1823" spans="1:11" ht="25">
      <c r="A1823" s="261"/>
      <c r="B1823" s="157"/>
      <c r="C1823" s="287"/>
      <c r="D1823" s="70" t="s">
        <v>2692</v>
      </c>
      <c r="E1823" s="16" t="s">
        <v>2693</v>
      </c>
      <c r="F1823" s="262" t="s">
        <v>23</v>
      </c>
      <c r="G1823" s="16" t="s">
        <v>2694</v>
      </c>
      <c r="H1823" s="16" t="s">
        <v>2695</v>
      </c>
      <c r="I1823" s="301" t="s">
        <v>26</v>
      </c>
      <c r="J1823" s="263"/>
      <c r="K1823" s="264"/>
    </row>
    <row r="1824" spans="1:11" ht="25">
      <c r="A1824" s="261"/>
      <c r="B1824" s="157"/>
      <c r="C1824" s="287"/>
      <c r="D1824" s="70" t="s">
        <v>2696</v>
      </c>
      <c r="E1824" s="16" t="s">
        <v>2697</v>
      </c>
      <c r="F1824" s="262" t="s">
        <v>23</v>
      </c>
      <c r="G1824" s="16" t="s">
        <v>2698</v>
      </c>
      <c r="H1824" s="16" t="s">
        <v>2699</v>
      </c>
      <c r="I1824" s="301" t="s">
        <v>206</v>
      </c>
      <c r="J1824" s="263"/>
      <c r="K1824" s="264"/>
    </row>
    <row r="1825" spans="1:11" ht="25">
      <c r="A1825" s="261"/>
      <c r="B1825" s="157"/>
      <c r="C1825" s="287"/>
      <c r="D1825" s="17" t="s">
        <v>2700</v>
      </c>
      <c r="E1825" s="16" t="s">
        <v>2701</v>
      </c>
      <c r="F1825" s="262" t="s">
        <v>23</v>
      </c>
      <c r="G1825" s="16" t="s">
        <v>2702</v>
      </c>
      <c r="H1825" s="16" t="s">
        <v>2703</v>
      </c>
      <c r="I1825" s="301" t="s">
        <v>26</v>
      </c>
      <c r="J1825" s="263"/>
      <c r="K1825" s="264"/>
    </row>
    <row r="1826" spans="1:11" ht="25.5" thickBot="1">
      <c r="A1826" s="261"/>
      <c r="B1826" s="157"/>
      <c r="C1826" s="288"/>
      <c r="D1826" s="21" t="s">
        <v>2704</v>
      </c>
      <c r="E1826" s="20" t="s">
        <v>2705</v>
      </c>
      <c r="F1826" s="265" t="s">
        <v>23</v>
      </c>
      <c r="G1826" s="20" t="s">
        <v>2706</v>
      </c>
      <c r="H1826" s="20" t="s">
        <v>2707</v>
      </c>
      <c r="I1826" s="302" t="s">
        <v>206</v>
      </c>
      <c r="J1826" s="266"/>
      <c r="K1826" s="267"/>
    </row>
    <row r="1827" spans="1:11" ht="25">
      <c r="A1827" s="261"/>
      <c r="B1827" s="157"/>
      <c r="C1827" s="289" t="s">
        <v>2708</v>
      </c>
      <c r="D1827" s="13" t="s">
        <v>2709</v>
      </c>
      <c r="E1827" s="25" t="s">
        <v>2710</v>
      </c>
      <c r="F1827" s="12" t="s">
        <v>16</v>
      </c>
      <c r="G1827" s="24" t="s">
        <v>2711</v>
      </c>
      <c r="H1827" s="24" t="s">
        <v>2712</v>
      </c>
      <c r="I1827" s="300" t="s">
        <v>26</v>
      </c>
      <c r="J1827" s="259"/>
      <c r="K1827" s="260"/>
    </row>
    <row r="1828" spans="1:11" ht="25">
      <c r="A1828" s="261"/>
      <c r="B1828" s="157"/>
      <c r="C1828" s="290"/>
      <c r="D1828" s="70" t="s">
        <v>2713</v>
      </c>
      <c r="E1828" s="16" t="s">
        <v>2714</v>
      </c>
      <c r="F1828" s="262" t="s">
        <v>58</v>
      </c>
      <c r="G1828" s="16" t="s">
        <v>2715</v>
      </c>
      <c r="H1828" s="16" t="s">
        <v>2716</v>
      </c>
      <c r="I1828" s="301" t="s">
        <v>206</v>
      </c>
      <c r="J1828" s="263"/>
      <c r="K1828" s="264"/>
    </row>
    <row r="1829" spans="1:11" ht="25">
      <c r="A1829" s="261"/>
      <c r="B1829" s="157"/>
      <c r="C1829" s="290"/>
      <c r="D1829" s="70" t="s">
        <v>2717</v>
      </c>
      <c r="E1829" s="16" t="s">
        <v>2718</v>
      </c>
      <c r="F1829" s="262" t="s">
        <v>16</v>
      </c>
      <c r="G1829" s="16" t="s">
        <v>2719</v>
      </c>
      <c r="H1829" s="16" t="s">
        <v>2720</v>
      </c>
      <c r="I1829" s="301" t="s">
        <v>206</v>
      </c>
      <c r="J1829" s="263"/>
      <c r="K1829" s="264"/>
    </row>
    <row r="1830" spans="1:11" ht="25">
      <c r="A1830" s="261"/>
      <c r="B1830" s="157"/>
      <c r="C1830" s="290"/>
      <c r="D1830" s="17" t="s">
        <v>2721</v>
      </c>
      <c r="E1830" s="16" t="s">
        <v>2722</v>
      </c>
      <c r="F1830" s="262" t="s">
        <v>23</v>
      </c>
      <c r="G1830" s="16" t="s">
        <v>2723</v>
      </c>
      <c r="H1830" s="16" t="s">
        <v>2724</v>
      </c>
      <c r="I1830" s="301" t="s">
        <v>206</v>
      </c>
      <c r="J1830" s="263"/>
      <c r="K1830" s="264"/>
    </row>
    <row r="1831" spans="1:11" ht="25.5" thickBot="1">
      <c r="A1831" s="261"/>
      <c r="B1831" s="157"/>
      <c r="C1831" s="291"/>
      <c r="D1831" s="21" t="s">
        <v>2725</v>
      </c>
      <c r="E1831" s="20" t="s">
        <v>2726</v>
      </c>
      <c r="F1831" s="265" t="s">
        <v>58</v>
      </c>
      <c r="G1831" s="20" t="s">
        <v>2727</v>
      </c>
      <c r="H1831" s="20" t="s">
        <v>2728</v>
      </c>
      <c r="I1831" s="302" t="s">
        <v>26</v>
      </c>
      <c r="J1831" s="266"/>
      <c r="K1831" s="267"/>
    </row>
    <row r="1832" spans="1:11" ht="25">
      <c r="A1832" s="261"/>
      <c r="B1832" s="157"/>
      <c r="C1832" s="289" t="s">
        <v>2729</v>
      </c>
      <c r="D1832" s="13" t="s">
        <v>2730</v>
      </c>
      <c r="E1832" s="25" t="s">
        <v>2731</v>
      </c>
      <c r="F1832" s="12" t="s">
        <v>16</v>
      </c>
      <c r="G1832" s="24" t="s">
        <v>2732</v>
      </c>
      <c r="H1832" s="24" t="s">
        <v>2733</v>
      </c>
      <c r="I1832" s="300" t="s">
        <v>26</v>
      </c>
      <c r="J1832" s="259"/>
      <c r="K1832" s="260"/>
    </row>
    <row r="1833" spans="1:11" ht="25">
      <c r="A1833" s="261"/>
      <c r="B1833" s="157"/>
      <c r="C1833" s="290"/>
      <c r="D1833" s="69" t="s">
        <v>2734</v>
      </c>
      <c r="E1833" s="16" t="s">
        <v>2735</v>
      </c>
      <c r="F1833" s="262" t="s">
        <v>16</v>
      </c>
      <c r="G1833" s="16" t="s">
        <v>2736</v>
      </c>
      <c r="H1833" s="16" t="s">
        <v>2737</v>
      </c>
      <c r="I1833" s="301" t="s">
        <v>26</v>
      </c>
      <c r="J1833" s="263"/>
      <c r="K1833" s="264"/>
    </row>
    <row r="1834" spans="1:11" ht="25">
      <c r="A1834" s="261"/>
      <c r="B1834" s="157"/>
      <c r="C1834" s="290"/>
      <c r="D1834" s="70" t="s">
        <v>2738</v>
      </c>
      <c r="E1834" s="16" t="s">
        <v>2739</v>
      </c>
      <c r="F1834" s="262" t="s">
        <v>16</v>
      </c>
      <c r="G1834" s="16" t="s">
        <v>2740</v>
      </c>
      <c r="H1834" s="16" t="s">
        <v>2741</v>
      </c>
      <c r="I1834" s="301" t="s">
        <v>206</v>
      </c>
      <c r="J1834" s="263"/>
      <c r="K1834" s="264"/>
    </row>
    <row r="1835" spans="1:11" ht="25">
      <c r="A1835" s="261"/>
      <c r="B1835" s="157"/>
      <c r="C1835" s="290"/>
      <c r="D1835" s="17" t="s">
        <v>2742</v>
      </c>
      <c r="E1835" s="16" t="s">
        <v>2743</v>
      </c>
      <c r="F1835" s="262" t="s">
        <v>16</v>
      </c>
      <c r="G1835" s="16" t="s">
        <v>2744</v>
      </c>
      <c r="H1835" s="16" t="s">
        <v>2745</v>
      </c>
      <c r="I1835" s="301" t="s">
        <v>206</v>
      </c>
      <c r="J1835" s="263"/>
      <c r="K1835" s="264"/>
    </row>
    <row r="1836" spans="1:11" ht="25.5" thickBot="1">
      <c r="A1836" s="261"/>
      <c r="B1836" s="157"/>
      <c r="C1836" s="291"/>
      <c r="D1836" s="21" t="s">
        <v>2746</v>
      </c>
      <c r="E1836" s="20" t="s">
        <v>2747</v>
      </c>
      <c r="F1836" s="265" t="s">
        <v>58</v>
      </c>
      <c r="G1836" s="20" t="s">
        <v>2748</v>
      </c>
      <c r="H1836" s="20" t="s">
        <v>2749</v>
      </c>
      <c r="I1836" s="302" t="s">
        <v>206</v>
      </c>
      <c r="J1836" s="266"/>
      <c r="K1836" s="267"/>
    </row>
    <row r="1837" spans="1:11" ht="25">
      <c r="A1837" s="261"/>
      <c r="B1837" s="157"/>
      <c r="C1837" s="289" t="s">
        <v>2750</v>
      </c>
      <c r="D1837" s="13" t="s">
        <v>2751</v>
      </c>
      <c r="E1837" s="25" t="s">
        <v>2752</v>
      </c>
      <c r="F1837" s="12" t="s">
        <v>58</v>
      </c>
      <c r="G1837" s="24" t="s">
        <v>2753</v>
      </c>
      <c r="H1837" s="24" t="s">
        <v>2754</v>
      </c>
      <c r="I1837" s="300" t="s">
        <v>26</v>
      </c>
      <c r="J1837" s="259"/>
      <c r="K1837" s="260"/>
    </row>
    <row r="1838" spans="1:11" ht="25">
      <c r="A1838" s="261"/>
      <c r="B1838" s="157"/>
      <c r="C1838" s="290"/>
      <c r="D1838" s="69" t="s">
        <v>2755</v>
      </c>
      <c r="E1838" s="16" t="s">
        <v>2756</v>
      </c>
      <c r="F1838" s="262" t="s">
        <v>23</v>
      </c>
      <c r="G1838" s="16" t="s">
        <v>2757</v>
      </c>
      <c r="H1838" s="16" t="s">
        <v>2758</v>
      </c>
      <c r="I1838" s="301" t="s">
        <v>206</v>
      </c>
      <c r="J1838" s="263"/>
      <c r="K1838" s="264"/>
    </row>
    <row r="1839" spans="1:11" ht="25">
      <c r="A1839" s="261"/>
      <c r="B1839" s="157"/>
      <c r="C1839" s="290"/>
      <c r="D1839" s="70" t="s">
        <v>2759</v>
      </c>
      <c r="E1839" s="16" t="s">
        <v>2760</v>
      </c>
      <c r="F1839" s="262" t="s">
        <v>23</v>
      </c>
      <c r="G1839" s="16" t="s">
        <v>2761</v>
      </c>
      <c r="H1839" s="16" t="s">
        <v>2762</v>
      </c>
      <c r="I1839" s="301" t="s">
        <v>206</v>
      </c>
      <c r="J1839" s="263"/>
      <c r="K1839" s="264"/>
    </row>
    <row r="1840" spans="1:11" ht="25">
      <c r="A1840" s="261"/>
      <c r="B1840" s="157"/>
      <c r="C1840" s="290"/>
      <c r="D1840" s="17" t="s">
        <v>2763</v>
      </c>
      <c r="E1840" s="16" t="s">
        <v>2764</v>
      </c>
      <c r="F1840" s="262" t="s">
        <v>23</v>
      </c>
      <c r="G1840" s="16" t="s">
        <v>2765</v>
      </c>
      <c r="H1840" s="16" t="s">
        <v>2766</v>
      </c>
      <c r="I1840" s="301" t="s">
        <v>206</v>
      </c>
      <c r="J1840" s="263"/>
      <c r="K1840" s="264"/>
    </row>
    <row r="1841" spans="1:11" ht="25.5" thickBot="1">
      <c r="A1841" s="261"/>
      <c r="B1841" s="157"/>
      <c r="C1841" s="291"/>
      <c r="D1841" s="21" t="s">
        <v>2767</v>
      </c>
      <c r="E1841" s="20" t="s">
        <v>2768</v>
      </c>
      <c r="F1841" s="265" t="s">
        <v>23</v>
      </c>
      <c r="G1841" s="20" t="s">
        <v>2769</v>
      </c>
      <c r="H1841" s="20" t="s">
        <v>2770</v>
      </c>
      <c r="I1841" s="302" t="s">
        <v>206</v>
      </c>
      <c r="J1841" s="266"/>
      <c r="K1841" s="267"/>
    </row>
    <row r="1842" spans="1:11" ht="25">
      <c r="A1842" s="272" t="s">
        <v>2771</v>
      </c>
      <c r="B1842" s="169" t="s">
        <v>2772</v>
      </c>
      <c r="C1842" s="292" t="s">
        <v>2773</v>
      </c>
      <c r="D1842" s="29" t="s">
        <v>2774</v>
      </c>
      <c r="E1842" s="26" t="s">
        <v>2775</v>
      </c>
      <c r="F1842" s="27" t="s">
        <v>23</v>
      </c>
      <c r="G1842" s="273" t="s">
        <v>2776</v>
      </c>
      <c r="H1842" s="273" t="s">
        <v>2777</v>
      </c>
      <c r="I1842" s="300" t="s">
        <v>26</v>
      </c>
      <c r="J1842" s="274" t="s">
        <v>20</v>
      </c>
      <c r="K1842" s="275"/>
    </row>
    <row r="1843" spans="1:11" ht="25">
      <c r="A1843" s="276"/>
      <c r="B1843" s="164"/>
      <c r="C1843" s="293"/>
      <c r="D1843" s="88" t="s">
        <v>2778</v>
      </c>
      <c r="E1843" s="30" t="s">
        <v>2779</v>
      </c>
      <c r="F1843" s="31" t="s">
        <v>23</v>
      </c>
      <c r="G1843" s="30" t="s">
        <v>2780</v>
      </c>
      <c r="H1843" s="30" t="s">
        <v>2781</v>
      </c>
      <c r="I1843" s="301" t="s">
        <v>206</v>
      </c>
      <c r="J1843" s="277"/>
      <c r="K1843" s="278"/>
    </row>
    <row r="1844" spans="1:11" ht="25">
      <c r="A1844" s="276"/>
      <c r="B1844" s="164"/>
      <c r="C1844" s="293"/>
      <c r="D1844" s="93" t="s">
        <v>2782</v>
      </c>
      <c r="E1844" s="30" t="s">
        <v>2783</v>
      </c>
      <c r="F1844" s="31" t="s">
        <v>58</v>
      </c>
      <c r="G1844" s="30" t="s">
        <v>2651</v>
      </c>
      <c r="H1844" s="30" t="s">
        <v>2784</v>
      </c>
      <c r="I1844" s="301" t="s">
        <v>206</v>
      </c>
      <c r="J1844" s="277"/>
      <c r="K1844" s="278"/>
    </row>
    <row r="1845" spans="1:11" ht="25">
      <c r="A1845" s="276"/>
      <c r="B1845" s="164"/>
      <c r="C1845" s="293"/>
      <c r="D1845" s="93" t="s">
        <v>2785</v>
      </c>
      <c r="E1845" s="30" t="s">
        <v>2786</v>
      </c>
      <c r="F1845" s="31" t="s">
        <v>58</v>
      </c>
      <c r="G1845" s="30" t="s">
        <v>2787</v>
      </c>
      <c r="H1845" s="30" t="s">
        <v>2788</v>
      </c>
      <c r="I1845" s="301" t="s">
        <v>26</v>
      </c>
      <c r="J1845" s="277"/>
      <c r="K1845" s="278"/>
    </row>
    <row r="1846" spans="1:11" ht="25.5" thickBot="1">
      <c r="A1846" s="276"/>
      <c r="B1846" s="164"/>
      <c r="C1846" s="293"/>
      <c r="D1846" s="32" t="s">
        <v>2789</v>
      </c>
      <c r="E1846" s="30" t="s">
        <v>2790</v>
      </c>
      <c r="F1846" s="31" t="s">
        <v>23</v>
      </c>
      <c r="G1846" s="30" t="s">
        <v>2791</v>
      </c>
      <c r="H1846" s="30" t="s">
        <v>2792</v>
      </c>
      <c r="I1846" s="301" t="s">
        <v>206</v>
      </c>
      <c r="J1846" s="277"/>
      <c r="K1846" s="278"/>
    </row>
    <row r="1847" spans="1:11" ht="25">
      <c r="A1847" s="276"/>
      <c r="B1847" s="164"/>
      <c r="C1847" s="294" t="s">
        <v>2793</v>
      </c>
      <c r="D1847" s="28" t="s">
        <v>2794</v>
      </c>
      <c r="E1847" s="38" t="s">
        <v>2795</v>
      </c>
      <c r="F1847" s="27" t="s">
        <v>16</v>
      </c>
      <c r="G1847" s="273" t="s">
        <v>2796</v>
      </c>
      <c r="H1847" s="273" t="s">
        <v>2797</v>
      </c>
      <c r="I1847" s="300" t="s">
        <v>26</v>
      </c>
      <c r="J1847" s="274"/>
      <c r="K1847" s="275"/>
    </row>
    <row r="1848" spans="1:11" ht="25">
      <c r="A1848" s="276"/>
      <c r="B1848" s="164"/>
      <c r="C1848" s="295"/>
      <c r="D1848" s="88" t="s">
        <v>2798</v>
      </c>
      <c r="E1848" s="30" t="s">
        <v>2799</v>
      </c>
      <c r="F1848" s="31" t="s">
        <v>23</v>
      </c>
      <c r="G1848" s="30" t="s">
        <v>2800</v>
      </c>
      <c r="H1848" s="30" t="s">
        <v>2801</v>
      </c>
      <c r="I1848" s="301" t="s">
        <v>26</v>
      </c>
      <c r="J1848" s="277"/>
      <c r="K1848" s="278"/>
    </row>
    <row r="1849" spans="1:11" ht="25">
      <c r="A1849" s="276"/>
      <c r="B1849" s="164"/>
      <c r="C1849" s="295"/>
      <c r="D1849" s="93" t="s">
        <v>2802</v>
      </c>
      <c r="E1849" s="30" t="s">
        <v>2803</v>
      </c>
      <c r="F1849" s="31" t="s">
        <v>16</v>
      </c>
      <c r="G1849" s="30" t="s">
        <v>2804</v>
      </c>
      <c r="H1849" s="30" t="s">
        <v>2805</v>
      </c>
      <c r="I1849" s="301" t="s">
        <v>26</v>
      </c>
      <c r="J1849" s="277"/>
      <c r="K1849" s="278"/>
    </row>
    <row r="1850" spans="1:11" ht="25.5" thickBot="1">
      <c r="A1850" s="276"/>
      <c r="B1850" s="164"/>
      <c r="C1850" s="295"/>
      <c r="D1850" s="93" t="s">
        <v>2806</v>
      </c>
      <c r="E1850" s="30" t="s">
        <v>2807</v>
      </c>
      <c r="F1850" s="35" t="s">
        <v>23</v>
      </c>
      <c r="G1850" s="30" t="s">
        <v>2808</v>
      </c>
      <c r="H1850" s="30" t="s">
        <v>2809</v>
      </c>
      <c r="I1850" s="301" t="s">
        <v>206</v>
      </c>
      <c r="J1850" s="277"/>
      <c r="K1850" s="278"/>
    </row>
    <row r="1851" spans="1:11" ht="25.5" thickBot="1">
      <c r="A1851" s="276"/>
      <c r="B1851" s="164"/>
      <c r="C1851" s="295"/>
      <c r="D1851" s="32" t="s">
        <v>2810</v>
      </c>
      <c r="E1851" s="30" t="s">
        <v>2811</v>
      </c>
      <c r="F1851" s="279" t="s">
        <v>16</v>
      </c>
      <c r="G1851" s="30" t="s">
        <v>2812</v>
      </c>
      <c r="H1851" s="30" t="s">
        <v>2813</v>
      </c>
      <c r="I1851" s="301" t="s">
        <v>26</v>
      </c>
      <c r="J1851" s="277"/>
      <c r="K1851" s="278"/>
    </row>
    <row r="1852" spans="1:11" ht="25">
      <c r="A1852" s="276"/>
      <c r="B1852" s="164"/>
      <c r="C1852" s="294" t="s">
        <v>2814</v>
      </c>
      <c r="D1852" s="28" t="s">
        <v>2815</v>
      </c>
      <c r="E1852" s="38" t="s">
        <v>2816</v>
      </c>
      <c r="F1852" s="31" t="s">
        <v>16</v>
      </c>
      <c r="G1852" s="273" t="s">
        <v>2817</v>
      </c>
      <c r="H1852" s="273" t="s">
        <v>2818</v>
      </c>
      <c r="I1852" s="300" t="s">
        <v>206</v>
      </c>
      <c r="J1852" s="274"/>
      <c r="K1852" s="275"/>
    </row>
    <row r="1853" spans="1:11" ht="25">
      <c r="A1853" s="276"/>
      <c r="B1853" s="164"/>
      <c r="C1853" s="295"/>
      <c r="D1853" s="88" t="s">
        <v>2819</v>
      </c>
      <c r="E1853" s="30" t="s">
        <v>2820</v>
      </c>
      <c r="F1853" s="31" t="s">
        <v>23</v>
      </c>
      <c r="G1853" s="30" t="s">
        <v>2821</v>
      </c>
      <c r="H1853" s="30" t="s">
        <v>2822</v>
      </c>
      <c r="I1853" s="301" t="s">
        <v>206</v>
      </c>
      <c r="J1853" s="277"/>
      <c r="K1853" s="278"/>
    </row>
    <row r="1854" spans="1:11" ht="25">
      <c r="A1854" s="276"/>
      <c r="B1854" s="164"/>
      <c r="C1854" s="295"/>
      <c r="D1854" s="93" t="s">
        <v>2823</v>
      </c>
      <c r="E1854" s="30" t="s">
        <v>2824</v>
      </c>
      <c r="F1854" s="31" t="s">
        <v>16</v>
      </c>
      <c r="G1854" s="30" t="s">
        <v>2825</v>
      </c>
      <c r="H1854" s="30" t="s">
        <v>2826</v>
      </c>
      <c r="I1854" s="301" t="s">
        <v>26</v>
      </c>
      <c r="J1854" s="277"/>
      <c r="K1854" s="278"/>
    </row>
    <row r="1855" spans="1:11" ht="25.5" thickBot="1">
      <c r="A1855" s="276"/>
      <c r="B1855" s="164"/>
      <c r="C1855" s="295"/>
      <c r="D1855" s="93" t="s">
        <v>2827</v>
      </c>
      <c r="E1855" s="30" t="s">
        <v>2828</v>
      </c>
      <c r="F1855" s="35" t="s">
        <v>58</v>
      </c>
      <c r="G1855" s="30" t="s">
        <v>2829</v>
      </c>
      <c r="H1855" s="30" t="s">
        <v>2830</v>
      </c>
      <c r="I1855" s="301" t="s">
        <v>26</v>
      </c>
      <c r="J1855" s="277"/>
      <c r="K1855" s="278"/>
    </row>
    <row r="1856" spans="1:11" ht="25.5" thickBot="1">
      <c r="A1856" s="276"/>
      <c r="B1856" s="164"/>
      <c r="C1856" s="296"/>
      <c r="D1856" s="36" t="s">
        <v>2831</v>
      </c>
      <c r="E1856" s="34" t="s">
        <v>2832</v>
      </c>
      <c r="F1856" s="280" t="s">
        <v>23</v>
      </c>
      <c r="G1856" s="34" t="s">
        <v>2833</v>
      </c>
      <c r="H1856" s="34" t="s">
        <v>2834</v>
      </c>
      <c r="I1856" s="302" t="s">
        <v>26</v>
      </c>
      <c r="J1856" s="281"/>
      <c r="K1856" s="282"/>
    </row>
    <row r="1857" spans="1:11" ht="25">
      <c r="A1857" s="276"/>
      <c r="B1857" s="164"/>
      <c r="C1857" s="294" t="s">
        <v>2835</v>
      </c>
      <c r="D1857" s="28" t="s">
        <v>2836</v>
      </c>
      <c r="E1857" s="38" t="s">
        <v>2837</v>
      </c>
      <c r="F1857" s="31" t="s">
        <v>23</v>
      </c>
      <c r="G1857" s="273" t="s">
        <v>2838</v>
      </c>
      <c r="H1857" s="273" t="s">
        <v>2839</v>
      </c>
      <c r="I1857" s="300" t="s">
        <v>26</v>
      </c>
      <c r="J1857" s="274"/>
      <c r="K1857" s="275"/>
    </row>
    <row r="1858" spans="1:11" ht="25">
      <c r="A1858" s="276"/>
      <c r="B1858" s="164"/>
      <c r="C1858" s="295"/>
      <c r="D1858" s="88" t="s">
        <v>2840</v>
      </c>
      <c r="E1858" s="30" t="s">
        <v>2841</v>
      </c>
      <c r="F1858" s="31" t="s">
        <v>23</v>
      </c>
      <c r="G1858" s="30" t="s">
        <v>2842</v>
      </c>
      <c r="H1858" s="30" t="s">
        <v>2843</v>
      </c>
      <c r="I1858" s="301" t="s">
        <v>26</v>
      </c>
      <c r="J1858" s="277"/>
      <c r="K1858" s="278"/>
    </row>
    <row r="1859" spans="1:11" ht="25">
      <c r="A1859" s="276"/>
      <c r="B1859" s="164"/>
      <c r="C1859" s="295"/>
      <c r="D1859" s="93" t="s">
        <v>2844</v>
      </c>
      <c r="E1859" s="30" t="s">
        <v>2845</v>
      </c>
      <c r="F1859" s="31" t="s">
        <v>23</v>
      </c>
      <c r="G1859" s="30" t="s">
        <v>2846</v>
      </c>
      <c r="H1859" s="30" t="s">
        <v>2847</v>
      </c>
      <c r="I1859" s="301" t="s">
        <v>26</v>
      </c>
      <c r="J1859" s="277"/>
      <c r="K1859" s="278"/>
    </row>
    <row r="1860" spans="1:11" ht="25.5" thickBot="1">
      <c r="A1860" s="276"/>
      <c r="B1860" s="164"/>
      <c r="C1860" s="295"/>
      <c r="D1860" s="93" t="s">
        <v>2848</v>
      </c>
      <c r="E1860" s="30" t="s">
        <v>2849</v>
      </c>
      <c r="F1860" s="35" t="s">
        <v>23</v>
      </c>
      <c r="G1860" s="30" t="s">
        <v>2850</v>
      </c>
      <c r="H1860" s="30" t="s">
        <v>2851</v>
      </c>
      <c r="I1860" s="301" t="s">
        <v>26</v>
      </c>
      <c r="J1860" s="277"/>
      <c r="K1860" s="278"/>
    </row>
    <row r="1861" spans="1:11" ht="25.5" thickBot="1">
      <c r="A1861" s="276"/>
      <c r="B1861" s="164"/>
      <c r="C1861" s="295"/>
      <c r="D1861" s="32" t="s">
        <v>2852</v>
      </c>
      <c r="E1861" s="30" t="s">
        <v>2853</v>
      </c>
      <c r="F1861" s="27" t="s">
        <v>16</v>
      </c>
      <c r="G1861" s="30" t="s">
        <v>2854</v>
      </c>
      <c r="H1861" s="30" t="s">
        <v>2855</v>
      </c>
      <c r="I1861" s="301" t="s">
        <v>26</v>
      </c>
      <c r="J1861" s="277"/>
      <c r="K1861" s="278"/>
    </row>
    <row r="1862" spans="1:11" ht="25.5" thickBot="1">
      <c r="A1862" s="276"/>
      <c r="B1862" s="164"/>
      <c r="C1862" s="294" t="s">
        <v>2856</v>
      </c>
      <c r="D1862" s="28" t="s">
        <v>2857</v>
      </c>
      <c r="E1862" s="38" t="s">
        <v>2858</v>
      </c>
      <c r="F1862" s="31" t="s">
        <v>58</v>
      </c>
      <c r="G1862" s="273" t="s">
        <v>2859</v>
      </c>
      <c r="H1862" s="273" t="s">
        <v>2860</v>
      </c>
      <c r="I1862" s="300" t="s">
        <v>206</v>
      </c>
      <c r="J1862" s="274"/>
      <c r="K1862" s="275"/>
    </row>
    <row r="1863" spans="1:11" ht="25">
      <c r="A1863" s="276"/>
      <c r="B1863" s="164"/>
      <c r="C1863" s="295"/>
      <c r="D1863" s="88" t="s">
        <v>2861</v>
      </c>
      <c r="E1863" s="30" t="s">
        <v>2862</v>
      </c>
      <c r="F1863" s="27" t="s">
        <v>23</v>
      </c>
      <c r="G1863" s="30" t="s">
        <v>2863</v>
      </c>
      <c r="H1863" s="30" t="s">
        <v>2864</v>
      </c>
      <c r="I1863" s="301" t="s">
        <v>206</v>
      </c>
      <c r="J1863" s="277"/>
      <c r="K1863" s="278"/>
    </row>
    <row r="1864" spans="1:11" ht="25">
      <c r="A1864" s="276"/>
      <c r="B1864" s="164"/>
      <c r="C1864" s="295"/>
      <c r="D1864" s="93" t="s">
        <v>2865</v>
      </c>
      <c r="E1864" s="30" t="s">
        <v>2866</v>
      </c>
      <c r="F1864" s="31" t="s">
        <v>23</v>
      </c>
      <c r="G1864" s="30" t="s">
        <v>2867</v>
      </c>
      <c r="H1864" s="30" t="s">
        <v>2868</v>
      </c>
      <c r="I1864" s="301" t="s">
        <v>206</v>
      </c>
      <c r="J1864" s="277"/>
      <c r="K1864" s="278"/>
    </row>
    <row r="1865" spans="1:11" ht="25">
      <c r="A1865" s="276"/>
      <c r="B1865" s="164"/>
      <c r="C1865" s="295"/>
      <c r="D1865" s="32" t="s">
        <v>2869</v>
      </c>
      <c r="E1865" s="30" t="s">
        <v>2870</v>
      </c>
      <c r="F1865" s="31" t="s">
        <v>58</v>
      </c>
      <c r="G1865" s="30" t="s">
        <v>2871</v>
      </c>
      <c r="H1865" s="30" t="s">
        <v>2724</v>
      </c>
      <c r="I1865" s="301" t="s">
        <v>206</v>
      </c>
      <c r="J1865" s="277"/>
      <c r="K1865" s="278"/>
    </row>
    <row r="1866" spans="1:11" ht="25.5" thickBot="1">
      <c r="A1866" s="276"/>
      <c r="B1866" s="165"/>
      <c r="C1866" s="296"/>
      <c r="D1866" s="36" t="s">
        <v>2872</v>
      </c>
      <c r="E1866" s="34" t="s">
        <v>2873</v>
      </c>
      <c r="F1866" s="31" t="s">
        <v>58</v>
      </c>
      <c r="G1866" s="34" t="s">
        <v>2874</v>
      </c>
      <c r="H1866" s="34" t="s">
        <v>2875</v>
      </c>
      <c r="I1866" s="302" t="s">
        <v>206</v>
      </c>
      <c r="J1866" s="281"/>
      <c r="K1866" s="282"/>
    </row>
    <row r="1867" spans="1:11" ht="25.5" thickBot="1">
      <c r="A1867" s="276"/>
      <c r="B1867" s="169" t="s">
        <v>2876</v>
      </c>
      <c r="C1867" s="292" t="s">
        <v>2877</v>
      </c>
      <c r="D1867" s="29" t="s">
        <v>2878</v>
      </c>
      <c r="E1867" s="26" t="s">
        <v>2879</v>
      </c>
      <c r="F1867" s="31" t="s">
        <v>23</v>
      </c>
      <c r="G1867" s="273" t="s">
        <v>2880</v>
      </c>
      <c r="H1867" s="273" t="s">
        <v>2881</v>
      </c>
      <c r="I1867" s="300" t="s">
        <v>26</v>
      </c>
      <c r="J1867" s="274"/>
      <c r="K1867" s="275"/>
    </row>
    <row r="1868" spans="1:11" ht="25">
      <c r="A1868" s="276"/>
      <c r="B1868" s="164"/>
      <c r="C1868" s="293"/>
      <c r="D1868" s="105" t="s">
        <v>2882</v>
      </c>
      <c r="E1868" s="30" t="s">
        <v>2883</v>
      </c>
      <c r="F1868" s="27" t="s">
        <v>16</v>
      </c>
      <c r="G1868" s="30" t="s">
        <v>2884</v>
      </c>
      <c r="H1868" s="30" t="s">
        <v>2885</v>
      </c>
      <c r="I1868" s="301" t="s">
        <v>26</v>
      </c>
      <c r="J1868" s="277"/>
      <c r="K1868" s="278"/>
    </row>
    <row r="1869" spans="1:11" ht="25">
      <c r="A1869" s="276"/>
      <c r="B1869" s="164"/>
      <c r="C1869" s="293"/>
      <c r="D1869" s="106" t="s">
        <v>2886</v>
      </c>
      <c r="E1869" s="30" t="s">
        <v>2887</v>
      </c>
      <c r="F1869" s="31" t="s">
        <v>23</v>
      </c>
      <c r="G1869" s="30" t="s">
        <v>2888</v>
      </c>
      <c r="H1869" s="30" t="s">
        <v>2889</v>
      </c>
      <c r="I1869" s="301" t="s">
        <v>206</v>
      </c>
      <c r="J1869" s="277"/>
      <c r="K1869" s="278"/>
    </row>
    <row r="1870" spans="1:11" ht="25">
      <c r="A1870" s="276"/>
      <c r="B1870" s="164"/>
      <c r="C1870" s="293"/>
      <c r="D1870" s="33" t="s">
        <v>2890</v>
      </c>
      <c r="E1870" s="30" t="s">
        <v>2891</v>
      </c>
      <c r="F1870" s="31" t="s">
        <v>16</v>
      </c>
      <c r="G1870" s="30" t="s">
        <v>2892</v>
      </c>
      <c r="H1870" s="30" t="s">
        <v>2893</v>
      </c>
      <c r="I1870" s="301" t="s">
        <v>26</v>
      </c>
      <c r="J1870" s="277"/>
      <c r="K1870" s="278"/>
    </row>
    <row r="1871" spans="1:11" ht="25.5" thickBot="1">
      <c r="A1871" s="276"/>
      <c r="B1871" s="164"/>
      <c r="C1871" s="297"/>
      <c r="D1871" s="37" t="s">
        <v>2894</v>
      </c>
      <c r="E1871" s="34" t="s">
        <v>2895</v>
      </c>
      <c r="F1871" s="35" t="s">
        <v>23</v>
      </c>
      <c r="G1871" s="34" t="s">
        <v>2896</v>
      </c>
      <c r="H1871" s="34" t="s">
        <v>2897</v>
      </c>
      <c r="I1871" s="302" t="s">
        <v>26</v>
      </c>
      <c r="J1871" s="281"/>
      <c r="K1871" s="282"/>
    </row>
    <row r="1872" spans="1:11" ht="25">
      <c r="A1872" s="276"/>
      <c r="B1872" s="164"/>
      <c r="C1872" s="294" t="s">
        <v>2898</v>
      </c>
      <c r="D1872" s="28" t="s">
        <v>2899</v>
      </c>
      <c r="E1872" s="38" t="s">
        <v>2900</v>
      </c>
      <c r="F1872" s="279" t="s">
        <v>16</v>
      </c>
      <c r="G1872" s="273" t="s">
        <v>2901</v>
      </c>
      <c r="H1872" s="273" t="s">
        <v>2902</v>
      </c>
      <c r="I1872" s="300" t="s">
        <v>19</v>
      </c>
      <c r="J1872" s="274"/>
      <c r="K1872" s="275"/>
    </row>
    <row r="1873" spans="1:11" ht="25">
      <c r="A1873" s="276"/>
      <c r="B1873" s="164"/>
      <c r="C1873" s="295"/>
      <c r="D1873" s="88" t="s">
        <v>2903</v>
      </c>
      <c r="E1873" s="30" t="s">
        <v>2904</v>
      </c>
      <c r="F1873" s="31" t="s">
        <v>16</v>
      </c>
      <c r="G1873" s="30" t="s">
        <v>2905</v>
      </c>
      <c r="H1873" s="30" t="s">
        <v>2906</v>
      </c>
      <c r="I1873" s="301" t="s">
        <v>26</v>
      </c>
      <c r="J1873" s="277"/>
      <c r="K1873" s="278"/>
    </row>
    <row r="1874" spans="1:11" ht="25">
      <c r="A1874" s="276"/>
      <c r="B1874" s="164"/>
      <c r="C1874" s="295"/>
      <c r="D1874" s="93" t="s">
        <v>2907</v>
      </c>
      <c r="E1874" s="30" t="s">
        <v>2908</v>
      </c>
      <c r="F1874" s="31" t="s">
        <v>23</v>
      </c>
      <c r="G1874" s="30" t="s">
        <v>2909</v>
      </c>
      <c r="H1874" s="30" t="s">
        <v>2910</v>
      </c>
      <c r="I1874" s="301" t="s">
        <v>206</v>
      </c>
      <c r="J1874" s="277"/>
      <c r="K1874" s="278"/>
    </row>
    <row r="1875" spans="1:11" ht="25.5" thickBot="1">
      <c r="A1875" s="276"/>
      <c r="B1875" s="164"/>
      <c r="C1875" s="295"/>
      <c r="D1875" s="32" t="s">
        <v>2911</v>
      </c>
      <c r="E1875" s="30" t="s">
        <v>2912</v>
      </c>
      <c r="F1875" s="31" t="s">
        <v>16</v>
      </c>
      <c r="G1875" s="30" t="s">
        <v>2913</v>
      </c>
      <c r="H1875" s="30" t="s">
        <v>2914</v>
      </c>
      <c r="I1875" s="301" t="s">
        <v>26</v>
      </c>
      <c r="J1875" s="277"/>
      <c r="K1875" s="278"/>
    </row>
    <row r="1876" spans="1:11" ht="25.5" thickBot="1">
      <c r="A1876" s="276"/>
      <c r="B1876" s="164"/>
      <c r="C1876" s="296"/>
      <c r="D1876" s="36" t="s">
        <v>2915</v>
      </c>
      <c r="E1876" s="34" t="s">
        <v>2916</v>
      </c>
      <c r="F1876" s="27" t="s">
        <v>23</v>
      </c>
      <c r="G1876" s="34" t="s">
        <v>2917</v>
      </c>
      <c r="H1876" s="34" t="s">
        <v>2918</v>
      </c>
      <c r="I1876" s="302" t="s">
        <v>26</v>
      </c>
      <c r="J1876" s="281"/>
      <c r="K1876" s="282"/>
    </row>
    <row r="1877" spans="1:11" ht="25">
      <c r="A1877" s="276"/>
      <c r="B1877" s="164"/>
      <c r="C1877" s="294" t="s">
        <v>2919</v>
      </c>
      <c r="D1877" s="28" t="s">
        <v>2920</v>
      </c>
      <c r="E1877" s="38" t="s">
        <v>2921</v>
      </c>
      <c r="F1877" s="31" t="s">
        <v>23</v>
      </c>
      <c r="G1877" s="273" t="s">
        <v>2922</v>
      </c>
      <c r="H1877" s="273" t="s">
        <v>2923</v>
      </c>
      <c r="I1877" s="300" t="s">
        <v>26</v>
      </c>
      <c r="J1877" s="274"/>
      <c r="K1877" s="275"/>
    </row>
    <row r="1878" spans="1:11" ht="25">
      <c r="A1878" s="276"/>
      <c r="B1878" s="164"/>
      <c r="C1878" s="295"/>
      <c r="D1878" s="88" t="s">
        <v>2924</v>
      </c>
      <c r="E1878" s="30" t="s">
        <v>2925</v>
      </c>
      <c r="F1878" s="31" t="s">
        <v>58</v>
      </c>
      <c r="G1878" s="30" t="s">
        <v>2926</v>
      </c>
      <c r="H1878" s="30" t="s">
        <v>2927</v>
      </c>
      <c r="I1878" s="299" t="s">
        <v>26</v>
      </c>
      <c r="J1878" s="277"/>
      <c r="K1878" s="278"/>
    </row>
    <row r="1879" spans="1:11" ht="25">
      <c r="A1879" s="276"/>
      <c r="B1879" s="164"/>
      <c r="C1879" s="295"/>
      <c r="D1879" s="93" t="s">
        <v>2928</v>
      </c>
      <c r="E1879" s="30" t="s">
        <v>2929</v>
      </c>
      <c r="F1879" s="31" t="s">
        <v>58</v>
      </c>
      <c r="G1879" s="30" t="s">
        <v>2930</v>
      </c>
      <c r="H1879" s="30" t="s">
        <v>2931</v>
      </c>
      <c r="I1879" s="301" t="s">
        <v>26</v>
      </c>
      <c r="J1879" s="277"/>
      <c r="K1879" s="278"/>
    </row>
    <row r="1880" spans="1:11" ht="25.5" thickBot="1">
      <c r="A1880" s="276"/>
      <c r="B1880" s="164"/>
      <c r="C1880" s="295"/>
      <c r="D1880" s="32" t="s">
        <v>2932</v>
      </c>
      <c r="E1880" s="30" t="s">
        <v>2933</v>
      </c>
      <c r="F1880" s="31" t="s">
        <v>23</v>
      </c>
      <c r="G1880" s="30" t="s">
        <v>2934</v>
      </c>
      <c r="H1880" s="30" t="s">
        <v>2935</v>
      </c>
      <c r="I1880" s="301" t="s">
        <v>19</v>
      </c>
      <c r="J1880" s="277"/>
      <c r="K1880" s="278"/>
    </row>
    <row r="1881" spans="1:11" ht="25.5" thickBot="1">
      <c r="A1881" s="276"/>
      <c r="B1881" s="164"/>
      <c r="C1881" s="296"/>
      <c r="D1881" s="36" t="s">
        <v>2936</v>
      </c>
      <c r="E1881" s="34" t="s">
        <v>2937</v>
      </c>
      <c r="F1881" s="27" t="s">
        <v>16</v>
      </c>
      <c r="G1881" s="34" t="s">
        <v>2938</v>
      </c>
      <c r="H1881" s="34" t="s">
        <v>2939</v>
      </c>
      <c r="I1881" s="302" t="s">
        <v>26</v>
      </c>
      <c r="J1881" s="281"/>
      <c r="K1881" s="282"/>
    </row>
    <row r="1882" spans="1:11" ht="25">
      <c r="A1882" s="276"/>
      <c r="B1882" s="164"/>
      <c r="C1882" s="294" t="s">
        <v>2940</v>
      </c>
      <c r="D1882" s="28" t="s">
        <v>2941</v>
      </c>
      <c r="E1882" s="38" t="s">
        <v>2942</v>
      </c>
      <c r="F1882" s="31" t="s">
        <v>23</v>
      </c>
      <c r="G1882" s="273" t="s">
        <v>2943</v>
      </c>
      <c r="H1882" s="273" t="s">
        <v>2944</v>
      </c>
      <c r="I1882" s="300" t="s">
        <v>206</v>
      </c>
      <c r="J1882" s="274"/>
      <c r="K1882" s="275"/>
    </row>
    <row r="1883" spans="1:11" ht="25">
      <c r="A1883" s="276"/>
      <c r="B1883" s="164"/>
      <c r="C1883" s="295"/>
      <c r="D1883" s="88" t="s">
        <v>2945</v>
      </c>
      <c r="E1883" s="30" t="s">
        <v>2946</v>
      </c>
      <c r="F1883" s="31" t="s">
        <v>16</v>
      </c>
      <c r="G1883" s="30" t="s">
        <v>2947</v>
      </c>
      <c r="H1883" s="30" t="s">
        <v>2948</v>
      </c>
      <c r="I1883" s="301" t="s">
        <v>206</v>
      </c>
      <c r="J1883" s="277"/>
      <c r="K1883" s="278"/>
    </row>
    <row r="1884" spans="1:11" ht="25.5" thickBot="1">
      <c r="A1884" s="276"/>
      <c r="B1884" s="164"/>
      <c r="C1884" s="295"/>
      <c r="D1884" s="93" t="s">
        <v>2949</v>
      </c>
      <c r="E1884" s="30" t="s">
        <v>2950</v>
      </c>
      <c r="F1884" s="35" t="s">
        <v>23</v>
      </c>
      <c r="G1884" s="30" t="s">
        <v>2951</v>
      </c>
      <c r="H1884" s="30" t="s">
        <v>2952</v>
      </c>
      <c r="I1884" s="301" t="s">
        <v>206</v>
      </c>
      <c r="J1884" s="277"/>
      <c r="K1884" s="278"/>
    </row>
    <row r="1885" spans="1:11" ht="25">
      <c r="A1885" s="276"/>
      <c r="B1885" s="164"/>
      <c r="C1885" s="295"/>
      <c r="D1885" s="32" t="s">
        <v>2953</v>
      </c>
      <c r="E1885" s="30" t="s">
        <v>2954</v>
      </c>
      <c r="F1885" s="279" t="s">
        <v>16</v>
      </c>
      <c r="G1885" s="30" t="s">
        <v>2955</v>
      </c>
      <c r="H1885" s="30" t="s">
        <v>2956</v>
      </c>
      <c r="I1885" s="301" t="s">
        <v>26</v>
      </c>
      <c r="J1885" s="277"/>
      <c r="K1885" s="278"/>
    </row>
    <row r="1886" spans="1:11" ht="25.5" thickBot="1">
      <c r="A1886" s="276"/>
      <c r="B1886" s="164"/>
      <c r="C1886" s="296"/>
      <c r="D1886" s="36" t="s">
        <v>2957</v>
      </c>
      <c r="E1886" s="34" t="s">
        <v>2958</v>
      </c>
      <c r="F1886" s="31" t="s">
        <v>16</v>
      </c>
      <c r="G1886" s="34" t="s">
        <v>2959</v>
      </c>
      <c r="H1886" s="34" t="s">
        <v>2960</v>
      </c>
      <c r="I1886" s="302" t="s">
        <v>206</v>
      </c>
      <c r="J1886" s="281"/>
      <c r="K1886" s="282"/>
    </row>
    <row r="1887" spans="1:11" ht="25">
      <c r="A1887" s="276"/>
      <c r="B1887" s="164"/>
      <c r="C1887" s="294" t="s">
        <v>2961</v>
      </c>
      <c r="D1887" s="28" t="s">
        <v>2962</v>
      </c>
      <c r="E1887" s="38" t="s">
        <v>2963</v>
      </c>
      <c r="F1887" s="31" t="s">
        <v>23</v>
      </c>
      <c r="G1887" s="273" t="s">
        <v>2964</v>
      </c>
      <c r="H1887" s="273" t="s">
        <v>2965</v>
      </c>
      <c r="I1887" s="300" t="s">
        <v>26</v>
      </c>
      <c r="J1887" s="274"/>
      <c r="K1887" s="275"/>
    </row>
    <row r="1888" spans="1:11" ht="25">
      <c r="A1888" s="276"/>
      <c r="B1888" s="164"/>
      <c r="C1888" s="295"/>
      <c r="D1888" s="88" t="s">
        <v>2966</v>
      </c>
      <c r="E1888" s="30" t="s">
        <v>2967</v>
      </c>
      <c r="F1888" s="31" t="s">
        <v>16</v>
      </c>
      <c r="G1888" s="30" t="s">
        <v>2968</v>
      </c>
      <c r="H1888" s="30" t="s">
        <v>2969</v>
      </c>
      <c r="I1888" s="301" t="s">
        <v>26</v>
      </c>
      <c r="J1888" s="277"/>
      <c r="K1888" s="278"/>
    </row>
    <row r="1889" spans="1:11" ht="25.5" thickBot="1">
      <c r="A1889" s="276"/>
      <c r="B1889" s="164"/>
      <c r="C1889" s="295"/>
      <c r="D1889" s="93" t="s">
        <v>2970</v>
      </c>
      <c r="E1889" s="30" t="s">
        <v>2971</v>
      </c>
      <c r="F1889" s="31" t="s">
        <v>23</v>
      </c>
      <c r="G1889" s="30" t="s">
        <v>2972</v>
      </c>
      <c r="H1889" s="30" t="s">
        <v>2973</v>
      </c>
      <c r="I1889" s="301" t="s">
        <v>206</v>
      </c>
      <c r="J1889" s="277"/>
      <c r="K1889" s="278"/>
    </row>
    <row r="1890" spans="1:11" ht="25">
      <c r="A1890" s="276"/>
      <c r="B1890" s="164"/>
      <c r="C1890" s="295"/>
      <c r="D1890" s="32" t="s">
        <v>2974</v>
      </c>
      <c r="E1890" s="30" t="s">
        <v>2975</v>
      </c>
      <c r="F1890" s="27" t="s">
        <v>16</v>
      </c>
      <c r="G1890" s="30" t="s">
        <v>2976</v>
      </c>
      <c r="H1890" s="30" t="s">
        <v>2977</v>
      </c>
      <c r="I1890" s="301" t="s">
        <v>26</v>
      </c>
      <c r="J1890" s="277"/>
      <c r="K1890" s="278"/>
    </row>
    <row r="1891" spans="1:11" ht="25.5" thickBot="1">
      <c r="A1891" s="276"/>
      <c r="B1891" s="164"/>
      <c r="C1891" s="296"/>
      <c r="D1891" s="36" t="s">
        <v>2978</v>
      </c>
      <c r="E1891" s="34" t="s">
        <v>2979</v>
      </c>
      <c r="F1891" s="31" t="s">
        <v>23</v>
      </c>
      <c r="G1891" s="34" t="s">
        <v>2980</v>
      </c>
      <c r="H1891" s="34" t="s">
        <v>2981</v>
      </c>
      <c r="I1891" s="302" t="s">
        <v>26</v>
      </c>
      <c r="J1891" s="281"/>
      <c r="K1891" s="282"/>
    </row>
    <row r="1892" spans="1:11" ht="25">
      <c r="A1892" s="276"/>
      <c r="B1892" s="169" t="s">
        <v>2982</v>
      </c>
      <c r="C1892" s="294" t="s">
        <v>2983</v>
      </c>
      <c r="D1892" s="28" t="s">
        <v>2984</v>
      </c>
      <c r="E1892" s="38" t="s">
        <v>2985</v>
      </c>
      <c r="F1892" s="31" t="s">
        <v>16</v>
      </c>
      <c r="G1892" s="273" t="s">
        <v>2986</v>
      </c>
      <c r="H1892" s="273" t="s">
        <v>2987</v>
      </c>
      <c r="I1892" s="300" t="s">
        <v>26</v>
      </c>
      <c r="J1892" s="274"/>
      <c r="K1892" s="275"/>
    </row>
    <row r="1893" spans="1:11" ht="25.5" thickBot="1">
      <c r="A1893" s="276"/>
      <c r="B1893" s="164"/>
      <c r="C1893" s="295"/>
      <c r="D1893" s="88" t="s">
        <v>2988</v>
      </c>
      <c r="E1893" s="30" t="s">
        <v>2989</v>
      </c>
      <c r="F1893" s="35" t="s">
        <v>23</v>
      </c>
      <c r="G1893" s="30" t="s">
        <v>2990</v>
      </c>
      <c r="H1893" s="30" t="s">
        <v>2991</v>
      </c>
      <c r="I1893" s="301" t="s">
        <v>26</v>
      </c>
      <c r="J1893" s="277"/>
      <c r="K1893" s="278"/>
    </row>
    <row r="1894" spans="1:11" ht="25">
      <c r="A1894" s="276"/>
      <c r="B1894" s="164"/>
      <c r="C1894" s="295"/>
      <c r="D1894" s="93" t="s">
        <v>2992</v>
      </c>
      <c r="E1894" s="30" t="s">
        <v>2993</v>
      </c>
      <c r="F1894" s="279" t="s">
        <v>16</v>
      </c>
      <c r="G1894" s="30" t="s">
        <v>2994</v>
      </c>
      <c r="H1894" s="30" t="s">
        <v>2995</v>
      </c>
      <c r="I1894" s="301" t="s">
        <v>26</v>
      </c>
      <c r="J1894" s="277"/>
      <c r="K1894" s="278"/>
    </row>
    <row r="1895" spans="1:11" ht="25">
      <c r="A1895" s="276"/>
      <c r="B1895" s="164"/>
      <c r="C1895" s="295"/>
      <c r="D1895" s="32" t="s">
        <v>2996</v>
      </c>
      <c r="E1895" s="30" t="s">
        <v>2997</v>
      </c>
      <c r="F1895" s="31" t="s">
        <v>16</v>
      </c>
      <c r="G1895" s="30" t="s">
        <v>2998</v>
      </c>
      <c r="H1895" s="30" t="s">
        <v>2999</v>
      </c>
      <c r="I1895" s="301" t="s">
        <v>26</v>
      </c>
      <c r="J1895" s="277"/>
      <c r="K1895" s="278"/>
    </row>
    <row r="1896" spans="1:11" ht="25.5" thickBot="1">
      <c r="A1896" s="276"/>
      <c r="B1896" s="164"/>
      <c r="C1896" s="296"/>
      <c r="D1896" s="36" t="s">
        <v>3000</v>
      </c>
      <c r="E1896" s="34" t="s">
        <v>3001</v>
      </c>
      <c r="F1896" s="31" t="s">
        <v>23</v>
      </c>
      <c r="G1896" s="34" t="s">
        <v>3002</v>
      </c>
      <c r="H1896" s="34" t="s">
        <v>3003</v>
      </c>
      <c r="I1896" s="302" t="s">
        <v>206</v>
      </c>
      <c r="J1896" s="281"/>
      <c r="K1896" s="282"/>
    </row>
    <row r="1897" spans="1:11" ht="25.5" thickBot="1">
      <c r="A1897" s="276"/>
      <c r="B1897" s="164"/>
      <c r="C1897" s="294" t="s">
        <v>3004</v>
      </c>
      <c r="D1897" s="28" t="s">
        <v>3005</v>
      </c>
      <c r="E1897" s="38" t="s">
        <v>3006</v>
      </c>
      <c r="F1897" s="31" t="s">
        <v>16</v>
      </c>
      <c r="G1897" s="273" t="s">
        <v>3007</v>
      </c>
      <c r="H1897" s="273" t="s">
        <v>3008</v>
      </c>
      <c r="I1897" s="300" t="s">
        <v>26</v>
      </c>
      <c r="J1897" s="274"/>
      <c r="K1897" s="275"/>
    </row>
    <row r="1898" spans="1:11" ht="25">
      <c r="A1898" s="276"/>
      <c r="B1898" s="164"/>
      <c r="C1898" s="295"/>
      <c r="D1898" s="93" t="s">
        <v>3009</v>
      </c>
      <c r="E1898" s="30" t="s">
        <v>3010</v>
      </c>
      <c r="F1898" s="27" t="s">
        <v>23</v>
      </c>
      <c r="G1898" s="30" t="s">
        <v>3011</v>
      </c>
      <c r="H1898" s="30" t="s">
        <v>3012</v>
      </c>
      <c r="I1898" s="301" t="s">
        <v>206</v>
      </c>
      <c r="J1898" s="277"/>
      <c r="K1898" s="278"/>
    </row>
    <row r="1899" spans="1:11" ht="25">
      <c r="A1899" s="276"/>
      <c r="B1899" s="164"/>
      <c r="C1899" s="295"/>
      <c r="D1899" s="93" t="s">
        <v>3013</v>
      </c>
      <c r="E1899" s="30" t="s">
        <v>3014</v>
      </c>
      <c r="F1899" s="31" t="s">
        <v>23</v>
      </c>
      <c r="G1899" s="30" t="s">
        <v>3015</v>
      </c>
      <c r="H1899" s="30" t="s">
        <v>3016</v>
      </c>
      <c r="I1899" s="301" t="s">
        <v>26</v>
      </c>
      <c r="J1899" s="277"/>
      <c r="K1899" s="278"/>
    </row>
    <row r="1900" spans="1:11" ht="25">
      <c r="A1900" s="276"/>
      <c r="B1900" s="164"/>
      <c r="C1900" s="295"/>
      <c r="D1900" s="32" t="s">
        <v>3017</v>
      </c>
      <c r="E1900" s="30" t="s">
        <v>3018</v>
      </c>
      <c r="F1900" s="31" t="s">
        <v>58</v>
      </c>
      <c r="G1900" s="30" t="s">
        <v>3019</v>
      </c>
      <c r="H1900" s="30" t="s">
        <v>3020</v>
      </c>
      <c r="I1900" s="301" t="s">
        <v>206</v>
      </c>
      <c r="J1900" s="277"/>
      <c r="K1900" s="278"/>
    </row>
    <row r="1901" spans="1:11" ht="25.5" thickBot="1">
      <c r="A1901" s="276"/>
      <c r="B1901" s="164"/>
      <c r="C1901" s="296"/>
      <c r="D1901" s="36" t="s">
        <v>3021</v>
      </c>
      <c r="E1901" s="34" t="s">
        <v>3022</v>
      </c>
      <c r="F1901" s="31" t="s">
        <v>58</v>
      </c>
      <c r="G1901" s="34" t="s">
        <v>3023</v>
      </c>
      <c r="H1901" s="34" t="s">
        <v>3024</v>
      </c>
      <c r="I1901" s="302" t="s">
        <v>206</v>
      </c>
      <c r="J1901" s="281"/>
      <c r="K1901" s="282"/>
    </row>
    <row r="1902" spans="1:11" ht="25.5" thickBot="1">
      <c r="A1902" s="276"/>
      <c r="B1902" s="164"/>
      <c r="C1902" s="294" t="s">
        <v>3025</v>
      </c>
      <c r="D1902" s="28" t="s">
        <v>3026</v>
      </c>
      <c r="E1902" s="38" t="s">
        <v>3027</v>
      </c>
      <c r="F1902" s="31" t="s">
        <v>23</v>
      </c>
      <c r="G1902" s="273" t="s">
        <v>3028</v>
      </c>
      <c r="H1902" s="273" t="s">
        <v>3029</v>
      </c>
      <c r="I1902" s="300" t="s">
        <v>26</v>
      </c>
      <c r="J1902" s="274"/>
      <c r="K1902" s="275"/>
    </row>
    <row r="1903" spans="1:11" ht="25">
      <c r="A1903" s="276"/>
      <c r="B1903" s="164"/>
      <c r="C1903" s="295"/>
      <c r="D1903" s="93" t="s">
        <v>3030</v>
      </c>
      <c r="E1903" s="30" t="s">
        <v>3031</v>
      </c>
      <c r="F1903" s="27" t="s">
        <v>16</v>
      </c>
      <c r="G1903" s="30" t="s">
        <v>3032</v>
      </c>
      <c r="H1903" s="30" t="s">
        <v>3033</v>
      </c>
      <c r="I1903" s="301" t="s">
        <v>206</v>
      </c>
      <c r="J1903" s="277"/>
      <c r="K1903" s="278"/>
    </row>
    <row r="1904" spans="1:11" ht="25">
      <c r="A1904" s="276"/>
      <c r="B1904" s="164"/>
      <c r="C1904" s="295"/>
      <c r="D1904" s="93" t="s">
        <v>3034</v>
      </c>
      <c r="E1904" s="30" t="s">
        <v>3035</v>
      </c>
      <c r="F1904" s="31" t="s">
        <v>23</v>
      </c>
      <c r="G1904" s="30" t="s">
        <v>3036</v>
      </c>
      <c r="H1904" s="30" t="s">
        <v>3037</v>
      </c>
      <c r="I1904" s="301" t="s">
        <v>26</v>
      </c>
      <c r="J1904" s="277"/>
      <c r="K1904" s="278"/>
    </row>
    <row r="1905" spans="1:11" ht="25">
      <c r="A1905" s="276"/>
      <c r="B1905" s="164"/>
      <c r="C1905" s="295"/>
      <c r="D1905" s="32" t="s">
        <v>3038</v>
      </c>
      <c r="E1905" s="30" t="s">
        <v>3039</v>
      </c>
      <c r="F1905" s="31" t="s">
        <v>16</v>
      </c>
      <c r="G1905" s="30" t="s">
        <v>3040</v>
      </c>
      <c r="H1905" s="30" t="s">
        <v>3041</v>
      </c>
      <c r="I1905" s="301" t="s">
        <v>206</v>
      </c>
      <c r="J1905" s="277"/>
      <c r="K1905" s="278"/>
    </row>
    <row r="1906" spans="1:11" ht="25.5" thickBot="1">
      <c r="A1906" s="276"/>
      <c r="B1906" s="164"/>
      <c r="C1906" s="296"/>
      <c r="D1906" s="36" t="s">
        <v>3042</v>
      </c>
      <c r="E1906" s="34" t="s">
        <v>3043</v>
      </c>
      <c r="F1906" s="35" t="s">
        <v>23</v>
      </c>
      <c r="G1906" s="34" t="s">
        <v>3044</v>
      </c>
      <c r="H1906" s="34" t="s">
        <v>3045</v>
      </c>
      <c r="I1906" s="302" t="s">
        <v>206</v>
      </c>
      <c r="J1906" s="281"/>
      <c r="K1906" s="282"/>
    </row>
    <row r="1907" spans="1:11" ht="25">
      <c r="A1907" s="276"/>
      <c r="B1907" s="164"/>
      <c r="C1907" s="294" t="s">
        <v>3046</v>
      </c>
      <c r="D1907" s="28" t="s">
        <v>3047</v>
      </c>
      <c r="E1907" s="38" t="s">
        <v>3048</v>
      </c>
      <c r="F1907" s="279" t="s">
        <v>16</v>
      </c>
      <c r="G1907" s="273" t="s">
        <v>2986</v>
      </c>
      <c r="H1907" s="273" t="s">
        <v>3049</v>
      </c>
      <c r="I1907" s="300" t="s">
        <v>26</v>
      </c>
      <c r="J1907" s="274"/>
      <c r="K1907" s="275"/>
    </row>
    <row r="1908" spans="1:11" ht="25">
      <c r="A1908" s="276"/>
      <c r="B1908" s="164"/>
      <c r="C1908" s="295"/>
      <c r="D1908" s="93" t="s">
        <v>3050</v>
      </c>
      <c r="E1908" s="30" t="s">
        <v>3051</v>
      </c>
      <c r="F1908" s="31" t="s">
        <v>16</v>
      </c>
      <c r="G1908" s="30" t="s">
        <v>3052</v>
      </c>
      <c r="H1908" s="30" t="s">
        <v>3053</v>
      </c>
      <c r="I1908" s="301" t="s">
        <v>26</v>
      </c>
      <c r="J1908" s="277"/>
      <c r="K1908" s="278"/>
    </row>
    <row r="1909" spans="1:11" ht="25.5" thickBot="1">
      <c r="A1909" s="276"/>
      <c r="B1909" s="164"/>
      <c r="C1909" s="295"/>
      <c r="D1909" s="93" t="s">
        <v>3054</v>
      </c>
      <c r="E1909" s="30" t="s">
        <v>3055</v>
      </c>
      <c r="F1909" s="31" t="s">
        <v>23</v>
      </c>
      <c r="G1909" s="30" t="s">
        <v>2994</v>
      </c>
      <c r="H1909" s="30" t="s">
        <v>3056</v>
      </c>
      <c r="I1909" s="301" t="s">
        <v>26</v>
      </c>
      <c r="J1909" s="277"/>
      <c r="K1909" s="278"/>
    </row>
    <row r="1910" spans="1:11" ht="25">
      <c r="A1910" s="276"/>
      <c r="B1910" s="164"/>
      <c r="C1910" s="295"/>
      <c r="D1910" s="32" t="s">
        <v>3057</v>
      </c>
      <c r="E1910" s="30" t="s">
        <v>3058</v>
      </c>
      <c r="F1910" s="27" t="s">
        <v>16</v>
      </c>
      <c r="G1910" s="30" t="s">
        <v>3059</v>
      </c>
      <c r="H1910" s="30" t="s">
        <v>3060</v>
      </c>
      <c r="I1910" s="301" t="s">
        <v>26</v>
      </c>
      <c r="J1910" s="277"/>
      <c r="K1910" s="278"/>
    </row>
    <row r="1911" spans="1:11" ht="25.5" thickBot="1">
      <c r="A1911" s="276"/>
      <c r="B1911" s="164"/>
      <c r="C1911" s="296"/>
      <c r="D1911" s="36" t="s">
        <v>3061</v>
      </c>
      <c r="E1911" s="34" t="s">
        <v>3062</v>
      </c>
      <c r="F1911" s="31" t="s">
        <v>23</v>
      </c>
      <c r="G1911" s="34" t="s">
        <v>3063</v>
      </c>
      <c r="H1911" s="34" t="s">
        <v>3064</v>
      </c>
      <c r="I1911" s="302" t="s">
        <v>26</v>
      </c>
      <c r="J1911" s="281"/>
      <c r="K1911" s="282"/>
    </row>
    <row r="1912" spans="1:11" ht="25">
      <c r="A1912" s="276"/>
      <c r="B1912" s="164"/>
      <c r="C1912" s="294" t="s">
        <v>3065</v>
      </c>
      <c r="D1912" s="28" t="s">
        <v>3066</v>
      </c>
      <c r="E1912" s="38" t="s">
        <v>3067</v>
      </c>
      <c r="F1912" s="31" t="s">
        <v>16</v>
      </c>
      <c r="G1912" s="273" t="s">
        <v>3068</v>
      </c>
      <c r="H1912" s="273" t="s">
        <v>3069</v>
      </c>
      <c r="I1912" s="300" t="s">
        <v>26</v>
      </c>
      <c r="J1912" s="274"/>
      <c r="K1912" s="275"/>
    </row>
    <row r="1913" spans="1:11" ht="25.5" thickBot="1">
      <c r="A1913" s="276"/>
      <c r="B1913" s="164"/>
      <c r="C1913" s="295"/>
      <c r="D1913" s="93" t="s">
        <v>3070</v>
      </c>
      <c r="E1913" s="30" t="s">
        <v>3071</v>
      </c>
      <c r="F1913" s="35" t="s">
        <v>23</v>
      </c>
      <c r="G1913" s="30" t="s">
        <v>3072</v>
      </c>
      <c r="H1913" s="30" t="s">
        <v>3073</v>
      </c>
      <c r="I1913" s="301" t="s">
        <v>206</v>
      </c>
      <c r="J1913" s="277"/>
      <c r="K1913" s="278"/>
    </row>
    <row r="1914" spans="1:11" ht="25">
      <c r="A1914" s="276"/>
      <c r="B1914" s="164"/>
      <c r="C1914" s="295"/>
      <c r="D1914" s="93" t="s">
        <v>3074</v>
      </c>
      <c r="E1914" s="30" t="s">
        <v>3075</v>
      </c>
      <c r="F1914" s="279" t="s">
        <v>16</v>
      </c>
      <c r="G1914" s="30" t="s">
        <v>3076</v>
      </c>
      <c r="H1914" s="30" t="s">
        <v>3077</v>
      </c>
      <c r="I1914" s="301" t="s">
        <v>206</v>
      </c>
      <c r="J1914" s="277"/>
      <c r="K1914" s="278"/>
    </row>
    <row r="1915" spans="1:11" ht="25">
      <c r="A1915" s="276"/>
      <c r="B1915" s="164"/>
      <c r="C1915" s="295"/>
      <c r="D1915" s="32" t="s">
        <v>3078</v>
      </c>
      <c r="E1915" s="30" t="s">
        <v>3079</v>
      </c>
      <c r="F1915" s="31" t="s">
        <v>16</v>
      </c>
      <c r="G1915" s="30" t="s">
        <v>3080</v>
      </c>
      <c r="H1915" s="30" t="s">
        <v>3081</v>
      </c>
      <c r="I1915" s="301" t="s">
        <v>26</v>
      </c>
      <c r="J1915" s="277"/>
      <c r="K1915" s="278"/>
    </row>
    <row r="1916" spans="1:11" ht="25.5" thickBot="1">
      <c r="A1916" s="276"/>
      <c r="B1916" s="164"/>
      <c r="C1916" s="296"/>
      <c r="D1916" s="36" t="s">
        <v>3082</v>
      </c>
      <c r="E1916" s="34" t="s">
        <v>3083</v>
      </c>
      <c r="F1916" s="31" t="s">
        <v>23</v>
      </c>
      <c r="G1916" s="34" t="s">
        <v>3084</v>
      </c>
      <c r="H1916" s="34" t="s">
        <v>3085</v>
      </c>
      <c r="I1916" s="302" t="s">
        <v>206</v>
      </c>
      <c r="J1916" s="281"/>
      <c r="K1916" s="282"/>
    </row>
    <row r="1917" spans="1:11" ht="25.5" thickBot="1">
      <c r="A1917" s="261" t="s">
        <v>3086</v>
      </c>
      <c r="B1917" s="156" t="s">
        <v>3087</v>
      </c>
      <c r="C1917" s="286" t="s">
        <v>3088</v>
      </c>
      <c r="D1917" s="14" t="s">
        <v>3089</v>
      </c>
      <c r="E1917" s="11" t="s">
        <v>3090</v>
      </c>
      <c r="F1917" s="262" t="s">
        <v>16</v>
      </c>
      <c r="G1917" s="24" t="s">
        <v>3091</v>
      </c>
      <c r="H1917" s="24" t="s">
        <v>3092</v>
      </c>
      <c r="I1917" s="300" t="s">
        <v>19</v>
      </c>
      <c r="J1917" s="259"/>
      <c r="K1917" s="260"/>
    </row>
    <row r="1918" spans="1:11" ht="25">
      <c r="A1918" s="261"/>
      <c r="B1918" s="157"/>
      <c r="C1918" s="287"/>
      <c r="D1918" s="69" t="s">
        <v>3093</v>
      </c>
      <c r="E1918" s="16" t="s">
        <v>3094</v>
      </c>
      <c r="F1918" s="12" t="s">
        <v>23</v>
      </c>
      <c r="G1918" s="16" t="s">
        <v>3095</v>
      </c>
      <c r="H1918" s="16" t="s">
        <v>3096</v>
      </c>
      <c r="I1918" s="301" t="s">
        <v>19</v>
      </c>
      <c r="J1918" s="263"/>
      <c r="K1918" s="264"/>
    </row>
    <row r="1919" spans="1:11" ht="25">
      <c r="A1919" s="261"/>
      <c r="B1919" s="157"/>
      <c r="C1919" s="287"/>
      <c r="D1919" s="70" t="s">
        <v>3097</v>
      </c>
      <c r="E1919" s="16" t="s">
        <v>3098</v>
      </c>
      <c r="F1919" s="262" t="s">
        <v>23</v>
      </c>
      <c r="G1919" s="16" t="s">
        <v>3099</v>
      </c>
      <c r="H1919" s="16" t="s">
        <v>3100</v>
      </c>
      <c r="I1919" s="301" t="s">
        <v>26</v>
      </c>
      <c r="J1919" s="263"/>
      <c r="K1919" s="264"/>
    </row>
    <row r="1920" spans="1:11" ht="25">
      <c r="A1920" s="261"/>
      <c r="B1920" s="157"/>
      <c r="C1920" s="287"/>
      <c r="D1920" s="17" t="s">
        <v>3101</v>
      </c>
      <c r="E1920" s="16" t="s">
        <v>3102</v>
      </c>
      <c r="F1920" s="262" t="s">
        <v>58</v>
      </c>
      <c r="G1920" s="16" t="s">
        <v>3103</v>
      </c>
      <c r="H1920" s="16" t="s">
        <v>3104</v>
      </c>
      <c r="I1920" s="301" t="s">
        <v>26</v>
      </c>
      <c r="J1920" s="263"/>
      <c r="K1920" s="264"/>
    </row>
    <row r="1921" spans="1:11" ht="25.5" thickBot="1">
      <c r="A1921" s="261"/>
      <c r="B1921" s="157"/>
      <c r="C1921" s="288"/>
      <c r="D1921" s="21" t="s">
        <v>3105</v>
      </c>
      <c r="E1921" s="20" t="s">
        <v>3106</v>
      </c>
      <c r="F1921" s="262" t="s">
        <v>58</v>
      </c>
      <c r="G1921" s="20" t="s">
        <v>3107</v>
      </c>
      <c r="H1921" s="20" t="s">
        <v>3108</v>
      </c>
      <c r="I1921" s="302" t="s">
        <v>19</v>
      </c>
      <c r="J1921" s="266"/>
      <c r="K1921" s="267"/>
    </row>
    <row r="1922" spans="1:11" ht="25.5" thickBot="1">
      <c r="A1922" s="261"/>
      <c r="B1922" s="157"/>
      <c r="C1922" s="289" t="s">
        <v>3109</v>
      </c>
      <c r="D1922" s="13" t="s">
        <v>3110</v>
      </c>
      <c r="E1922" s="25" t="s">
        <v>3111</v>
      </c>
      <c r="F1922" s="262" t="s">
        <v>23</v>
      </c>
      <c r="G1922" s="24" t="s">
        <v>3112</v>
      </c>
      <c r="H1922" s="24" t="s">
        <v>3113</v>
      </c>
      <c r="I1922" s="300" t="s">
        <v>26</v>
      </c>
      <c r="J1922" s="259"/>
      <c r="K1922" s="260"/>
    </row>
    <row r="1923" spans="1:11" ht="25">
      <c r="A1923" s="261"/>
      <c r="B1923" s="157"/>
      <c r="C1923" s="290"/>
      <c r="D1923" s="69" t="s">
        <v>3114</v>
      </c>
      <c r="E1923" s="16" t="s">
        <v>3115</v>
      </c>
      <c r="F1923" s="12" t="s">
        <v>16</v>
      </c>
      <c r="G1923" s="16" t="s">
        <v>3116</v>
      </c>
      <c r="H1923" s="16" t="s">
        <v>3117</v>
      </c>
      <c r="I1923" s="301" t="s">
        <v>26</v>
      </c>
      <c r="J1923" s="263"/>
      <c r="K1923" s="264"/>
    </row>
    <row r="1924" spans="1:11" ht="25">
      <c r="A1924" s="261"/>
      <c r="B1924" s="157"/>
      <c r="C1924" s="290"/>
      <c r="D1924" s="70" t="s">
        <v>3118</v>
      </c>
      <c r="E1924" s="16" t="s">
        <v>3119</v>
      </c>
      <c r="F1924" s="262" t="s">
        <v>23</v>
      </c>
      <c r="G1924" s="16" t="s">
        <v>3120</v>
      </c>
      <c r="H1924" s="16" t="s">
        <v>3121</v>
      </c>
      <c r="I1924" s="301" t="s">
        <v>19</v>
      </c>
      <c r="J1924" s="263"/>
      <c r="K1924" s="264"/>
    </row>
    <row r="1925" spans="1:11" ht="25">
      <c r="A1925" s="261"/>
      <c r="B1925" s="157"/>
      <c r="C1925" s="290"/>
      <c r="D1925" s="17" t="s">
        <v>3122</v>
      </c>
      <c r="E1925" s="16" t="s">
        <v>3123</v>
      </c>
      <c r="F1925" s="262" t="s">
        <v>16</v>
      </c>
      <c r="G1925" s="16" t="s">
        <v>3124</v>
      </c>
      <c r="H1925" s="16" t="s">
        <v>3125</v>
      </c>
      <c r="I1925" s="301" t="s">
        <v>26</v>
      </c>
      <c r="J1925" s="263"/>
      <c r="K1925" s="264"/>
    </row>
    <row r="1926" spans="1:11" ht="25.5" thickBot="1">
      <c r="A1926" s="261"/>
      <c r="B1926" s="157"/>
      <c r="C1926" s="291"/>
      <c r="D1926" s="21" t="s">
        <v>3126</v>
      </c>
      <c r="E1926" s="20" t="s">
        <v>3127</v>
      </c>
      <c r="F1926" s="265" t="s">
        <v>23</v>
      </c>
      <c r="G1926" s="20" t="s">
        <v>3128</v>
      </c>
      <c r="H1926" s="20" t="s">
        <v>3129</v>
      </c>
      <c r="I1926" s="302" t="s">
        <v>26</v>
      </c>
      <c r="J1926" s="266"/>
      <c r="K1926" s="267"/>
    </row>
    <row r="1927" spans="1:11" ht="25">
      <c r="A1927" s="261"/>
      <c r="B1927" s="157"/>
      <c r="C1927" s="289" t="s">
        <v>3130</v>
      </c>
      <c r="D1927" s="13" t="s">
        <v>3131</v>
      </c>
      <c r="E1927" s="25" t="s">
        <v>3132</v>
      </c>
      <c r="F1927" s="268" t="s">
        <v>16</v>
      </c>
      <c r="G1927" s="24" t="s">
        <v>3133</v>
      </c>
      <c r="H1927" s="24" t="s">
        <v>3134</v>
      </c>
      <c r="I1927" s="300" t="s">
        <v>26</v>
      </c>
      <c r="J1927" s="259"/>
      <c r="K1927" s="260"/>
    </row>
    <row r="1928" spans="1:11" ht="25">
      <c r="A1928" s="261"/>
      <c r="B1928" s="157"/>
      <c r="C1928" s="290"/>
      <c r="D1928" s="69" t="s">
        <v>3135</v>
      </c>
      <c r="E1928" s="16" t="s">
        <v>3136</v>
      </c>
      <c r="F1928" s="262" t="s">
        <v>16</v>
      </c>
      <c r="G1928" s="16" t="s">
        <v>3137</v>
      </c>
      <c r="H1928" s="16" t="s">
        <v>3138</v>
      </c>
      <c r="I1928" s="301" t="s">
        <v>26</v>
      </c>
      <c r="J1928" s="263"/>
      <c r="K1928" s="264"/>
    </row>
    <row r="1929" spans="1:11" ht="25.5" thickBot="1">
      <c r="A1929" s="261"/>
      <c r="B1929" s="157"/>
      <c r="C1929" s="290"/>
      <c r="D1929" s="70" t="s">
        <v>3139</v>
      </c>
      <c r="E1929" s="16" t="s">
        <v>3140</v>
      </c>
      <c r="F1929" s="262" t="s">
        <v>16</v>
      </c>
      <c r="G1929" s="16" t="s">
        <v>3141</v>
      </c>
      <c r="H1929" s="16" t="s">
        <v>3142</v>
      </c>
      <c r="I1929" s="301" t="s">
        <v>26</v>
      </c>
      <c r="J1929" s="263"/>
      <c r="K1929" s="264"/>
    </row>
    <row r="1930" spans="1:11" ht="25">
      <c r="A1930" s="261"/>
      <c r="B1930" s="157"/>
      <c r="C1930" s="290"/>
      <c r="D1930" s="17" t="s">
        <v>3143</v>
      </c>
      <c r="E1930" s="16" t="s">
        <v>3144</v>
      </c>
      <c r="F1930" s="12" t="s">
        <v>23</v>
      </c>
      <c r="G1930" s="16" t="s">
        <v>3145</v>
      </c>
      <c r="H1930" s="16" t="s">
        <v>3146</v>
      </c>
      <c r="I1930" s="301" t="s">
        <v>26</v>
      </c>
      <c r="J1930" s="263"/>
      <c r="K1930" s="264"/>
    </row>
    <row r="1931" spans="1:11" ht="25.5" thickBot="1">
      <c r="A1931" s="261"/>
      <c r="B1931" s="157"/>
      <c r="C1931" s="291"/>
      <c r="D1931" s="21" t="s">
        <v>3147</v>
      </c>
      <c r="E1931" s="20" t="s">
        <v>3148</v>
      </c>
      <c r="F1931" s="262" t="s">
        <v>23</v>
      </c>
      <c r="G1931" s="20" t="s">
        <v>3149</v>
      </c>
      <c r="H1931" s="20" t="s">
        <v>3150</v>
      </c>
      <c r="I1931" s="302" t="s">
        <v>26</v>
      </c>
      <c r="J1931" s="266"/>
      <c r="K1931" s="267"/>
    </row>
    <row r="1932" spans="1:11" ht="25">
      <c r="A1932" s="261"/>
      <c r="B1932" s="157"/>
      <c r="C1932" s="289" t="s">
        <v>3151</v>
      </c>
      <c r="D1932" s="13" t="s">
        <v>3152</v>
      </c>
      <c r="E1932" s="25" t="s">
        <v>3153</v>
      </c>
      <c r="F1932" s="262" t="s">
        <v>58</v>
      </c>
      <c r="G1932" s="24" t="s">
        <v>3154</v>
      </c>
      <c r="H1932" s="24" t="s">
        <v>3155</v>
      </c>
      <c r="I1932" s="300" t="s">
        <v>19</v>
      </c>
      <c r="J1932" s="259"/>
      <c r="K1932" s="260"/>
    </row>
    <row r="1933" spans="1:11" ht="25">
      <c r="A1933" s="261"/>
      <c r="B1933" s="157"/>
      <c r="C1933" s="290"/>
      <c r="D1933" s="69" t="s">
        <v>3156</v>
      </c>
      <c r="E1933" s="16" t="s">
        <v>3157</v>
      </c>
      <c r="F1933" s="262" t="s">
        <v>58</v>
      </c>
      <c r="G1933" s="16" t="s">
        <v>3158</v>
      </c>
      <c r="H1933" s="16" t="s">
        <v>3159</v>
      </c>
      <c r="I1933" s="301" t="s">
        <v>19</v>
      </c>
      <c r="J1933" s="263"/>
      <c r="K1933" s="264"/>
    </row>
    <row r="1934" spans="1:11" ht="25.5" thickBot="1">
      <c r="A1934" s="261"/>
      <c r="B1934" s="157"/>
      <c r="C1934" s="290"/>
      <c r="D1934" s="70" t="s">
        <v>3160</v>
      </c>
      <c r="E1934" s="16" t="s">
        <v>3161</v>
      </c>
      <c r="F1934" s="262" t="s">
        <v>23</v>
      </c>
      <c r="G1934" s="16" t="s">
        <v>3162</v>
      </c>
      <c r="H1934" s="16" t="s">
        <v>3163</v>
      </c>
      <c r="I1934" s="301" t="s">
        <v>26</v>
      </c>
      <c r="J1934" s="263"/>
      <c r="K1934" s="264"/>
    </row>
    <row r="1935" spans="1:11" ht="25">
      <c r="A1935" s="261"/>
      <c r="B1935" s="157"/>
      <c r="C1935" s="290"/>
      <c r="D1935" s="17" t="s">
        <v>3164</v>
      </c>
      <c r="E1935" s="16" t="s">
        <v>3165</v>
      </c>
      <c r="F1935" s="12" t="s">
        <v>16</v>
      </c>
      <c r="G1935" s="16" t="s">
        <v>3166</v>
      </c>
      <c r="H1935" s="16" t="s">
        <v>3167</v>
      </c>
      <c r="I1935" s="301" t="s">
        <v>26</v>
      </c>
      <c r="J1935" s="263"/>
      <c r="K1935" s="264"/>
    </row>
    <row r="1936" spans="1:11" ht="25.5" thickBot="1">
      <c r="A1936" s="261"/>
      <c r="B1936" s="157"/>
      <c r="C1936" s="291"/>
      <c r="D1936" s="21" t="s">
        <v>3168</v>
      </c>
      <c r="E1936" s="20" t="s">
        <v>3169</v>
      </c>
      <c r="F1936" s="262" t="s">
        <v>23</v>
      </c>
      <c r="G1936" s="20" t="s">
        <v>3170</v>
      </c>
      <c r="H1936" s="20" t="s">
        <v>3171</v>
      </c>
      <c r="I1936" s="302" t="s">
        <v>19</v>
      </c>
      <c r="J1936" s="266"/>
      <c r="K1936" s="267"/>
    </row>
    <row r="1937" spans="1:11" ht="25">
      <c r="A1937" s="261"/>
      <c r="B1937" s="157"/>
      <c r="C1937" s="289" t="s">
        <v>3172</v>
      </c>
      <c r="D1937" s="13" t="s">
        <v>3173</v>
      </c>
      <c r="E1937" s="25" t="s">
        <v>3174</v>
      </c>
      <c r="F1937" s="262" t="s">
        <v>16</v>
      </c>
      <c r="G1937" s="24" t="s">
        <v>3175</v>
      </c>
      <c r="H1937" s="24" t="s">
        <v>3176</v>
      </c>
      <c r="I1937" s="300" t="s">
        <v>26</v>
      </c>
      <c r="J1937" s="259"/>
      <c r="K1937" s="260"/>
    </row>
    <row r="1938" spans="1:11" ht="25.5" thickBot="1">
      <c r="A1938" s="261"/>
      <c r="B1938" s="157"/>
      <c r="C1938" s="290"/>
      <c r="D1938" s="69" t="s">
        <v>3177</v>
      </c>
      <c r="E1938" s="16" t="s">
        <v>3178</v>
      </c>
      <c r="F1938" s="262" t="s">
        <v>16</v>
      </c>
      <c r="G1938" s="16" t="s">
        <v>3179</v>
      </c>
      <c r="H1938" s="16" t="s">
        <v>3180</v>
      </c>
      <c r="I1938" s="301" t="s">
        <v>26</v>
      </c>
      <c r="J1938" s="263"/>
      <c r="K1938" s="264"/>
    </row>
    <row r="1939" spans="1:11" ht="25">
      <c r="A1939" s="261"/>
      <c r="B1939" s="157"/>
      <c r="C1939" s="290"/>
      <c r="D1939" s="70" t="s">
        <v>3181</v>
      </c>
      <c r="E1939" s="16" t="s">
        <v>3182</v>
      </c>
      <c r="F1939" s="12" t="s">
        <v>23</v>
      </c>
      <c r="G1939" s="16" t="s">
        <v>3183</v>
      </c>
      <c r="H1939" s="16" t="s">
        <v>3184</v>
      </c>
      <c r="I1939" s="301" t="s">
        <v>26</v>
      </c>
      <c r="J1939" s="263"/>
      <c r="K1939" s="264"/>
    </row>
    <row r="1940" spans="1:11" ht="25">
      <c r="A1940" s="261"/>
      <c r="B1940" s="157"/>
      <c r="C1940" s="290"/>
      <c r="D1940" s="17" t="s">
        <v>3185</v>
      </c>
      <c r="E1940" s="16" t="s">
        <v>3186</v>
      </c>
      <c r="F1940" s="262" t="s">
        <v>23</v>
      </c>
      <c r="G1940" s="16" t="s">
        <v>3187</v>
      </c>
      <c r="H1940" s="16" t="s">
        <v>3188</v>
      </c>
      <c r="I1940" s="301" t="s">
        <v>26</v>
      </c>
      <c r="J1940" s="263"/>
      <c r="K1940" s="264"/>
    </row>
    <row r="1941" spans="1:11" ht="25.5" thickBot="1">
      <c r="A1941" s="261"/>
      <c r="B1941" s="157"/>
      <c r="C1941" s="291"/>
      <c r="D1941" s="21" t="s">
        <v>3189</v>
      </c>
      <c r="E1941" s="20" t="s">
        <v>3190</v>
      </c>
      <c r="F1941" s="262" t="s">
        <v>58</v>
      </c>
      <c r="G1941" s="20" t="s">
        <v>3137</v>
      </c>
      <c r="H1941" s="20" t="s">
        <v>3191</v>
      </c>
      <c r="I1941" s="302" t="s">
        <v>26</v>
      </c>
      <c r="J1941" s="266"/>
      <c r="K1941" s="267"/>
    </row>
    <row r="1942" spans="1:11" ht="25">
      <c r="A1942" s="261"/>
      <c r="B1942" s="157"/>
      <c r="C1942" s="289" t="s">
        <v>3192</v>
      </c>
      <c r="D1942" s="13" t="s">
        <v>3193</v>
      </c>
      <c r="E1942" s="25" t="s">
        <v>3194</v>
      </c>
      <c r="F1942" s="262" t="s">
        <v>58</v>
      </c>
      <c r="G1942" s="24" t="s">
        <v>3195</v>
      </c>
      <c r="H1942" s="24" t="s">
        <v>3196</v>
      </c>
      <c r="I1942" s="300" t="s">
        <v>26</v>
      </c>
      <c r="J1942" s="259"/>
      <c r="K1942" s="260"/>
    </row>
    <row r="1943" spans="1:11" ht="25.5" thickBot="1">
      <c r="A1943" s="261"/>
      <c r="B1943" s="157"/>
      <c r="C1943" s="290"/>
      <c r="D1943" s="70" t="s">
        <v>3197</v>
      </c>
      <c r="E1943" s="16" t="s">
        <v>3198</v>
      </c>
      <c r="F1943" s="262" t="s">
        <v>23</v>
      </c>
      <c r="G1943" s="16" t="s">
        <v>3199</v>
      </c>
      <c r="H1943" s="16" t="s">
        <v>3200</v>
      </c>
      <c r="I1943" s="301" t="s">
        <v>26</v>
      </c>
      <c r="J1943" s="263"/>
      <c r="K1943" s="264"/>
    </row>
    <row r="1944" spans="1:11" ht="25">
      <c r="A1944" s="261"/>
      <c r="B1944" s="157"/>
      <c r="C1944" s="290"/>
      <c r="D1944" s="70" t="s">
        <v>3201</v>
      </c>
      <c r="E1944" s="16" t="s">
        <v>3202</v>
      </c>
      <c r="F1944" s="12" t="s">
        <v>16</v>
      </c>
      <c r="G1944" s="16" t="s">
        <v>3203</v>
      </c>
      <c r="H1944" s="16" t="s">
        <v>3204</v>
      </c>
      <c r="I1944" s="301" t="s">
        <v>26</v>
      </c>
      <c r="J1944" s="263"/>
      <c r="K1944" s="264"/>
    </row>
    <row r="1945" spans="1:11" ht="25">
      <c r="A1945" s="261"/>
      <c r="B1945" s="157"/>
      <c r="C1945" s="290"/>
      <c r="D1945" s="17" t="s">
        <v>3205</v>
      </c>
      <c r="E1945" s="16" t="s">
        <v>3206</v>
      </c>
      <c r="F1945" s="262" t="s">
        <v>23</v>
      </c>
      <c r="G1945" s="16" t="s">
        <v>3207</v>
      </c>
      <c r="H1945" s="16" t="s">
        <v>3208</v>
      </c>
      <c r="I1945" s="301" t="s">
        <v>206</v>
      </c>
      <c r="J1945" s="263"/>
      <c r="K1945" s="264"/>
    </row>
    <row r="1946" spans="1:11" ht="25.5" thickBot="1">
      <c r="A1946" s="261"/>
      <c r="B1946" s="173"/>
      <c r="C1946" s="291"/>
      <c r="D1946" s="21" t="s">
        <v>3209</v>
      </c>
      <c r="E1946" s="20" t="s">
        <v>3210</v>
      </c>
      <c r="F1946" s="262" t="s">
        <v>16</v>
      </c>
      <c r="G1946" s="20" t="s">
        <v>3211</v>
      </c>
      <c r="H1946" s="20" t="s">
        <v>3212</v>
      </c>
      <c r="I1946" s="302" t="s">
        <v>26</v>
      </c>
      <c r="J1946" s="266"/>
      <c r="K1946" s="267"/>
    </row>
    <row r="1947" spans="1:11" ht="25">
      <c r="A1947" s="261"/>
      <c r="B1947" s="156" t="s">
        <v>3213</v>
      </c>
      <c r="C1947" s="286" t="s">
        <v>3214</v>
      </c>
      <c r="D1947" s="14" t="s">
        <v>3215</v>
      </c>
      <c r="E1947" s="11" t="s">
        <v>3216</v>
      </c>
      <c r="F1947" s="262" t="s">
        <v>16</v>
      </c>
      <c r="G1947" s="24" t="s">
        <v>3217</v>
      </c>
      <c r="H1947" s="24" t="s">
        <v>3218</v>
      </c>
      <c r="I1947" s="300" t="s">
        <v>19</v>
      </c>
      <c r="J1947" s="259"/>
      <c r="K1947" s="260"/>
    </row>
    <row r="1948" spans="1:11" ht="25.5" thickBot="1">
      <c r="A1948" s="261"/>
      <c r="B1948" s="157"/>
      <c r="C1948" s="287"/>
      <c r="D1948" s="70" t="s">
        <v>3219</v>
      </c>
      <c r="E1948" s="16" t="s">
        <v>3220</v>
      </c>
      <c r="F1948" s="265" t="s">
        <v>23</v>
      </c>
      <c r="G1948" s="16" t="s">
        <v>3221</v>
      </c>
      <c r="H1948" s="16" t="s">
        <v>3222</v>
      </c>
      <c r="I1948" s="301" t="s">
        <v>19</v>
      </c>
      <c r="J1948" s="263"/>
      <c r="K1948" s="264"/>
    </row>
    <row r="1949" spans="1:11" ht="25">
      <c r="A1949" s="261"/>
      <c r="B1949" s="157"/>
      <c r="C1949" s="287"/>
      <c r="D1949" s="70" t="s">
        <v>3223</v>
      </c>
      <c r="E1949" s="16" t="s">
        <v>3224</v>
      </c>
      <c r="F1949" s="268" t="s">
        <v>16</v>
      </c>
      <c r="G1949" s="16" t="s">
        <v>3225</v>
      </c>
      <c r="H1949" s="16" t="s">
        <v>3226</v>
      </c>
      <c r="I1949" s="301" t="s">
        <v>19</v>
      </c>
      <c r="J1949" s="263"/>
      <c r="K1949" s="264"/>
    </row>
    <row r="1950" spans="1:11" ht="25">
      <c r="A1950" s="261"/>
      <c r="B1950" s="157"/>
      <c r="C1950" s="287"/>
      <c r="D1950" s="17" t="s">
        <v>3227</v>
      </c>
      <c r="E1950" s="16" t="s">
        <v>3228</v>
      </c>
      <c r="F1950" s="262" t="s">
        <v>16</v>
      </c>
      <c r="G1950" s="16" t="s">
        <v>3229</v>
      </c>
      <c r="H1950" s="16" t="s">
        <v>3230</v>
      </c>
      <c r="I1950" s="301" t="s">
        <v>19</v>
      </c>
      <c r="J1950" s="263"/>
      <c r="K1950" s="264"/>
    </row>
    <row r="1951" spans="1:11" ht="25.5" thickBot="1">
      <c r="A1951" s="261"/>
      <c r="B1951" s="157"/>
      <c r="C1951" s="288"/>
      <c r="D1951" s="21" t="s">
        <v>3231</v>
      </c>
      <c r="E1951" s="20" t="s">
        <v>3232</v>
      </c>
      <c r="F1951" s="262" t="s">
        <v>16</v>
      </c>
      <c r="G1951" s="20" t="s">
        <v>3233</v>
      </c>
      <c r="H1951" s="20" t="s">
        <v>3234</v>
      </c>
      <c r="I1951" s="302" t="s">
        <v>26</v>
      </c>
      <c r="J1951" s="266"/>
      <c r="K1951" s="267"/>
    </row>
    <row r="1952" spans="1:11" ht="25">
      <c r="A1952" s="261"/>
      <c r="B1952" s="157"/>
      <c r="C1952" s="289" t="s">
        <v>3235</v>
      </c>
      <c r="D1952" s="13" t="s">
        <v>3236</v>
      </c>
      <c r="E1952" s="25" t="s">
        <v>3237</v>
      </c>
      <c r="F1952" s="12" t="s">
        <v>23</v>
      </c>
      <c r="G1952" s="24" t="s">
        <v>3238</v>
      </c>
      <c r="H1952" s="24" t="s">
        <v>3239</v>
      </c>
      <c r="I1952" s="300" t="s">
        <v>26</v>
      </c>
      <c r="J1952" s="259"/>
      <c r="K1952" s="260"/>
    </row>
    <row r="1953" spans="1:11" ht="25">
      <c r="A1953" s="261"/>
      <c r="B1953" s="157"/>
      <c r="C1953" s="290"/>
      <c r="D1953" s="70" t="s">
        <v>3240</v>
      </c>
      <c r="E1953" s="16" t="s">
        <v>3241</v>
      </c>
      <c r="F1953" s="262" t="s">
        <v>23</v>
      </c>
      <c r="G1953" s="16" t="s">
        <v>3242</v>
      </c>
      <c r="H1953" s="16" t="s">
        <v>3243</v>
      </c>
      <c r="I1953" s="301" t="s">
        <v>26</v>
      </c>
      <c r="J1953" s="263"/>
      <c r="K1953" s="264"/>
    </row>
    <row r="1954" spans="1:11" ht="25">
      <c r="A1954" s="261"/>
      <c r="B1954" s="157"/>
      <c r="C1954" s="290"/>
      <c r="D1954" s="70" t="s">
        <v>3244</v>
      </c>
      <c r="E1954" s="16" t="s">
        <v>3245</v>
      </c>
      <c r="F1954" s="262" t="s">
        <v>58</v>
      </c>
      <c r="G1954" s="16" t="s">
        <v>3246</v>
      </c>
      <c r="H1954" s="16" t="s">
        <v>3247</v>
      </c>
      <c r="I1954" s="301" t="s">
        <v>19</v>
      </c>
      <c r="J1954" s="263"/>
      <c r="K1954" s="264"/>
    </row>
    <row r="1955" spans="1:11" ht="25">
      <c r="A1955" s="261"/>
      <c r="B1955" s="157"/>
      <c r="C1955" s="290"/>
      <c r="D1955" s="17" t="s">
        <v>3248</v>
      </c>
      <c r="E1955" s="16" t="s">
        <v>3249</v>
      </c>
      <c r="F1955" s="262" t="s">
        <v>58</v>
      </c>
      <c r="G1955" s="16" t="s">
        <v>3250</v>
      </c>
      <c r="H1955" s="16" t="s">
        <v>3251</v>
      </c>
      <c r="I1955" s="301" t="s">
        <v>19</v>
      </c>
      <c r="J1955" s="263"/>
      <c r="K1955" s="264"/>
    </row>
    <row r="1956" spans="1:11" ht="25.5" thickBot="1">
      <c r="A1956" s="261"/>
      <c r="B1956" s="157"/>
      <c r="C1956" s="291"/>
      <c r="D1956" s="21" t="s">
        <v>3252</v>
      </c>
      <c r="E1956" s="20" t="s">
        <v>3253</v>
      </c>
      <c r="F1956" s="262" t="s">
        <v>23</v>
      </c>
      <c r="G1956" s="20" t="s">
        <v>3254</v>
      </c>
      <c r="H1956" s="20" t="s">
        <v>3255</v>
      </c>
      <c r="I1956" s="302" t="s">
        <v>26</v>
      </c>
      <c r="J1956" s="266"/>
      <c r="K1956" s="267"/>
    </row>
    <row r="1957" spans="1:11" ht="25">
      <c r="A1957" s="261"/>
      <c r="B1957" s="157"/>
      <c r="C1957" s="289" t="s">
        <v>3256</v>
      </c>
      <c r="D1957" s="13" t="s">
        <v>3257</v>
      </c>
      <c r="E1957" s="25" t="s">
        <v>3258</v>
      </c>
      <c r="F1957" s="12" t="s">
        <v>16</v>
      </c>
      <c r="G1957" s="24" t="s">
        <v>3259</v>
      </c>
      <c r="H1957" s="24" t="s">
        <v>3260</v>
      </c>
      <c r="I1957" s="300" t="s">
        <v>26</v>
      </c>
      <c r="J1957" s="259"/>
      <c r="K1957" s="260"/>
    </row>
    <row r="1958" spans="1:11" ht="25">
      <c r="A1958" s="261"/>
      <c r="B1958" s="157"/>
      <c r="C1958" s="290"/>
      <c r="D1958" s="69" t="s">
        <v>3261</v>
      </c>
      <c r="E1958" s="16" t="s">
        <v>3262</v>
      </c>
      <c r="F1958" s="262" t="s">
        <v>23</v>
      </c>
      <c r="G1958" s="16" t="s">
        <v>3263</v>
      </c>
      <c r="H1958" s="16" t="s">
        <v>3264</v>
      </c>
      <c r="I1958" s="299" t="s">
        <v>19</v>
      </c>
      <c r="J1958" s="263"/>
      <c r="K1958" s="264"/>
    </row>
    <row r="1959" spans="1:11" ht="25">
      <c r="A1959" s="261"/>
      <c r="B1959" s="157"/>
      <c r="C1959" s="290"/>
      <c r="D1959" s="70" t="s">
        <v>3265</v>
      </c>
      <c r="E1959" s="16" t="s">
        <v>3266</v>
      </c>
      <c r="F1959" s="262" t="s">
        <v>16</v>
      </c>
      <c r="G1959" s="16" t="s">
        <v>3267</v>
      </c>
      <c r="H1959" s="16" t="s">
        <v>3268</v>
      </c>
      <c r="I1959" s="299" t="s">
        <v>19</v>
      </c>
      <c r="J1959" s="263"/>
      <c r="K1959" s="264"/>
    </row>
    <row r="1960" spans="1:11" ht="25.5" thickBot="1">
      <c r="A1960" s="261"/>
      <c r="B1960" s="157"/>
      <c r="C1960" s="290"/>
      <c r="D1960" s="17" t="s">
        <v>3269</v>
      </c>
      <c r="E1960" s="16" t="s">
        <v>3270</v>
      </c>
      <c r="F1960" s="262" t="s">
        <v>16</v>
      </c>
      <c r="G1960" s="16" t="s">
        <v>3271</v>
      </c>
      <c r="H1960" s="16" t="s">
        <v>3272</v>
      </c>
      <c r="I1960" s="299" t="s">
        <v>26</v>
      </c>
      <c r="J1960" s="263"/>
      <c r="K1960" s="264"/>
    </row>
    <row r="1961" spans="1:11" ht="25.5" thickBot="1">
      <c r="A1961" s="261"/>
      <c r="B1961" s="157"/>
      <c r="C1961" s="291"/>
      <c r="D1961" s="21" t="s">
        <v>3273</v>
      </c>
      <c r="E1961" s="20" t="s">
        <v>3274</v>
      </c>
      <c r="F1961" s="12" t="s">
        <v>23</v>
      </c>
      <c r="G1961" s="20" t="s">
        <v>3275</v>
      </c>
      <c r="H1961" s="20" t="s">
        <v>3276</v>
      </c>
      <c r="I1961" s="298" t="s">
        <v>26</v>
      </c>
      <c r="J1961" s="266"/>
      <c r="K1961" s="267"/>
    </row>
    <row r="1962" spans="1:11" ht="25">
      <c r="A1962" s="261"/>
      <c r="B1962" s="157"/>
      <c r="C1962" s="289" t="s">
        <v>3277</v>
      </c>
      <c r="D1962" s="13" t="s">
        <v>3278</v>
      </c>
      <c r="E1962" s="25" t="s">
        <v>3279</v>
      </c>
      <c r="F1962" s="262" t="s">
        <v>23</v>
      </c>
      <c r="G1962" s="24" t="s">
        <v>3280</v>
      </c>
      <c r="H1962" s="24" t="s">
        <v>3281</v>
      </c>
      <c r="I1962" s="305" t="s">
        <v>26</v>
      </c>
      <c r="J1962" s="259"/>
      <c r="K1962" s="260"/>
    </row>
    <row r="1963" spans="1:11" ht="25">
      <c r="A1963" s="261"/>
      <c r="B1963" s="157"/>
      <c r="C1963" s="290"/>
      <c r="D1963" s="69" t="s">
        <v>3282</v>
      </c>
      <c r="E1963" s="16" t="s">
        <v>3283</v>
      </c>
      <c r="F1963" s="262" t="s">
        <v>58</v>
      </c>
      <c r="G1963" s="16" t="s">
        <v>3284</v>
      </c>
      <c r="H1963" s="16" t="s">
        <v>3285</v>
      </c>
      <c r="I1963" s="299" t="s">
        <v>26</v>
      </c>
      <c r="J1963" s="263"/>
      <c r="K1963" s="264"/>
    </row>
    <row r="1964" spans="1:11" ht="25">
      <c r="A1964" s="261"/>
      <c r="B1964" s="157"/>
      <c r="C1964" s="290"/>
      <c r="D1964" s="70" t="s">
        <v>3286</v>
      </c>
      <c r="E1964" s="16" t="s">
        <v>3287</v>
      </c>
      <c r="F1964" s="262" t="s">
        <v>58</v>
      </c>
      <c r="G1964" s="16" t="s">
        <v>3288</v>
      </c>
      <c r="H1964" s="16" t="s">
        <v>3289</v>
      </c>
      <c r="I1964" s="299" t="s">
        <v>26</v>
      </c>
      <c r="J1964" s="263"/>
      <c r="K1964" s="264"/>
    </row>
    <row r="1965" spans="1:11" ht="25">
      <c r="A1965" s="261"/>
      <c r="B1965" s="157"/>
      <c r="C1965" s="290"/>
      <c r="D1965" s="17" t="s">
        <v>3290</v>
      </c>
      <c r="E1965" s="16" t="s">
        <v>3291</v>
      </c>
      <c r="F1965" s="262" t="s">
        <v>23</v>
      </c>
      <c r="G1965" s="16" t="s">
        <v>3292</v>
      </c>
      <c r="H1965" s="16" t="s">
        <v>3293</v>
      </c>
      <c r="I1965" s="299" t="s">
        <v>26</v>
      </c>
      <c r="J1965" s="263"/>
      <c r="K1965" s="264"/>
    </row>
    <row r="1966" spans="1:11" ht="25.5" thickBot="1">
      <c r="A1966" s="261"/>
      <c r="B1966" s="157"/>
      <c r="C1966" s="291"/>
      <c r="D1966" s="21" t="s">
        <v>3294</v>
      </c>
      <c r="E1966" s="20" t="s">
        <v>3295</v>
      </c>
      <c r="F1966" s="262" t="s">
        <v>58</v>
      </c>
      <c r="G1966" s="20" t="s">
        <v>3296</v>
      </c>
      <c r="H1966" s="20" t="s">
        <v>3297</v>
      </c>
      <c r="I1966" s="298" t="s">
        <v>26</v>
      </c>
      <c r="J1966" s="266" t="s">
        <v>3816</v>
      </c>
      <c r="K1966" s="267"/>
    </row>
    <row r="1967" spans="1:11" ht="25.5" thickBot="1">
      <c r="A1967" s="261"/>
      <c r="B1967" s="157"/>
      <c r="C1967" s="289" t="s">
        <v>3298</v>
      </c>
      <c r="D1967" s="13" t="s">
        <v>3299</v>
      </c>
      <c r="E1967" s="25" t="s">
        <v>3300</v>
      </c>
      <c r="F1967" s="262" t="s">
        <v>23</v>
      </c>
      <c r="G1967" s="24" t="s">
        <v>3301</v>
      </c>
      <c r="H1967" s="24" t="s">
        <v>3302</v>
      </c>
      <c r="I1967" s="305" t="s">
        <v>26</v>
      </c>
      <c r="J1967" s="259"/>
      <c r="K1967" s="260"/>
    </row>
    <row r="1968" spans="1:11" ht="25">
      <c r="A1968" s="261"/>
      <c r="B1968" s="157"/>
      <c r="C1968" s="290"/>
      <c r="D1968" s="69" t="s">
        <v>3303</v>
      </c>
      <c r="E1968" s="16" t="s">
        <v>3304</v>
      </c>
      <c r="F1968" s="12" t="s">
        <v>16</v>
      </c>
      <c r="G1968" s="16" t="s">
        <v>3305</v>
      </c>
      <c r="H1968" s="16" t="s">
        <v>3306</v>
      </c>
      <c r="I1968" s="301" t="s">
        <v>19</v>
      </c>
      <c r="J1968" s="263"/>
      <c r="K1968" s="264"/>
    </row>
    <row r="1969" spans="1:11" ht="25">
      <c r="A1969" s="261"/>
      <c r="B1969" s="157"/>
      <c r="C1969" s="290"/>
      <c r="D1969" s="70" t="s">
        <v>3307</v>
      </c>
      <c r="E1969" s="16" t="s">
        <v>3308</v>
      </c>
      <c r="F1969" s="262" t="s">
        <v>23</v>
      </c>
      <c r="G1969" s="16" t="s">
        <v>3309</v>
      </c>
      <c r="H1969" s="16" t="s">
        <v>3310</v>
      </c>
      <c r="I1969" s="301" t="s">
        <v>26</v>
      </c>
      <c r="J1969" s="263"/>
      <c r="K1969" s="264"/>
    </row>
    <row r="1970" spans="1:11" ht="25">
      <c r="A1970" s="261"/>
      <c r="B1970" s="157"/>
      <c r="C1970" s="290"/>
      <c r="D1970" s="17" t="s">
        <v>3311</v>
      </c>
      <c r="E1970" s="16" t="s">
        <v>3312</v>
      </c>
      <c r="F1970" s="262" t="s">
        <v>16</v>
      </c>
      <c r="G1970" s="16" t="s">
        <v>3313</v>
      </c>
      <c r="H1970" s="16" t="s">
        <v>3314</v>
      </c>
      <c r="I1970" s="301" t="s">
        <v>206</v>
      </c>
      <c r="J1970" s="263"/>
      <c r="K1970" s="264"/>
    </row>
    <row r="1971" spans="1:11" ht="25.5" thickBot="1">
      <c r="A1971" s="261"/>
      <c r="B1971" s="157"/>
      <c r="C1971" s="291"/>
      <c r="D1971" s="21" t="s">
        <v>3315</v>
      </c>
      <c r="E1971" s="20" t="s">
        <v>3316</v>
      </c>
      <c r="F1971" s="262" t="s">
        <v>16</v>
      </c>
      <c r="G1971" s="20" t="s">
        <v>3317</v>
      </c>
      <c r="H1971" s="20" t="s">
        <v>3318</v>
      </c>
      <c r="I1971" s="302" t="s">
        <v>26</v>
      </c>
      <c r="J1971" s="266"/>
      <c r="K1971" s="267"/>
    </row>
    <row r="1972" spans="1:11" ht="25.5" thickBot="1">
      <c r="A1972" s="272" t="s">
        <v>3319</v>
      </c>
      <c r="B1972" s="169" t="s">
        <v>3320</v>
      </c>
      <c r="C1972" s="292" t="s">
        <v>3321</v>
      </c>
      <c r="D1972" s="29" t="s">
        <v>3322</v>
      </c>
      <c r="E1972" s="26" t="s">
        <v>3323</v>
      </c>
      <c r="F1972" s="35" t="s">
        <v>23</v>
      </c>
      <c r="G1972" s="273" t="s">
        <v>3324</v>
      </c>
      <c r="H1972" s="273" t="s">
        <v>3325</v>
      </c>
      <c r="I1972" s="300" t="s">
        <v>26</v>
      </c>
      <c r="J1972" s="274" t="s">
        <v>20</v>
      </c>
      <c r="K1972" s="275"/>
    </row>
    <row r="1973" spans="1:11" ht="25">
      <c r="A1973" s="276"/>
      <c r="B1973" s="164"/>
      <c r="C1973" s="293"/>
      <c r="D1973" s="88" t="s">
        <v>3326</v>
      </c>
      <c r="E1973" s="30" t="s">
        <v>3327</v>
      </c>
      <c r="F1973" s="279" t="s">
        <v>16</v>
      </c>
      <c r="G1973" s="30" t="s">
        <v>3328</v>
      </c>
      <c r="H1973" s="30" t="s">
        <v>3329</v>
      </c>
      <c r="I1973" s="301" t="s">
        <v>19</v>
      </c>
      <c r="J1973" s="277"/>
      <c r="K1973" s="278"/>
    </row>
    <row r="1974" spans="1:11" ht="25">
      <c r="A1974" s="276"/>
      <c r="B1974" s="164"/>
      <c r="C1974" s="293"/>
      <c r="D1974" s="93" t="s">
        <v>3330</v>
      </c>
      <c r="E1974" s="30" t="s">
        <v>3331</v>
      </c>
      <c r="F1974" s="31" t="s">
        <v>16</v>
      </c>
      <c r="G1974" s="30" t="s">
        <v>3332</v>
      </c>
      <c r="H1974" s="30" t="s">
        <v>3333</v>
      </c>
      <c r="I1974" s="301" t="s">
        <v>26</v>
      </c>
      <c r="J1974" s="277"/>
      <c r="K1974" s="278"/>
    </row>
    <row r="1975" spans="1:11" ht="25.5" thickBot="1">
      <c r="A1975" s="276"/>
      <c r="B1975" s="164"/>
      <c r="C1975" s="293"/>
      <c r="D1975" s="93" t="s">
        <v>3334</v>
      </c>
      <c r="E1975" s="30" t="s">
        <v>3335</v>
      </c>
      <c r="F1975" s="31" t="s">
        <v>16</v>
      </c>
      <c r="G1975" s="30" t="s">
        <v>3336</v>
      </c>
      <c r="H1975" s="30" t="s">
        <v>3337</v>
      </c>
      <c r="I1975" s="301" t="s">
        <v>26</v>
      </c>
      <c r="J1975" s="277"/>
      <c r="K1975" s="278"/>
    </row>
    <row r="1976" spans="1:11" ht="25.5" thickBot="1">
      <c r="A1976" s="276"/>
      <c r="B1976" s="164"/>
      <c r="C1976" s="293"/>
      <c r="D1976" s="32" t="s">
        <v>3338</v>
      </c>
      <c r="E1976" s="30" t="s">
        <v>3339</v>
      </c>
      <c r="F1976" s="27" t="s">
        <v>23</v>
      </c>
      <c r="G1976" s="30" t="s">
        <v>3340</v>
      </c>
      <c r="H1976" s="30" t="s">
        <v>3341</v>
      </c>
      <c r="I1976" s="301" t="s">
        <v>26</v>
      </c>
      <c r="J1976" s="277"/>
      <c r="K1976" s="278"/>
    </row>
    <row r="1977" spans="1:11" ht="25">
      <c r="A1977" s="276"/>
      <c r="B1977" s="164"/>
      <c r="C1977" s="294" t="s">
        <v>3342</v>
      </c>
      <c r="D1977" s="28" t="s">
        <v>3343</v>
      </c>
      <c r="E1977" s="38" t="s">
        <v>3344</v>
      </c>
      <c r="F1977" s="31" t="s">
        <v>58</v>
      </c>
      <c r="G1977" s="273" t="s">
        <v>3345</v>
      </c>
      <c r="H1977" s="273" t="s">
        <v>3346</v>
      </c>
      <c r="I1977" s="300" t="s">
        <v>19</v>
      </c>
      <c r="J1977" s="274"/>
      <c r="K1977" s="275"/>
    </row>
    <row r="1978" spans="1:11" ht="25.5" thickBot="1">
      <c r="A1978" s="276"/>
      <c r="B1978" s="164"/>
      <c r="C1978" s="295"/>
      <c r="D1978" s="88" t="s">
        <v>3347</v>
      </c>
      <c r="E1978" s="30" t="s">
        <v>3348</v>
      </c>
      <c r="F1978" s="31" t="s">
        <v>23</v>
      </c>
      <c r="G1978" s="30" t="s">
        <v>3349</v>
      </c>
      <c r="H1978" s="30" t="s">
        <v>3350</v>
      </c>
      <c r="I1978" s="301" t="s">
        <v>26</v>
      </c>
      <c r="J1978" s="277"/>
      <c r="K1978" s="278"/>
    </row>
    <row r="1979" spans="1:11" ht="25">
      <c r="A1979" s="276"/>
      <c r="B1979" s="164"/>
      <c r="C1979" s="295"/>
      <c r="D1979" s="93" t="s">
        <v>3351</v>
      </c>
      <c r="E1979" s="30" t="s">
        <v>3352</v>
      </c>
      <c r="F1979" s="27" t="s">
        <v>16</v>
      </c>
      <c r="G1979" s="30" t="s">
        <v>3353</v>
      </c>
      <c r="H1979" s="30" t="s">
        <v>3354</v>
      </c>
      <c r="I1979" s="301" t="s">
        <v>206</v>
      </c>
      <c r="J1979" s="277"/>
      <c r="K1979" s="278"/>
    </row>
    <row r="1980" spans="1:11" ht="25">
      <c r="A1980" s="276"/>
      <c r="B1980" s="164"/>
      <c r="C1980" s="295"/>
      <c r="D1980" s="93" t="s">
        <v>3355</v>
      </c>
      <c r="E1980" s="30" t="s">
        <v>3356</v>
      </c>
      <c r="F1980" s="31" t="s">
        <v>23</v>
      </c>
      <c r="G1980" s="30" t="s">
        <v>3263</v>
      </c>
      <c r="H1980" s="30" t="s">
        <v>3357</v>
      </c>
      <c r="I1980" s="301" t="s">
        <v>19</v>
      </c>
      <c r="J1980" s="277"/>
      <c r="K1980" s="278"/>
    </row>
    <row r="1981" spans="1:11" ht="25.5" thickBot="1">
      <c r="A1981" s="276"/>
      <c r="B1981" s="164"/>
      <c r="C1981" s="295"/>
      <c r="D1981" s="32" t="s">
        <v>3358</v>
      </c>
      <c r="E1981" s="30" t="s">
        <v>3359</v>
      </c>
      <c r="F1981" s="31" t="s">
        <v>16</v>
      </c>
      <c r="G1981" s="30" t="s">
        <v>3360</v>
      </c>
      <c r="H1981" s="30" t="s">
        <v>3361</v>
      </c>
      <c r="I1981" s="301" t="s">
        <v>26</v>
      </c>
      <c r="J1981" s="277"/>
      <c r="K1981" s="278"/>
    </row>
    <row r="1982" spans="1:11" ht="25">
      <c r="A1982" s="276"/>
      <c r="B1982" s="164"/>
      <c r="C1982" s="294" t="s">
        <v>3362</v>
      </c>
      <c r="D1982" s="28" t="s">
        <v>3363</v>
      </c>
      <c r="E1982" s="38" t="s">
        <v>3364</v>
      </c>
      <c r="F1982" s="31" t="s">
        <v>16</v>
      </c>
      <c r="G1982" s="273" t="s">
        <v>3365</v>
      </c>
      <c r="H1982" s="273" t="s">
        <v>3366</v>
      </c>
      <c r="I1982" s="300" t="s">
        <v>26</v>
      </c>
      <c r="J1982" s="274"/>
      <c r="K1982" s="275"/>
    </row>
    <row r="1983" spans="1:11" ht="25.5" thickBot="1">
      <c r="A1983" s="276"/>
      <c r="B1983" s="164"/>
      <c r="C1983" s="295"/>
      <c r="D1983" s="88" t="s">
        <v>3367</v>
      </c>
      <c r="E1983" s="30" t="s">
        <v>3368</v>
      </c>
      <c r="F1983" s="35" t="s">
        <v>23</v>
      </c>
      <c r="G1983" s="30" t="s">
        <v>3369</v>
      </c>
      <c r="H1983" s="30" t="s">
        <v>3370</v>
      </c>
      <c r="I1983" s="301" t="s">
        <v>26</v>
      </c>
      <c r="J1983" s="277"/>
      <c r="K1983" s="278"/>
    </row>
    <row r="1984" spans="1:11" ht="25">
      <c r="A1984" s="276"/>
      <c r="B1984" s="164"/>
      <c r="C1984" s="295"/>
      <c r="D1984" s="93" t="s">
        <v>3371</v>
      </c>
      <c r="E1984" s="30" t="s">
        <v>3372</v>
      </c>
      <c r="F1984" s="279" t="s">
        <v>16</v>
      </c>
      <c r="G1984" s="30" t="s">
        <v>3353</v>
      </c>
      <c r="H1984" s="30" t="s">
        <v>3373</v>
      </c>
      <c r="I1984" s="301" t="s">
        <v>206</v>
      </c>
      <c r="J1984" s="277"/>
      <c r="K1984" s="278"/>
    </row>
    <row r="1985" spans="1:11" ht="25">
      <c r="A1985" s="276"/>
      <c r="B1985" s="164"/>
      <c r="C1985" s="295"/>
      <c r="D1985" s="32" t="s">
        <v>3374</v>
      </c>
      <c r="E1985" s="30" t="s">
        <v>3375</v>
      </c>
      <c r="F1985" s="31" t="s">
        <v>16</v>
      </c>
      <c r="G1985" s="30" t="s">
        <v>3376</v>
      </c>
      <c r="H1985" s="30" t="s">
        <v>3377</v>
      </c>
      <c r="I1985" s="301" t="s">
        <v>26</v>
      </c>
      <c r="J1985" s="277"/>
      <c r="K1985" s="278"/>
    </row>
    <row r="1986" spans="1:11" ht="25.5" thickBot="1">
      <c r="A1986" s="276"/>
      <c r="B1986" s="164"/>
      <c r="C1986" s="296"/>
      <c r="D1986" s="36" t="s">
        <v>3378</v>
      </c>
      <c r="E1986" s="34" t="s">
        <v>3379</v>
      </c>
      <c r="F1986" s="31" t="s">
        <v>16</v>
      </c>
      <c r="G1986" s="34" t="s">
        <v>3380</v>
      </c>
      <c r="H1986" s="34" t="s">
        <v>3381</v>
      </c>
      <c r="I1986" s="302" t="s">
        <v>26</v>
      </c>
      <c r="J1986" s="281"/>
      <c r="K1986" s="282"/>
    </row>
    <row r="1987" spans="1:11" ht="25">
      <c r="A1987" s="276"/>
      <c r="B1987" s="164"/>
      <c r="C1987" s="294" t="s">
        <v>3382</v>
      </c>
      <c r="D1987" s="28" t="s">
        <v>3383</v>
      </c>
      <c r="E1987" s="38" t="s">
        <v>3384</v>
      </c>
      <c r="F1987" s="27" t="s">
        <v>23</v>
      </c>
      <c r="G1987" s="273" t="s">
        <v>3385</v>
      </c>
      <c r="H1987" s="273" t="s">
        <v>3386</v>
      </c>
      <c r="I1987" s="300" t="s">
        <v>26</v>
      </c>
      <c r="J1987" s="274"/>
      <c r="K1987" s="275"/>
    </row>
    <row r="1988" spans="1:11" ht="25">
      <c r="A1988" s="276"/>
      <c r="B1988" s="164"/>
      <c r="C1988" s="295"/>
      <c r="D1988" s="88" t="s">
        <v>3387</v>
      </c>
      <c r="E1988" s="30" t="s">
        <v>3388</v>
      </c>
      <c r="F1988" s="31" t="s">
        <v>23</v>
      </c>
      <c r="G1988" s="30" t="s">
        <v>3389</v>
      </c>
      <c r="H1988" s="30" t="s">
        <v>3390</v>
      </c>
      <c r="I1988" s="301" t="s">
        <v>26</v>
      </c>
      <c r="J1988" s="277"/>
      <c r="K1988" s="278"/>
    </row>
    <row r="1989" spans="1:11" ht="25">
      <c r="A1989" s="276"/>
      <c r="B1989" s="164"/>
      <c r="C1989" s="295"/>
      <c r="D1989" s="93" t="s">
        <v>3391</v>
      </c>
      <c r="E1989" s="30" t="s">
        <v>3392</v>
      </c>
      <c r="F1989" s="31" t="s">
        <v>16</v>
      </c>
      <c r="G1989" s="30" t="s">
        <v>3393</v>
      </c>
      <c r="H1989" s="30" t="s">
        <v>3394</v>
      </c>
      <c r="I1989" s="301" t="s">
        <v>26</v>
      </c>
      <c r="J1989" s="277"/>
      <c r="K1989" s="278"/>
    </row>
    <row r="1990" spans="1:11" ht="25.5" thickBot="1">
      <c r="A1990" s="276"/>
      <c r="B1990" s="164"/>
      <c r="C1990" s="295"/>
      <c r="D1990" s="32" t="s">
        <v>3395</v>
      </c>
      <c r="E1990" s="30" t="s">
        <v>3396</v>
      </c>
      <c r="F1990" s="31" t="s">
        <v>16</v>
      </c>
      <c r="G1990" s="30" t="s">
        <v>3397</v>
      </c>
      <c r="H1990" s="30" t="s">
        <v>3398</v>
      </c>
      <c r="I1990" s="301" t="s">
        <v>26</v>
      </c>
      <c r="J1990" s="277"/>
      <c r="K1990" s="278"/>
    </row>
    <row r="1991" spans="1:11" ht="25.5" thickBot="1">
      <c r="A1991" s="276"/>
      <c r="B1991" s="164"/>
      <c r="C1991" s="296"/>
      <c r="D1991" s="36" t="s">
        <v>3399</v>
      </c>
      <c r="E1991" s="34" t="s">
        <v>3400</v>
      </c>
      <c r="F1991" s="27" t="s">
        <v>23</v>
      </c>
      <c r="G1991" s="34" t="s">
        <v>3401</v>
      </c>
      <c r="H1991" s="34" t="s">
        <v>3402</v>
      </c>
      <c r="I1991" s="302" t="s">
        <v>26</v>
      </c>
      <c r="J1991" s="281"/>
      <c r="K1991" s="282"/>
    </row>
    <row r="1992" spans="1:11" ht="25">
      <c r="A1992" s="276"/>
      <c r="B1992" s="164"/>
      <c r="C1992" s="294" t="s">
        <v>3403</v>
      </c>
      <c r="D1992" s="28" t="s">
        <v>3404</v>
      </c>
      <c r="E1992" s="38" t="s">
        <v>3405</v>
      </c>
      <c r="F1992" s="31" t="s">
        <v>23</v>
      </c>
      <c r="G1992" s="273" t="s">
        <v>3406</v>
      </c>
      <c r="H1992" s="273" t="s">
        <v>3407</v>
      </c>
      <c r="I1992" s="300" t="s">
        <v>19</v>
      </c>
      <c r="J1992" s="274"/>
      <c r="K1992" s="275"/>
    </row>
    <row r="1993" spans="1:11" ht="25.5" thickBot="1">
      <c r="A1993" s="276"/>
      <c r="B1993" s="164"/>
      <c r="C1993" s="295"/>
      <c r="D1993" s="88" t="s">
        <v>3408</v>
      </c>
      <c r="E1993" s="30" t="s">
        <v>3409</v>
      </c>
      <c r="F1993" s="31" t="s">
        <v>58</v>
      </c>
      <c r="G1993" s="30" t="s">
        <v>3410</v>
      </c>
      <c r="H1993" s="30" t="s">
        <v>3411</v>
      </c>
      <c r="I1993" s="301" t="s">
        <v>19</v>
      </c>
      <c r="J1993" s="277"/>
      <c r="K1993" s="278"/>
    </row>
    <row r="1994" spans="1:11" ht="25">
      <c r="A1994" s="276"/>
      <c r="B1994" s="164"/>
      <c r="C1994" s="295"/>
      <c r="D1994" s="93" t="s">
        <v>3412</v>
      </c>
      <c r="E1994" s="30" t="s">
        <v>3413</v>
      </c>
      <c r="F1994" s="279" t="s">
        <v>16</v>
      </c>
      <c r="G1994" s="30" t="s">
        <v>3414</v>
      </c>
      <c r="H1994" s="30" t="s">
        <v>3415</v>
      </c>
      <c r="I1994" s="301" t="s">
        <v>26</v>
      </c>
      <c r="J1994" s="277"/>
      <c r="K1994" s="278"/>
    </row>
    <row r="1995" spans="1:11" ht="25">
      <c r="A1995" s="276"/>
      <c r="B1995" s="164"/>
      <c r="C1995" s="295"/>
      <c r="D1995" s="32" t="s">
        <v>3416</v>
      </c>
      <c r="E1995" s="30" t="s">
        <v>3417</v>
      </c>
      <c r="F1995" s="31" t="s">
        <v>16</v>
      </c>
      <c r="G1995" s="30" t="s">
        <v>3418</v>
      </c>
      <c r="H1995" s="30" t="s">
        <v>3419</v>
      </c>
      <c r="I1995" s="301" t="s">
        <v>26</v>
      </c>
      <c r="J1995" s="277"/>
      <c r="K1995" s="278"/>
    </row>
    <row r="1996" spans="1:11" ht="25.5" thickBot="1">
      <c r="A1996" s="276"/>
      <c r="B1996" s="164"/>
      <c r="C1996" s="296"/>
      <c r="D1996" s="36" t="s">
        <v>3420</v>
      </c>
      <c r="E1996" s="34" t="s">
        <v>3421</v>
      </c>
      <c r="F1996" s="31" t="s">
        <v>16</v>
      </c>
      <c r="G1996" s="34" t="s">
        <v>3422</v>
      </c>
      <c r="H1996" s="34" t="s">
        <v>3423</v>
      </c>
      <c r="I1996" s="302" t="s">
        <v>26</v>
      </c>
      <c r="J1996" s="281"/>
      <c r="K1996" s="282"/>
    </row>
    <row r="1997" spans="1:11" ht="25">
      <c r="A1997" s="276"/>
      <c r="B1997" s="169" t="s">
        <v>3424</v>
      </c>
      <c r="C1997" s="292" t="s">
        <v>3425</v>
      </c>
      <c r="D1997" s="283" t="s">
        <v>3426</v>
      </c>
      <c r="E1997" s="26" t="s">
        <v>3427</v>
      </c>
      <c r="F1997" s="27" t="s">
        <v>23</v>
      </c>
      <c r="G1997" s="273" t="s">
        <v>3428</v>
      </c>
      <c r="H1997" s="273" t="s">
        <v>3429</v>
      </c>
      <c r="I1997" s="300" t="s">
        <v>26</v>
      </c>
      <c r="J1997" s="274"/>
      <c r="K1997" s="275"/>
    </row>
    <row r="1998" spans="1:11" ht="25">
      <c r="A1998" s="276"/>
      <c r="B1998" s="164"/>
      <c r="C1998" s="293"/>
      <c r="D1998" s="88" t="s">
        <v>3430</v>
      </c>
      <c r="E1998" s="30" t="s">
        <v>3431</v>
      </c>
      <c r="F1998" s="31" t="s">
        <v>58</v>
      </c>
      <c r="G1998" s="30" t="s">
        <v>3353</v>
      </c>
      <c r="H1998" s="30" t="s">
        <v>3432</v>
      </c>
      <c r="I1998" s="301" t="s">
        <v>206</v>
      </c>
      <c r="J1998" s="277"/>
      <c r="K1998" s="278"/>
    </row>
    <row r="1999" spans="1:11" ht="25.5" thickBot="1">
      <c r="A1999" s="276"/>
      <c r="B1999" s="164"/>
      <c r="C1999" s="293"/>
      <c r="D1999" s="93" t="s">
        <v>3433</v>
      </c>
      <c r="E1999" s="30" t="s">
        <v>3434</v>
      </c>
      <c r="F1999" s="31" t="s">
        <v>23</v>
      </c>
      <c r="G1999" s="30" t="s">
        <v>3435</v>
      </c>
      <c r="H1999" s="30" t="s">
        <v>3436</v>
      </c>
      <c r="I1999" s="301" t="s">
        <v>26</v>
      </c>
      <c r="J1999" s="277"/>
      <c r="K1999" s="278"/>
    </row>
    <row r="2000" spans="1:11" ht="25">
      <c r="A2000" s="276"/>
      <c r="B2000" s="164"/>
      <c r="C2000" s="293"/>
      <c r="D2000" s="32" t="s">
        <v>3437</v>
      </c>
      <c r="E2000" s="30" t="s">
        <v>3438</v>
      </c>
      <c r="F2000" s="27" t="s">
        <v>16</v>
      </c>
      <c r="G2000" s="30" t="s">
        <v>3439</v>
      </c>
      <c r="H2000" s="30" t="s">
        <v>3440</v>
      </c>
      <c r="I2000" s="301" t="s">
        <v>26</v>
      </c>
      <c r="J2000" s="277"/>
      <c r="K2000" s="278"/>
    </row>
    <row r="2001" spans="1:11" ht="25.5" thickBot="1">
      <c r="A2001" s="276"/>
      <c r="B2001" s="164"/>
      <c r="C2001" s="297"/>
      <c r="D2001" s="36" t="s">
        <v>3441</v>
      </c>
      <c r="E2001" s="34" t="s">
        <v>3442</v>
      </c>
      <c r="F2001" s="31" t="s">
        <v>23</v>
      </c>
      <c r="G2001" s="34" t="s">
        <v>3443</v>
      </c>
      <c r="H2001" s="34" t="s">
        <v>3444</v>
      </c>
      <c r="I2001" s="302" t="s">
        <v>206</v>
      </c>
      <c r="J2001" s="281"/>
      <c r="K2001" s="282"/>
    </row>
    <row r="2002" spans="1:11" ht="25">
      <c r="A2002" s="276"/>
      <c r="B2002" s="164"/>
      <c r="C2002" s="294" t="s">
        <v>3445</v>
      </c>
      <c r="D2002" s="28" t="s">
        <v>3446</v>
      </c>
      <c r="E2002" s="38" t="s">
        <v>3447</v>
      </c>
      <c r="F2002" s="31" t="s">
        <v>16</v>
      </c>
      <c r="G2002" s="273" t="s">
        <v>3448</v>
      </c>
      <c r="H2002" s="273" t="s">
        <v>3449</v>
      </c>
      <c r="I2002" s="300" t="s">
        <v>26</v>
      </c>
      <c r="J2002" s="274"/>
      <c r="K2002" s="275"/>
    </row>
    <row r="2003" spans="1:11" ht="25">
      <c r="A2003" s="276"/>
      <c r="B2003" s="164"/>
      <c r="C2003" s="295"/>
      <c r="D2003" s="88" t="s">
        <v>3450</v>
      </c>
      <c r="E2003" s="30" t="s">
        <v>3451</v>
      </c>
      <c r="F2003" s="31" t="s">
        <v>16</v>
      </c>
      <c r="G2003" s="30" t="s">
        <v>3452</v>
      </c>
      <c r="H2003" s="30" t="s">
        <v>3453</v>
      </c>
      <c r="I2003" s="301" t="s">
        <v>26</v>
      </c>
      <c r="J2003" s="277"/>
      <c r="K2003" s="278"/>
    </row>
    <row r="2004" spans="1:11" ht="25.5" thickBot="1">
      <c r="A2004" s="276"/>
      <c r="B2004" s="164"/>
      <c r="C2004" s="295"/>
      <c r="D2004" s="93" t="s">
        <v>3454</v>
      </c>
      <c r="E2004" s="30" t="s">
        <v>3455</v>
      </c>
      <c r="F2004" s="35" t="s">
        <v>23</v>
      </c>
      <c r="G2004" s="30" t="s">
        <v>3456</v>
      </c>
      <c r="H2004" s="30" t="s">
        <v>3457</v>
      </c>
      <c r="I2004" s="301" t="s">
        <v>26</v>
      </c>
      <c r="J2004" s="277"/>
      <c r="K2004" s="278"/>
    </row>
    <row r="2005" spans="1:11" ht="25">
      <c r="A2005" s="276"/>
      <c r="B2005" s="164"/>
      <c r="C2005" s="295"/>
      <c r="D2005" s="32" t="s">
        <v>3458</v>
      </c>
      <c r="E2005" s="30" t="s">
        <v>3459</v>
      </c>
      <c r="F2005" s="279" t="s">
        <v>16</v>
      </c>
      <c r="G2005" s="30" t="s">
        <v>3460</v>
      </c>
      <c r="H2005" s="30" t="s">
        <v>3461</v>
      </c>
      <c r="I2005" s="301" t="s">
        <v>26</v>
      </c>
      <c r="J2005" s="277"/>
      <c r="K2005" s="278"/>
    </row>
    <row r="2006" spans="1:11" ht="25.5" thickBot="1">
      <c r="A2006" s="276"/>
      <c r="B2006" s="164"/>
      <c r="C2006" s="296"/>
      <c r="D2006" s="36" t="s">
        <v>3462</v>
      </c>
      <c r="E2006" s="34" t="s">
        <v>3463</v>
      </c>
      <c r="F2006" s="31" t="s">
        <v>16</v>
      </c>
      <c r="G2006" s="34" t="s">
        <v>3464</v>
      </c>
      <c r="H2006" s="34" t="s">
        <v>3465</v>
      </c>
      <c r="I2006" s="302" t="s">
        <v>26</v>
      </c>
      <c r="J2006" s="281"/>
      <c r="K2006" s="282"/>
    </row>
    <row r="2007" spans="1:11" ht="25.5" thickBot="1">
      <c r="A2007" s="276"/>
      <c r="B2007" s="164"/>
      <c r="C2007" s="294" t="s">
        <v>3466</v>
      </c>
      <c r="D2007" s="28" t="s">
        <v>3467</v>
      </c>
      <c r="E2007" s="38" t="s">
        <v>3468</v>
      </c>
      <c r="F2007" s="31" t="s">
        <v>16</v>
      </c>
      <c r="G2007" s="273" t="s">
        <v>3469</v>
      </c>
      <c r="H2007" s="273" t="s">
        <v>3470</v>
      </c>
      <c r="I2007" s="300" t="s">
        <v>26</v>
      </c>
      <c r="J2007" s="274"/>
      <c r="K2007" s="275"/>
    </row>
    <row r="2008" spans="1:11" ht="25">
      <c r="A2008" s="276"/>
      <c r="B2008" s="164"/>
      <c r="C2008" s="295"/>
      <c r="D2008" s="88" t="s">
        <v>3471</v>
      </c>
      <c r="E2008" s="30" t="s">
        <v>3472</v>
      </c>
      <c r="F2008" s="27" t="s">
        <v>23</v>
      </c>
      <c r="G2008" s="30" t="s">
        <v>3203</v>
      </c>
      <c r="H2008" s="30" t="s">
        <v>3473</v>
      </c>
      <c r="I2008" s="301" t="s">
        <v>206</v>
      </c>
      <c r="J2008" s="277"/>
      <c r="K2008" s="278"/>
    </row>
    <row r="2009" spans="1:11" ht="25">
      <c r="A2009" s="276"/>
      <c r="B2009" s="164"/>
      <c r="C2009" s="295"/>
      <c r="D2009" s="93" t="s">
        <v>3474</v>
      </c>
      <c r="E2009" s="30" t="s">
        <v>3475</v>
      </c>
      <c r="F2009" s="31" t="s">
        <v>23</v>
      </c>
      <c r="G2009" s="30" t="s">
        <v>3476</v>
      </c>
      <c r="H2009" s="30" t="s">
        <v>3477</v>
      </c>
      <c r="I2009" s="301" t="s">
        <v>206</v>
      </c>
      <c r="J2009" s="277"/>
      <c r="K2009" s="278"/>
    </row>
    <row r="2010" spans="1:11" ht="25">
      <c r="A2010" s="276"/>
      <c r="B2010" s="164"/>
      <c r="C2010" s="295"/>
      <c r="D2010" s="32" t="s">
        <v>3478</v>
      </c>
      <c r="E2010" s="30" t="s">
        <v>3479</v>
      </c>
      <c r="F2010" s="31" t="s">
        <v>16</v>
      </c>
      <c r="G2010" s="30" t="s">
        <v>3480</v>
      </c>
      <c r="H2010" s="30" t="s">
        <v>3481</v>
      </c>
      <c r="I2010" s="301" t="s">
        <v>26</v>
      </c>
      <c r="J2010" s="277"/>
      <c r="K2010" s="278"/>
    </row>
    <row r="2011" spans="1:11" ht="25.5" thickBot="1">
      <c r="A2011" s="276"/>
      <c r="B2011" s="164"/>
      <c r="C2011" s="296"/>
      <c r="D2011" s="36" t="s">
        <v>3482</v>
      </c>
      <c r="E2011" s="34" t="s">
        <v>3483</v>
      </c>
      <c r="F2011" s="31" t="s">
        <v>16</v>
      </c>
      <c r="G2011" s="34" t="s">
        <v>3484</v>
      </c>
      <c r="H2011" s="34" t="s">
        <v>3485</v>
      </c>
      <c r="I2011" s="302" t="s">
        <v>206</v>
      </c>
      <c r="J2011" s="281"/>
      <c r="K2011" s="282"/>
    </row>
    <row r="2012" spans="1:11" ht="25">
      <c r="A2012" s="276"/>
      <c r="B2012" s="164"/>
      <c r="C2012" s="294" t="s">
        <v>3486</v>
      </c>
      <c r="D2012" s="28" t="s">
        <v>3487</v>
      </c>
      <c r="E2012" s="38" t="s">
        <v>3488</v>
      </c>
      <c r="F2012" s="27" t="s">
        <v>23</v>
      </c>
      <c r="G2012" s="273" t="s">
        <v>3489</v>
      </c>
      <c r="H2012" s="273" t="s">
        <v>3490</v>
      </c>
      <c r="I2012" s="300" t="s">
        <v>26</v>
      </c>
      <c r="J2012" s="274"/>
      <c r="K2012" s="275"/>
    </row>
    <row r="2013" spans="1:11" ht="25">
      <c r="A2013" s="276"/>
      <c r="B2013" s="164"/>
      <c r="C2013" s="295"/>
      <c r="D2013" s="88" t="s">
        <v>3491</v>
      </c>
      <c r="E2013" s="30" t="s">
        <v>3492</v>
      </c>
      <c r="F2013" s="31" t="s">
        <v>23</v>
      </c>
      <c r="G2013" s="30" t="s">
        <v>3493</v>
      </c>
      <c r="H2013" s="30" t="s">
        <v>3494</v>
      </c>
      <c r="I2013" s="301" t="s">
        <v>26</v>
      </c>
      <c r="J2013" s="277"/>
      <c r="K2013" s="278"/>
    </row>
    <row r="2014" spans="1:11" ht="25.5" thickBot="1">
      <c r="A2014" s="276"/>
      <c r="B2014" s="164"/>
      <c r="C2014" s="295"/>
      <c r="D2014" s="93" t="s">
        <v>3495</v>
      </c>
      <c r="E2014" s="30" t="s">
        <v>3496</v>
      </c>
      <c r="F2014" s="31" t="s">
        <v>16</v>
      </c>
      <c r="G2014" s="30" t="s">
        <v>3497</v>
      </c>
      <c r="H2014" s="30" t="s">
        <v>3498</v>
      </c>
      <c r="I2014" s="301" t="s">
        <v>26</v>
      </c>
      <c r="J2014" s="277"/>
      <c r="K2014" s="278"/>
    </row>
    <row r="2015" spans="1:11" ht="25">
      <c r="A2015" s="276"/>
      <c r="B2015" s="164"/>
      <c r="C2015" s="295"/>
      <c r="D2015" s="32" t="s">
        <v>3499</v>
      </c>
      <c r="E2015" s="30" t="s">
        <v>3500</v>
      </c>
      <c r="F2015" s="27" t="s">
        <v>23</v>
      </c>
      <c r="G2015" s="30" t="s">
        <v>3501</v>
      </c>
      <c r="H2015" s="30" t="s">
        <v>3502</v>
      </c>
      <c r="I2015" s="301" t="s">
        <v>19</v>
      </c>
      <c r="J2015" s="277"/>
      <c r="K2015" s="278"/>
    </row>
    <row r="2016" spans="1:11" ht="25.5" thickBot="1">
      <c r="A2016" s="276"/>
      <c r="B2016" s="164"/>
      <c r="C2016" s="296"/>
      <c r="D2016" s="36" t="s">
        <v>3503</v>
      </c>
      <c r="E2016" s="34" t="s">
        <v>3504</v>
      </c>
      <c r="F2016" s="31" t="s">
        <v>23</v>
      </c>
      <c r="G2016" s="34" t="s">
        <v>3505</v>
      </c>
      <c r="H2016" s="34" t="s">
        <v>3506</v>
      </c>
      <c r="I2016" s="302" t="s">
        <v>26</v>
      </c>
      <c r="J2016" s="281"/>
      <c r="K2016" s="282"/>
    </row>
    <row r="2017" spans="1:11" ht="25">
      <c r="A2017" s="276"/>
      <c r="B2017" s="164"/>
      <c r="C2017" s="294" t="s">
        <v>3507</v>
      </c>
      <c r="D2017" s="28" t="s">
        <v>3508</v>
      </c>
      <c r="E2017" s="38" t="s">
        <v>3509</v>
      </c>
      <c r="F2017" s="31" t="s">
        <v>16</v>
      </c>
      <c r="G2017" s="273" t="s">
        <v>3510</v>
      </c>
      <c r="H2017" s="273" t="s">
        <v>3511</v>
      </c>
      <c r="I2017" s="300" t="s">
        <v>26</v>
      </c>
      <c r="J2017" s="274"/>
      <c r="K2017" s="275"/>
    </row>
    <row r="2018" spans="1:11" ht="25.5" thickBot="1">
      <c r="A2018" s="276"/>
      <c r="B2018" s="164"/>
      <c r="C2018" s="295"/>
      <c r="D2018" s="88" t="s">
        <v>3512</v>
      </c>
      <c r="E2018" s="30" t="s">
        <v>3513</v>
      </c>
      <c r="F2018" s="31" t="s">
        <v>16</v>
      </c>
      <c r="G2018" s="30" t="s">
        <v>3514</v>
      </c>
      <c r="H2018" s="30" t="s">
        <v>3515</v>
      </c>
      <c r="I2018" s="301" t="s">
        <v>26</v>
      </c>
      <c r="J2018" s="277"/>
      <c r="K2018" s="278"/>
    </row>
    <row r="2019" spans="1:11" ht="25">
      <c r="A2019" s="276"/>
      <c r="B2019" s="164"/>
      <c r="C2019" s="295"/>
      <c r="D2019" s="93" t="s">
        <v>3516</v>
      </c>
      <c r="E2019" s="30" t="s">
        <v>3517</v>
      </c>
      <c r="F2019" s="27" t="s">
        <v>23</v>
      </c>
      <c r="G2019" s="30" t="s">
        <v>3518</v>
      </c>
      <c r="H2019" s="30" t="s">
        <v>3519</v>
      </c>
      <c r="I2019" s="301" t="s">
        <v>26</v>
      </c>
      <c r="J2019" s="277"/>
      <c r="K2019" s="278"/>
    </row>
    <row r="2020" spans="1:11" ht="25">
      <c r="A2020" s="276"/>
      <c r="B2020" s="164"/>
      <c r="C2020" s="295"/>
      <c r="D2020" s="32" t="s">
        <v>3520</v>
      </c>
      <c r="E2020" s="30" t="s">
        <v>3521</v>
      </c>
      <c r="F2020" s="31" t="s">
        <v>23</v>
      </c>
      <c r="G2020" s="30" t="s">
        <v>3522</v>
      </c>
      <c r="H2020" s="30" t="s">
        <v>3523</v>
      </c>
      <c r="I2020" s="301" t="s">
        <v>26</v>
      </c>
      <c r="J2020" s="277"/>
      <c r="K2020" s="278"/>
    </row>
    <row r="2021" spans="1:11" ht="25.5" thickBot="1">
      <c r="A2021" s="276"/>
      <c r="B2021" s="164"/>
      <c r="C2021" s="296"/>
      <c r="D2021" s="36" t="s">
        <v>3524</v>
      </c>
      <c r="E2021" s="34" t="s">
        <v>3525</v>
      </c>
      <c r="F2021" s="31" t="s">
        <v>58</v>
      </c>
      <c r="G2021" s="34" t="s">
        <v>3526</v>
      </c>
      <c r="H2021" s="34" t="s">
        <v>3527</v>
      </c>
      <c r="I2021" s="302" t="s">
        <v>26</v>
      </c>
      <c r="J2021" s="281"/>
      <c r="K2021" s="282"/>
    </row>
    <row r="2022" spans="1:11" ht="25">
      <c r="A2022" s="276"/>
      <c r="B2022" s="169" t="s">
        <v>3528</v>
      </c>
      <c r="C2022" s="292" t="s">
        <v>3529</v>
      </c>
      <c r="D2022" s="283" t="s">
        <v>3530</v>
      </c>
      <c r="E2022" s="26" t="s">
        <v>3531</v>
      </c>
      <c r="F2022" s="279" t="s">
        <v>16</v>
      </c>
      <c r="G2022" s="273" t="s">
        <v>3532</v>
      </c>
      <c r="H2022" s="273" t="s">
        <v>3533</v>
      </c>
      <c r="I2022" s="300" t="s">
        <v>26</v>
      </c>
      <c r="J2022" s="274"/>
      <c r="K2022" s="275"/>
    </row>
    <row r="2023" spans="1:11" ht="25.5" thickBot="1">
      <c r="A2023" s="276"/>
      <c r="B2023" s="164"/>
      <c r="C2023" s="293"/>
      <c r="D2023" s="93" t="s">
        <v>3534</v>
      </c>
      <c r="E2023" s="30" t="s">
        <v>3535</v>
      </c>
      <c r="F2023" s="31" t="s">
        <v>16</v>
      </c>
      <c r="G2023" s="30" t="s">
        <v>3536</v>
      </c>
      <c r="H2023" s="30" t="s">
        <v>3537</v>
      </c>
      <c r="I2023" s="301" t="s">
        <v>26</v>
      </c>
      <c r="J2023" s="277"/>
      <c r="K2023" s="278"/>
    </row>
    <row r="2024" spans="1:11" ht="25">
      <c r="A2024" s="276"/>
      <c r="B2024" s="164"/>
      <c r="C2024" s="293"/>
      <c r="D2024" s="93" t="s">
        <v>3538</v>
      </c>
      <c r="E2024" s="30" t="s">
        <v>3539</v>
      </c>
      <c r="F2024" s="27" t="s">
        <v>23</v>
      </c>
      <c r="G2024" s="30" t="s">
        <v>3540</v>
      </c>
      <c r="H2024" s="30" t="s">
        <v>3541</v>
      </c>
      <c r="I2024" s="301" t="s">
        <v>26</v>
      </c>
      <c r="J2024" s="277"/>
      <c r="K2024" s="278"/>
    </row>
    <row r="2025" spans="1:11" ht="25">
      <c r="A2025" s="276"/>
      <c r="B2025" s="164"/>
      <c r="C2025" s="293"/>
      <c r="D2025" s="32" t="s">
        <v>3542</v>
      </c>
      <c r="E2025" s="30" t="s">
        <v>3543</v>
      </c>
      <c r="F2025" s="31" t="s">
        <v>23</v>
      </c>
      <c r="G2025" s="30" t="s">
        <v>3544</v>
      </c>
      <c r="H2025" s="30" t="s">
        <v>3545</v>
      </c>
      <c r="I2025" s="301" t="s">
        <v>26</v>
      </c>
      <c r="J2025" s="277"/>
      <c r="K2025" s="278"/>
    </row>
    <row r="2026" spans="1:11" ht="25.5" thickBot="1">
      <c r="A2026" s="276"/>
      <c r="B2026" s="164"/>
      <c r="C2026" s="297"/>
      <c r="D2026" s="36" t="s">
        <v>3546</v>
      </c>
      <c r="E2026" s="34" t="s">
        <v>3547</v>
      </c>
      <c r="F2026" s="31" t="s">
        <v>16</v>
      </c>
      <c r="G2026" s="34" t="s">
        <v>3548</v>
      </c>
      <c r="H2026" s="34" t="s">
        <v>3549</v>
      </c>
      <c r="I2026" s="302" t="s">
        <v>206</v>
      </c>
      <c r="J2026" s="281"/>
      <c r="K2026" s="282"/>
    </row>
    <row r="2027" spans="1:11" ht="25.5" thickBot="1">
      <c r="A2027" s="276"/>
      <c r="B2027" s="164"/>
      <c r="C2027" s="294" t="s">
        <v>3550</v>
      </c>
      <c r="D2027" s="28" t="s">
        <v>3551</v>
      </c>
      <c r="E2027" s="38" t="s">
        <v>3552</v>
      </c>
      <c r="F2027" s="31" t="s">
        <v>16</v>
      </c>
      <c r="G2027" s="273" t="s">
        <v>3553</v>
      </c>
      <c r="H2027" s="273" t="s">
        <v>3554</v>
      </c>
      <c r="I2027" s="300" t="s">
        <v>26</v>
      </c>
      <c r="J2027" s="274"/>
      <c r="K2027" s="275"/>
    </row>
    <row r="2028" spans="1:11" ht="25">
      <c r="A2028" s="276"/>
      <c r="B2028" s="164"/>
      <c r="C2028" s="295"/>
      <c r="D2028" s="93" t="s">
        <v>3555</v>
      </c>
      <c r="E2028" s="30" t="s">
        <v>3556</v>
      </c>
      <c r="F2028" s="27" t="s">
        <v>23</v>
      </c>
      <c r="G2028" s="30" t="s">
        <v>3557</v>
      </c>
      <c r="H2028" s="30" t="s">
        <v>3558</v>
      </c>
      <c r="I2028" s="301" t="s">
        <v>26</v>
      </c>
      <c r="J2028" s="277"/>
      <c r="K2028" s="278"/>
    </row>
    <row r="2029" spans="1:11" ht="25">
      <c r="A2029" s="276"/>
      <c r="B2029" s="164"/>
      <c r="C2029" s="295"/>
      <c r="D2029" s="93" t="s">
        <v>3559</v>
      </c>
      <c r="E2029" s="30" t="s">
        <v>3560</v>
      </c>
      <c r="F2029" s="31" t="s">
        <v>23</v>
      </c>
      <c r="G2029" s="30" t="s">
        <v>3561</v>
      </c>
      <c r="H2029" s="30" t="s">
        <v>3562</v>
      </c>
      <c r="I2029" s="301" t="s">
        <v>26</v>
      </c>
      <c r="J2029" s="277"/>
      <c r="K2029" s="278"/>
    </row>
    <row r="2030" spans="1:11" ht="25.5" thickBot="1">
      <c r="A2030" s="276"/>
      <c r="B2030" s="164"/>
      <c r="C2030" s="295"/>
      <c r="D2030" s="32" t="s">
        <v>3563</v>
      </c>
      <c r="E2030" s="30" t="s">
        <v>3564</v>
      </c>
      <c r="F2030" s="31" t="s">
        <v>58</v>
      </c>
      <c r="G2030" s="30" t="s">
        <v>3565</v>
      </c>
      <c r="H2030" s="30" t="s">
        <v>3566</v>
      </c>
      <c r="I2030" s="301" t="s">
        <v>26</v>
      </c>
      <c r="J2030" s="277"/>
      <c r="K2030" s="278"/>
    </row>
    <row r="2031" spans="1:11" ht="25.5" thickBot="1">
      <c r="A2031" s="276"/>
      <c r="B2031" s="164"/>
      <c r="C2031" s="296"/>
      <c r="D2031" s="36" t="s">
        <v>3567</v>
      </c>
      <c r="E2031" s="34" t="s">
        <v>3568</v>
      </c>
      <c r="F2031" s="279" t="s">
        <v>16</v>
      </c>
      <c r="G2031" s="34" t="s">
        <v>3569</v>
      </c>
      <c r="H2031" s="34" t="s">
        <v>3570</v>
      </c>
      <c r="I2031" s="302" t="s">
        <v>26</v>
      </c>
      <c r="J2031" s="281"/>
      <c r="K2031" s="282"/>
    </row>
    <row r="2032" spans="1:11" ht="25">
      <c r="A2032" s="276"/>
      <c r="B2032" s="164"/>
      <c r="C2032" s="294" t="s">
        <v>3571</v>
      </c>
      <c r="D2032" s="28" t="s">
        <v>3572</v>
      </c>
      <c r="E2032" s="38" t="s">
        <v>3573</v>
      </c>
      <c r="F2032" s="31" t="s">
        <v>23</v>
      </c>
      <c r="G2032" s="273" t="s">
        <v>3469</v>
      </c>
      <c r="H2032" s="273" t="s">
        <v>3574</v>
      </c>
      <c r="I2032" s="300" t="s">
        <v>26</v>
      </c>
      <c r="J2032" s="274"/>
      <c r="K2032" s="275"/>
    </row>
    <row r="2033" spans="1:11" ht="25.5" thickBot="1">
      <c r="A2033" s="276"/>
      <c r="B2033" s="164"/>
      <c r="C2033" s="295"/>
      <c r="D2033" s="88" t="s">
        <v>3575</v>
      </c>
      <c r="E2033" s="30" t="s">
        <v>3576</v>
      </c>
      <c r="F2033" s="31" t="s">
        <v>16</v>
      </c>
      <c r="G2033" s="30" t="s">
        <v>3577</v>
      </c>
      <c r="H2033" s="30" t="s">
        <v>3578</v>
      </c>
      <c r="I2033" s="301" t="s">
        <v>26</v>
      </c>
      <c r="J2033" s="277"/>
      <c r="K2033" s="278"/>
    </row>
    <row r="2034" spans="1:11" ht="25">
      <c r="A2034" s="276"/>
      <c r="B2034" s="164"/>
      <c r="C2034" s="295"/>
      <c r="D2034" s="93" t="s">
        <v>3579</v>
      </c>
      <c r="E2034" s="30" t="s">
        <v>3580</v>
      </c>
      <c r="F2034" s="27" t="s">
        <v>23</v>
      </c>
      <c r="G2034" s="30" t="s">
        <v>3581</v>
      </c>
      <c r="H2034" s="30" t="s">
        <v>3582</v>
      </c>
      <c r="I2034" s="301" t="s">
        <v>26</v>
      </c>
      <c r="J2034" s="277"/>
      <c r="K2034" s="278"/>
    </row>
    <row r="2035" spans="1:11" ht="25">
      <c r="A2035" s="276"/>
      <c r="B2035" s="164"/>
      <c r="C2035" s="295"/>
      <c r="D2035" s="32" t="s">
        <v>3583</v>
      </c>
      <c r="E2035" s="30" t="s">
        <v>3584</v>
      </c>
      <c r="F2035" s="31" t="s">
        <v>23</v>
      </c>
      <c r="G2035" s="30" t="s">
        <v>3585</v>
      </c>
      <c r="H2035" s="30" t="s">
        <v>3586</v>
      </c>
      <c r="I2035" s="301" t="s">
        <v>26</v>
      </c>
      <c r="J2035" s="277"/>
      <c r="K2035" s="278"/>
    </row>
    <row r="2036" spans="1:11" ht="25.5" thickBot="1">
      <c r="A2036" s="276"/>
      <c r="B2036" s="164"/>
      <c r="C2036" s="296"/>
      <c r="D2036" s="36" t="s">
        <v>3587</v>
      </c>
      <c r="E2036" s="34" t="s">
        <v>3588</v>
      </c>
      <c r="F2036" s="31" t="s">
        <v>16</v>
      </c>
      <c r="G2036" s="34" t="s">
        <v>3589</v>
      </c>
      <c r="H2036" s="34" t="s">
        <v>3590</v>
      </c>
      <c r="I2036" s="302" t="s">
        <v>26</v>
      </c>
      <c r="J2036" s="281"/>
      <c r="K2036" s="282"/>
    </row>
    <row r="2037" spans="1:11" ht="25.5" thickBot="1">
      <c r="A2037" s="276"/>
      <c r="B2037" s="164"/>
      <c r="C2037" s="294" t="s">
        <v>3591</v>
      </c>
      <c r="D2037" s="28" t="s">
        <v>3592</v>
      </c>
      <c r="E2037" s="38" t="s">
        <v>3593</v>
      </c>
      <c r="F2037" s="31" t="s">
        <v>16</v>
      </c>
      <c r="G2037" s="273" t="s">
        <v>3489</v>
      </c>
      <c r="H2037" s="273" t="s">
        <v>3490</v>
      </c>
      <c r="I2037" s="300" t="s">
        <v>26</v>
      </c>
      <c r="J2037" s="274"/>
      <c r="K2037" s="275"/>
    </row>
    <row r="2038" spans="1:11" ht="25">
      <c r="A2038" s="276"/>
      <c r="B2038" s="164"/>
      <c r="C2038" s="295"/>
      <c r="D2038" s="88" t="s">
        <v>3594</v>
      </c>
      <c r="E2038" s="30" t="s">
        <v>3595</v>
      </c>
      <c r="F2038" s="27" t="s">
        <v>23</v>
      </c>
      <c r="G2038" s="30" t="s">
        <v>3596</v>
      </c>
      <c r="H2038" s="30" t="s">
        <v>3597</v>
      </c>
      <c r="I2038" s="301" t="s">
        <v>26</v>
      </c>
      <c r="J2038" s="277"/>
      <c r="K2038" s="278"/>
    </row>
    <row r="2039" spans="1:11" ht="25">
      <c r="A2039" s="276"/>
      <c r="B2039" s="164"/>
      <c r="C2039" s="295"/>
      <c r="D2039" s="93" t="s">
        <v>3598</v>
      </c>
      <c r="E2039" s="30" t="s">
        <v>3599</v>
      </c>
      <c r="F2039" s="31" t="s">
        <v>23</v>
      </c>
      <c r="G2039" s="30" t="s">
        <v>3600</v>
      </c>
      <c r="H2039" s="30" t="s">
        <v>3601</v>
      </c>
      <c r="I2039" s="301" t="s">
        <v>26</v>
      </c>
      <c r="J2039" s="277"/>
      <c r="K2039" s="278"/>
    </row>
    <row r="2040" spans="1:11" ht="25.5" thickBot="1">
      <c r="A2040" s="276"/>
      <c r="B2040" s="164"/>
      <c r="C2040" s="295"/>
      <c r="D2040" s="32" t="s">
        <v>3602</v>
      </c>
      <c r="E2040" s="30" t="s">
        <v>3603</v>
      </c>
      <c r="F2040" s="31" t="s">
        <v>58</v>
      </c>
      <c r="G2040" s="30" t="s">
        <v>3604</v>
      </c>
      <c r="H2040" s="30" t="s">
        <v>3605</v>
      </c>
      <c r="I2040" s="301" t="s">
        <v>26</v>
      </c>
      <c r="J2040" s="277"/>
      <c r="K2040" s="278"/>
    </row>
    <row r="2041" spans="1:11" ht="25.5" thickBot="1">
      <c r="A2041" s="276"/>
      <c r="B2041" s="164"/>
      <c r="C2041" s="296"/>
      <c r="D2041" s="36" t="s">
        <v>3606</v>
      </c>
      <c r="E2041" s="34" t="s">
        <v>3607</v>
      </c>
      <c r="F2041" s="279" t="s">
        <v>16</v>
      </c>
      <c r="G2041" s="34" t="s">
        <v>3608</v>
      </c>
      <c r="H2041" s="34" t="s">
        <v>3609</v>
      </c>
      <c r="I2041" s="302" t="s">
        <v>26</v>
      </c>
      <c r="J2041" s="281"/>
      <c r="K2041" s="282"/>
    </row>
    <row r="2042" spans="1:11" ht="25.5" thickBot="1">
      <c r="A2042" s="276"/>
      <c r="B2042" s="164"/>
      <c r="C2042" s="294" t="s">
        <v>3610</v>
      </c>
      <c r="D2042" s="28" t="s">
        <v>3611</v>
      </c>
      <c r="E2042" s="38" t="s">
        <v>3612</v>
      </c>
      <c r="F2042" s="31" t="s">
        <v>16</v>
      </c>
      <c r="G2042" s="273" t="s">
        <v>3613</v>
      </c>
      <c r="H2042" s="273" t="s">
        <v>3614</v>
      </c>
      <c r="I2042" s="300" t="s">
        <v>26</v>
      </c>
      <c r="J2042" s="274"/>
      <c r="K2042" s="275"/>
    </row>
    <row r="2043" spans="1:11" ht="25">
      <c r="A2043" s="276"/>
      <c r="B2043" s="164"/>
      <c r="C2043" s="295"/>
      <c r="D2043" s="88" t="s">
        <v>3615</v>
      </c>
      <c r="E2043" s="30" t="s">
        <v>3616</v>
      </c>
      <c r="F2043" s="27" t="s">
        <v>23</v>
      </c>
      <c r="G2043" s="30" t="s">
        <v>3518</v>
      </c>
      <c r="H2043" s="30" t="s">
        <v>3617</v>
      </c>
      <c r="I2043" s="301" t="s">
        <v>26</v>
      </c>
      <c r="J2043" s="277"/>
      <c r="K2043" s="278"/>
    </row>
    <row r="2044" spans="1:11" ht="25">
      <c r="A2044" s="276"/>
      <c r="B2044" s="164"/>
      <c r="C2044" s="295"/>
      <c r="D2044" s="93" t="s">
        <v>3618</v>
      </c>
      <c r="E2044" s="30" t="s">
        <v>3619</v>
      </c>
      <c r="F2044" s="31" t="s">
        <v>23</v>
      </c>
      <c r="G2044" s="30" t="s">
        <v>3620</v>
      </c>
      <c r="H2044" s="30" t="s">
        <v>3621</v>
      </c>
      <c r="I2044" s="301" t="s">
        <v>26</v>
      </c>
      <c r="J2044" s="277"/>
      <c r="K2044" s="278"/>
    </row>
    <row r="2045" spans="1:11" ht="25">
      <c r="A2045" s="276"/>
      <c r="B2045" s="164"/>
      <c r="C2045" s="295"/>
      <c r="D2045" s="32" t="s">
        <v>3622</v>
      </c>
      <c r="E2045" s="30" t="s">
        <v>3623</v>
      </c>
      <c r="F2045" s="31" t="s">
        <v>16</v>
      </c>
      <c r="G2045" s="30" t="s">
        <v>3624</v>
      </c>
      <c r="H2045" s="30" t="s">
        <v>3625</v>
      </c>
      <c r="I2045" s="301" t="s">
        <v>26</v>
      </c>
      <c r="J2045" s="277"/>
      <c r="K2045" s="278"/>
    </row>
    <row r="2046" spans="1:11" ht="25.5" thickBot="1">
      <c r="A2046" s="276"/>
      <c r="B2046" s="164"/>
      <c r="C2046" s="296"/>
      <c r="D2046" s="36" t="s">
        <v>3626</v>
      </c>
      <c r="E2046" s="34" t="s">
        <v>3627</v>
      </c>
      <c r="F2046" s="31" t="s">
        <v>58</v>
      </c>
      <c r="G2046" s="34" t="s">
        <v>3628</v>
      </c>
      <c r="H2046" s="34" t="s">
        <v>3629</v>
      </c>
      <c r="I2046" s="302" t="s">
        <v>26</v>
      </c>
      <c r="J2046" s="281"/>
      <c r="K2046" s="282"/>
    </row>
    <row r="2047" spans="1:11" ht="25.5" thickBot="1">
      <c r="A2047" s="276"/>
      <c r="B2047" s="164"/>
      <c r="C2047" s="294" t="s">
        <v>3630</v>
      </c>
      <c r="D2047" s="28" t="s">
        <v>3631</v>
      </c>
      <c r="E2047" s="38" t="s">
        <v>3632</v>
      </c>
      <c r="F2047" s="31" t="s">
        <v>23</v>
      </c>
      <c r="G2047" s="273" t="s">
        <v>3633</v>
      </c>
      <c r="H2047" s="273" t="s">
        <v>3634</v>
      </c>
      <c r="I2047" s="300" t="s">
        <v>26</v>
      </c>
      <c r="J2047" s="274"/>
      <c r="K2047" s="275"/>
    </row>
    <row r="2048" spans="1:11" ht="25">
      <c r="A2048" s="276"/>
      <c r="B2048" s="164"/>
      <c r="C2048" s="295"/>
      <c r="D2048" s="88" t="s">
        <v>3635</v>
      </c>
      <c r="E2048" s="30" t="s">
        <v>3636</v>
      </c>
      <c r="F2048" s="27" t="s">
        <v>16</v>
      </c>
      <c r="G2048" s="30" t="s">
        <v>3637</v>
      </c>
      <c r="H2048" s="30" t="s">
        <v>3638</v>
      </c>
      <c r="I2048" s="301" t="s">
        <v>26</v>
      </c>
      <c r="J2048" s="277"/>
      <c r="K2048" s="278"/>
    </row>
    <row r="2049" spans="1:11" ht="25">
      <c r="A2049" s="276"/>
      <c r="B2049" s="164"/>
      <c r="C2049" s="295"/>
      <c r="D2049" s="93" t="s">
        <v>3639</v>
      </c>
      <c r="E2049" s="30" t="s">
        <v>3640</v>
      </c>
      <c r="F2049" s="31" t="s">
        <v>23</v>
      </c>
      <c r="G2049" s="30" t="s">
        <v>3641</v>
      </c>
      <c r="H2049" s="30" t="s">
        <v>3642</v>
      </c>
      <c r="I2049" s="301" t="s">
        <v>26</v>
      </c>
      <c r="J2049" s="277"/>
      <c r="K2049" s="278"/>
    </row>
    <row r="2050" spans="1:11" ht="25">
      <c r="A2050" s="276"/>
      <c r="B2050" s="164"/>
      <c r="C2050" s="295"/>
      <c r="D2050" s="32" t="s">
        <v>3643</v>
      </c>
      <c r="E2050" s="30" t="s">
        <v>3644</v>
      </c>
      <c r="F2050" s="31" t="s">
        <v>16</v>
      </c>
      <c r="G2050" s="30" t="s">
        <v>3645</v>
      </c>
      <c r="H2050" s="30" t="s">
        <v>3646</v>
      </c>
      <c r="I2050" s="301" t="s">
        <v>26</v>
      </c>
      <c r="J2050" s="277"/>
      <c r="K2050" s="278"/>
    </row>
    <row r="2051" spans="1:11" ht="25.5" thickBot="1">
      <c r="A2051" s="284"/>
      <c r="B2051" s="165"/>
      <c r="C2051" s="296"/>
      <c r="D2051" s="36" t="s">
        <v>3647</v>
      </c>
      <c r="E2051" s="34" t="s">
        <v>3648</v>
      </c>
      <c r="F2051" s="31" t="s">
        <v>16</v>
      </c>
      <c r="G2051" s="34" t="s">
        <v>3569</v>
      </c>
      <c r="H2051" s="34" t="s">
        <v>3649</v>
      </c>
      <c r="I2051" s="302" t="s">
        <v>26</v>
      </c>
      <c r="J2051" s="281"/>
      <c r="K2051" s="282"/>
    </row>
    <row r="2052" spans="1:11" ht="25">
      <c r="A2052" s="258" t="s">
        <v>3650</v>
      </c>
      <c r="B2052" s="156" t="s">
        <v>3651</v>
      </c>
      <c r="C2052" s="286" t="s">
        <v>3652</v>
      </c>
      <c r="D2052" s="285" t="s">
        <v>3653</v>
      </c>
      <c r="E2052" s="11" t="s">
        <v>3654</v>
      </c>
      <c r="F2052" s="12" t="s">
        <v>23</v>
      </c>
      <c r="G2052" s="24" t="s">
        <v>3655</v>
      </c>
      <c r="H2052" s="24" t="s">
        <v>3656</v>
      </c>
      <c r="I2052" s="300" t="s">
        <v>19</v>
      </c>
      <c r="J2052" s="259" t="s">
        <v>20</v>
      </c>
      <c r="K2052" s="260"/>
    </row>
    <row r="2053" spans="1:11" ht="25">
      <c r="A2053" s="261"/>
      <c r="B2053" s="157"/>
      <c r="C2053" s="287"/>
      <c r="D2053" s="69" t="s">
        <v>3657</v>
      </c>
      <c r="E2053" s="16" t="s">
        <v>3658</v>
      </c>
      <c r="F2053" s="262" t="s">
        <v>23</v>
      </c>
      <c r="G2053" s="16" t="s">
        <v>3659</v>
      </c>
      <c r="H2053" s="16" t="s">
        <v>3660</v>
      </c>
      <c r="I2053" s="301" t="s">
        <v>26</v>
      </c>
      <c r="J2053" s="263"/>
      <c r="K2053" s="264"/>
    </row>
    <row r="2054" spans="1:11" ht="25">
      <c r="A2054" s="261"/>
      <c r="B2054" s="157"/>
      <c r="C2054" s="287"/>
      <c r="D2054" s="70" t="s">
        <v>3661</v>
      </c>
      <c r="E2054" s="16" t="s">
        <v>3662</v>
      </c>
      <c r="F2054" s="262" t="s">
        <v>58</v>
      </c>
      <c r="G2054" s="16" t="s">
        <v>3663</v>
      </c>
      <c r="H2054" s="16" t="s">
        <v>3664</v>
      </c>
      <c r="I2054" s="301" t="s">
        <v>26</v>
      </c>
      <c r="J2054" s="263"/>
      <c r="K2054" s="264"/>
    </row>
    <row r="2055" spans="1:11" ht="25">
      <c r="A2055" s="261"/>
      <c r="B2055" s="157"/>
      <c r="C2055" s="287"/>
      <c r="D2055" s="70" t="s">
        <v>3665</v>
      </c>
      <c r="E2055" s="16" t="s">
        <v>3666</v>
      </c>
      <c r="F2055" s="262" t="s">
        <v>58</v>
      </c>
      <c r="G2055" s="16" t="s">
        <v>3667</v>
      </c>
      <c r="H2055" s="16" t="s">
        <v>3668</v>
      </c>
      <c r="I2055" s="301" t="s">
        <v>26</v>
      </c>
      <c r="J2055" s="263"/>
      <c r="K2055" s="264"/>
    </row>
    <row r="2056" spans="1:11" ht="25.5" thickBot="1">
      <c r="A2056" s="261"/>
      <c r="B2056" s="157"/>
      <c r="C2056" s="287"/>
      <c r="D2056" s="17" t="s">
        <v>3669</v>
      </c>
      <c r="E2056" s="16" t="s">
        <v>3670</v>
      </c>
      <c r="F2056" s="262" t="s">
        <v>23</v>
      </c>
      <c r="G2056" s="16" t="s">
        <v>3671</v>
      </c>
      <c r="H2056" s="16" t="s">
        <v>3672</v>
      </c>
      <c r="I2056" s="301" t="s">
        <v>26</v>
      </c>
      <c r="J2056" s="263"/>
      <c r="K2056" s="264"/>
    </row>
    <row r="2057" spans="1:11" ht="25">
      <c r="A2057" s="261"/>
      <c r="B2057" s="157"/>
      <c r="C2057" s="289" t="s">
        <v>3673</v>
      </c>
      <c r="D2057" s="13" t="s">
        <v>3674</v>
      </c>
      <c r="E2057" s="25" t="s">
        <v>3675</v>
      </c>
      <c r="F2057" s="262" t="s">
        <v>58</v>
      </c>
      <c r="G2057" s="24" t="s">
        <v>3676</v>
      </c>
      <c r="H2057" s="24" t="s">
        <v>3677</v>
      </c>
      <c r="I2057" s="300" t="s">
        <v>26</v>
      </c>
      <c r="J2057" s="259"/>
      <c r="K2057" s="260"/>
    </row>
    <row r="2058" spans="1:11" ht="25.5" thickBot="1">
      <c r="A2058" s="261"/>
      <c r="B2058" s="157"/>
      <c r="C2058" s="290"/>
      <c r="D2058" s="69" t="s">
        <v>3678</v>
      </c>
      <c r="E2058" s="16" t="s">
        <v>3679</v>
      </c>
      <c r="F2058" s="262" t="s">
        <v>23</v>
      </c>
      <c r="G2058" s="16" t="s">
        <v>3680</v>
      </c>
      <c r="H2058" s="16" t="s">
        <v>3681</v>
      </c>
      <c r="I2058" s="301" t="s">
        <v>19</v>
      </c>
      <c r="J2058" s="263"/>
      <c r="K2058" s="264"/>
    </row>
    <row r="2059" spans="1:11" ht="25">
      <c r="A2059" s="261"/>
      <c r="B2059" s="157"/>
      <c r="C2059" s="290"/>
      <c r="D2059" s="70" t="s">
        <v>3682</v>
      </c>
      <c r="E2059" s="16" t="s">
        <v>3683</v>
      </c>
      <c r="F2059" s="12" t="s">
        <v>16</v>
      </c>
      <c r="G2059" s="16" t="s">
        <v>3684</v>
      </c>
      <c r="H2059" s="16" t="s">
        <v>3685</v>
      </c>
      <c r="I2059" s="301" t="s">
        <v>19</v>
      </c>
      <c r="J2059" s="263"/>
      <c r="K2059" s="264"/>
    </row>
    <row r="2060" spans="1:11" ht="25">
      <c r="A2060" s="261"/>
      <c r="B2060" s="157"/>
      <c r="C2060" s="290"/>
      <c r="D2060" s="70" t="s">
        <v>3686</v>
      </c>
      <c r="E2060" s="16" t="s">
        <v>3687</v>
      </c>
      <c r="F2060" s="262" t="s">
        <v>23</v>
      </c>
      <c r="G2060" s="16" t="s">
        <v>3688</v>
      </c>
      <c r="H2060" s="16" t="s">
        <v>3689</v>
      </c>
      <c r="I2060" s="301" t="s">
        <v>26</v>
      </c>
      <c r="J2060" s="263"/>
      <c r="K2060" s="264"/>
    </row>
    <row r="2061" spans="1:11" ht="25.5" thickBot="1">
      <c r="A2061" s="261"/>
      <c r="B2061" s="157"/>
      <c r="C2061" s="290"/>
      <c r="D2061" s="17" t="s">
        <v>3690</v>
      </c>
      <c r="E2061" s="16" t="s">
        <v>3691</v>
      </c>
      <c r="F2061" s="262" t="s">
        <v>16</v>
      </c>
      <c r="G2061" s="16" t="s">
        <v>3137</v>
      </c>
      <c r="H2061" s="16" t="s">
        <v>3692</v>
      </c>
      <c r="I2061" s="301" t="s">
        <v>26</v>
      </c>
      <c r="J2061" s="263"/>
      <c r="K2061" s="264"/>
    </row>
    <row r="2062" spans="1:11" ht="25">
      <c r="A2062" s="261"/>
      <c r="B2062" s="157"/>
      <c r="C2062" s="289" t="s">
        <v>3693</v>
      </c>
      <c r="D2062" s="13" t="s">
        <v>3694</v>
      </c>
      <c r="E2062" s="25" t="s">
        <v>3695</v>
      </c>
      <c r="F2062" s="262" t="s">
        <v>16</v>
      </c>
      <c r="G2062" s="24" t="s">
        <v>3696</v>
      </c>
      <c r="H2062" s="24" t="s">
        <v>3697</v>
      </c>
      <c r="I2062" s="300" t="s">
        <v>26</v>
      </c>
      <c r="J2062" s="259"/>
      <c r="K2062" s="260"/>
    </row>
    <row r="2063" spans="1:11" ht="25.5" thickBot="1">
      <c r="A2063" s="261"/>
      <c r="B2063" s="157"/>
      <c r="C2063" s="290"/>
      <c r="D2063" s="69" t="s">
        <v>3698</v>
      </c>
      <c r="E2063" s="16" t="s">
        <v>3699</v>
      </c>
      <c r="F2063" s="265" t="s">
        <v>23</v>
      </c>
      <c r="G2063" s="16" t="s">
        <v>3700</v>
      </c>
      <c r="H2063" s="16" t="s">
        <v>3701</v>
      </c>
      <c r="I2063" s="301" t="s">
        <v>26</v>
      </c>
      <c r="J2063" s="263"/>
      <c r="K2063" s="264"/>
    </row>
    <row r="2064" spans="1:11" ht="25">
      <c r="A2064" s="261"/>
      <c r="B2064" s="157"/>
      <c r="C2064" s="290"/>
      <c r="D2064" s="70" t="s">
        <v>3702</v>
      </c>
      <c r="E2064" s="16" t="s">
        <v>3703</v>
      </c>
      <c r="F2064" s="268" t="s">
        <v>16</v>
      </c>
      <c r="G2064" s="16" t="s">
        <v>3704</v>
      </c>
      <c r="H2064" s="16" t="s">
        <v>3705</v>
      </c>
      <c r="I2064" s="301" t="s">
        <v>26</v>
      </c>
      <c r="J2064" s="263"/>
      <c r="K2064" s="264"/>
    </row>
    <row r="2065" spans="1:11" ht="25">
      <c r="A2065" s="261"/>
      <c r="B2065" s="157"/>
      <c r="C2065" s="290"/>
      <c r="D2065" s="70" t="s">
        <v>3706</v>
      </c>
      <c r="E2065" s="16" t="s">
        <v>3707</v>
      </c>
      <c r="F2065" s="262" t="s">
        <v>16</v>
      </c>
      <c r="G2065" s="16" t="s">
        <v>3708</v>
      </c>
      <c r="H2065" s="16" t="s">
        <v>3709</v>
      </c>
      <c r="I2065" s="301" t="s">
        <v>26</v>
      </c>
      <c r="J2065" s="263"/>
      <c r="K2065" s="264"/>
    </row>
    <row r="2066" spans="1:11" ht="25.5" thickBot="1">
      <c r="A2066" s="261"/>
      <c r="B2066" s="157"/>
      <c r="C2066" s="291"/>
      <c r="D2066" s="21" t="s">
        <v>3710</v>
      </c>
      <c r="E2066" s="20" t="s">
        <v>3711</v>
      </c>
      <c r="F2066" s="262" t="s">
        <v>16</v>
      </c>
      <c r="G2066" s="20" t="s">
        <v>3712</v>
      </c>
      <c r="H2066" s="20" t="s">
        <v>3713</v>
      </c>
      <c r="I2066" s="302" t="s">
        <v>26</v>
      </c>
      <c r="J2066" s="266"/>
      <c r="K2066" s="267"/>
    </row>
    <row r="2067" spans="1:11" ht="25">
      <c r="A2067" s="261"/>
      <c r="B2067" s="157"/>
      <c r="C2067" s="289" t="s">
        <v>3714</v>
      </c>
      <c r="D2067" s="13" t="s">
        <v>3715</v>
      </c>
      <c r="E2067" s="25" t="s">
        <v>3716</v>
      </c>
      <c r="F2067" s="12" t="s">
        <v>23</v>
      </c>
      <c r="G2067" s="24" t="s">
        <v>3476</v>
      </c>
      <c r="H2067" s="24" t="s">
        <v>3717</v>
      </c>
      <c r="I2067" s="300" t="s">
        <v>206</v>
      </c>
      <c r="J2067" s="259"/>
      <c r="K2067" s="260"/>
    </row>
    <row r="2068" spans="1:11" ht="25">
      <c r="A2068" s="261"/>
      <c r="B2068" s="157"/>
      <c r="C2068" s="290"/>
      <c r="D2068" s="69" t="s">
        <v>3718</v>
      </c>
      <c r="E2068" s="16" t="s">
        <v>3719</v>
      </c>
      <c r="F2068" s="262" t="s">
        <v>58</v>
      </c>
      <c r="G2068" s="16" t="s">
        <v>3720</v>
      </c>
      <c r="H2068" s="16" t="s">
        <v>3721</v>
      </c>
      <c r="I2068" s="299" t="s">
        <v>26</v>
      </c>
      <c r="J2068" s="263"/>
      <c r="K2068" s="264"/>
    </row>
    <row r="2069" spans="1:11" ht="25.5" thickBot="1">
      <c r="A2069" s="261"/>
      <c r="B2069" s="157"/>
      <c r="C2069" s="290"/>
      <c r="D2069" s="70" t="s">
        <v>3722</v>
      </c>
      <c r="E2069" s="16" t="s">
        <v>3723</v>
      </c>
      <c r="F2069" s="262" t="s">
        <v>23</v>
      </c>
      <c r="G2069" s="16" t="s">
        <v>3724</v>
      </c>
      <c r="H2069" s="16" t="s">
        <v>3725</v>
      </c>
      <c r="I2069" s="299" t="s">
        <v>26</v>
      </c>
      <c r="J2069" s="263"/>
      <c r="K2069" s="264"/>
    </row>
    <row r="2070" spans="1:11" ht="25">
      <c r="A2070" s="261"/>
      <c r="B2070" s="157"/>
      <c r="C2070" s="290"/>
      <c r="D2070" s="17" t="s">
        <v>3726</v>
      </c>
      <c r="E2070" s="16" t="s">
        <v>3727</v>
      </c>
      <c r="F2070" s="12" t="s">
        <v>16</v>
      </c>
      <c r="G2070" s="16" t="s">
        <v>3728</v>
      </c>
      <c r="H2070" s="16" t="s">
        <v>3729</v>
      </c>
      <c r="I2070" s="299" t="s">
        <v>26</v>
      </c>
      <c r="J2070" s="263"/>
      <c r="K2070" s="264"/>
    </row>
    <row r="2071" spans="1:11" ht="25.5" thickBot="1">
      <c r="A2071" s="261"/>
      <c r="B2071" s="157"/>
      <c r="C2071" s="291"/>
      <c r="D2071" s="21" t="s">
        <v>3730</v>
      </c>
      <c r="E2071" s="20" t="s">
        <v>3731</v>
      </c>
      <c r="F2071" s="262" t="s">
        <v>23</v>
      </c>
      <c r="G2071" s="20" t="s">
        <v>3732</v>
      </c>
      <c r="H2071" s="20" t="s">
        <v>3733</v>
      </c>
      <c r="I2071" s="298" t="s">
        <v>26</v>
      </c>
      <c r="J2071" s="266"/>
      <c r="K2071" s="267"/>
    </row>
    <row r="2072" spans="1:11" ht="25">
      <c r="A2072" s="261"/>
      <c r="B2072" s="157"/>
      <c r="C2072" s="289" t="s">
        <v>3734</v>
      </c>
      <c r="D2072" s="13" t="s">
        <v>3735</v>
      </c>
      <c r="E2072" s="25" t="s">
        <v>3736</v>
      </c>
      <c r="F2072" s="262" t="s">
        <v>16</v>
      </c>
      <c r="G2072" s="24" t="s">
        <v>3175</v>
      </c>
      <c r="H2072" s="24" t="s">
        <v>3737</v>
      </c>
      <c r="I2072" s="305" t="s">
        <v>26</v>
      </c>
      <c r="J2072" s="259"/>
      <c r="K2072" s="260"/>
    </row>
    <row r="2073" spans="1:11" ht="25">
      <c r="A2073" s="261"/>
      <c r="B2073" s="157"/>
      <c r="C2073" s="290"/>
      <c r="D2073" s="69" t="s">
        <v>3738</v>
      </c>
      <c r="E2073" s="16" t="s">
        <v>3739</v>
      </c>
      <c r="F2073" s="262" t="s">
        <v>16</v>
      </c>
      <c r="G2073" s="16" t="s">
        <v>3740</v>
      </c>
      <c r="H2073" s="16" t="s">
        <v>3741</v>
      </c>
      <c r="I2073" s="299" t="s">
        <v>26</v>
      </c>
      <c r="J2073" s="263"/>
      <c r="K2073" s="264"/>
    </row>
    <row r="2074" spans="1:11" ht="25.5" thickBot="1">
      <c r="A2074" s="261"/>
      <c r="B2074" s="157"/>
      <c r="C2074" s="290"/>
      <c r="D2074" s="70" t="s">
        <v>3742</v>
      </c>
      <c r="E2074" s="16" t="s">
        <v>3743</v>
      </c>
      <c r="F2074" s="265" t="s">
        <v>23</v>
      </c>
      <c r="G2074" s="16" t="s">
        <v>3708</v>
      </c>
      <c r="H2074" s="16" t="s">
        <v>3744</v>
      </c>
      <c r="I2074" s="299" t="s">
        <v>26</v>
      </c>
      <c r="J2074" s="263"/>
      <c r="K2074" s="264"/>
    </row>
    <row r="2075" spans="1:11" ht="25">
      <c r="A2075" s="261"/>
      <c r="B2075" s="157"/>
      <c r="C2075" s="290"/>
      <c r="D2075" s="17" t="s">
        <v>3745</v>
      </c>
      <c r="E2075" s="16" t="s">
        <v>3746</v>
      </c>
      <c r="F2075" s="268" t="s">
        <v>16</v>
      </c>
      <c r="G2075" s="16" t="s">
        <v>3747</v>
      </c>
      <c r="H2075" s="16" t="s">
        <v>3748</v>
      </c>
      <c r="I2075" s="299" t="s">
        <v>26</v>
      </c>
      <c r="J2075" s="263"/>
      <c r="K2075" s="264"/>
    </row>
    <row r="2076" spans="1:11" ht="25.5" thickBot="1">
      <c r="A2076" s="261"/>
      <c r="B2076" s="173"/>
      <c r="C2076" s="291"/>
      <c r="D2076" s="21" t="s">
        <v>3749</v>
      </c>
      <c r="E2076" s="20" t="s">
        <v>3750</v>
      </c>
      <c r="F2076" s="262" t="s">
        <v>16</v>
      </c>
      <c r="G2076" s="20" t="s">
        <v>3751</v>
      </c>
      <c r="H2076" s="20" t="s">
        <v>3752</v>
      </c>
      <c r="I2076" s="298" t="s">
        <v>26</v>
      </c>
      <c r="J2076" s="266"/>
      <c r="K2076" s="267"/>
    </row>
    <row r="2077" spans="1:11" ht="25.5" thickBot="1">
      <c r="A2077" s="261"/>
      <c r="B2077" s="156" t="s">
        <v>3753</v>
      </c>
      <c r="C2077" s="286" t="s">
        <v>3754</v>
      </c>
      <c r="D2077" s="285" t="s">
        <v>3755</v>
      </c>
      <c r="E2077" s="11" t="s">
        <v>3756</v>
      </c>
      <c r="F2077" s="262" t="s">
        <v>16</v>
      </c>
      <c r="G2077" s="24" t="s">
        <v>3757</v>
      </c>
      <c r="H2077" s="24" t="s">
        <v>3758</v>
      </c>
      <c r="I2077" s="305" t="s">
        <v>26</v>
      </c>
      <c r="J2077" s="259"/>
      <c r="K2077" s="260"/>
    </row>
    <row r="2078" spans="1:11" ht="25">
      <c r="A2078" s="261"/>
      <c r="B2078" s="157"/>
      <c r="C2078" s="287"/>
      <c r="D2078" s="69" t="s">
        <v>3759</v>
      </c>
      <c r="E2078" s="16" t="s">
        <v>3760</v>
      </c>
      <c r="F2078" s="12" t="s">
        <v>23</v>
      </c>
      <c r="G2078" s="16" t="s">
        <v>3761</v>
      </c>
      <c r="H2078" s="16" t="s">
        <v>3762</v>
      </c>
      <c r="I2078" s="299" t="s">
        <v>26</v>
      </c>
      <c r="J2078" s="263"/>
      <c r="K2078" s="264"/>
    </row>
    <row r="2079" spans="1:11" ht="25">
      <c r="A2079" s="261"/>
      <c r="B2079" s="157"/>
      <c r="C2079" s="287"/>
      <c r="D2079" s="70" t="s">
        <v>3763</v>
      </c>
      <c r="E2079" s="16" t="s">
        <v>3764</v>
      </c>
      <c r="F2079" s="262" t="s">
        <v>23</v>
      </c>
      <c r="G2079" s="16" t="s">
        <v>3765</v>
      </c>
      <c r="H2079" s="16" t="s">
        <v>3766</v>
      </c>
      <c r="I2079" s="299" t="s">
        <v>26</v>
      </c>
      <c r="J2079" s="263"/>
      <c r="K2079" s="264"/>
    </row>
    <row r="2080" spans="1:11" ht="25">
      <c r="A2080" s="261"/>
      <c r="B2080" s="157"/>
      <c r="C2080" s="287"/>
      <c r="D2080" s="17" t="s">
        <v>3767</v>
      </c>
      <c r="E2080" s="16" t="s">
        <v>3768</v>
      </c>
      <c r="F2080" s="262" t="s">
        <v>16</v>
      </c>
      <c r="G2080" s="16" t="s">
        <v>3769</v>
      </c>
      <c r="H2080" s="16" t="s">
        <v>3770</v>
      </c>
      <c r="I2080" s="299" t="s">
        <v>26</v>
      </c>
      <c r="J2080" s="263"/>
      <c r="K2080" s="264"/>
    </row>
    <row r="2081" spans="1:11" ht="25.5" thickBot="1">
      <c r="A2081" s="261"/>
      <c r="B2081" s="157"/>
      <c r="C2081" s="288"/>
      <c r="D2081" s="21" t="s">
        <v>3771</v>
      </c>
      <c r="E2081" s="20" t="s">
        <v>3772</v>
      </c>
      <c r="F2081" s="262" t="s">
        <v>16</v>
      </c>
      <c r="G2081" s="20" t="s">
        <v>3773</v>
      </c>
      <c r="H2081" s="20" t="s">
        <v>3774</v>
      </c>
      <c r="I2081" s="298" t="s">
        <v>26</v>
      </c>
      <c r="J2081" s="266"/>
      <c r="K2081" s="267"/>
    </row>
    <row r="2082" spans="1:11" ht="25">
      <c r="A2082" s="261"/>
      <c r="B2082" s="157"/>
      <c r="C2082" s="289" t="s">
        <v>3775</v>
      </c>
      <c r="D2082" s="13" t="s">
        <v>3776</v>
      </c>
      <c r="E2082" s="25" t="s">
        <v>3777</v>
      </c>
      <c r="F2082" s="12" t="s">
        <v>23</v>
      </c>
      <c r="G2082" s="24" t="s">
        <v>3778</v>
      </c>
      <c r="H2082" s="24" t="s">
        <v>3779</v>
      </c>
      <c r="I2082" s="305" t="s">
        <v>26</v>
      </c>
      <c r="J2082" s="259"/>
      <c r="K2082" s="260"/>
    </row>
    <row r="2083" spans="1:11" ht="25">
      <c r="A2083" s="261"/>
      <c r="B2083" s="157"/>
      <c r="C2083" s="290"/>
      <c r="D2083" s="69" t="s">
        <v>3780</v>
      </c>
      <c r="E2083" s="16" t="s">
        <v>3781</v>
      </c>
      <c r="F2083" s="262" t="s">
        <v>16</v>
      </c>
      <c r="G2083" s="16" t="s">
        <v>3782</v>
      </c>
      <c r="H2083" s="16" t="s">
        <v>3783</v>
      </c>
      <c r="I2083" s="299" t="s">
        <v>26</v>
      </c>
      <c r="J2083" s="263"/>
      <c r="K2083" s="264"/>
    </row>
    <row r="2084" spans="1:11" ht="25.5" thickBot="1">
      <c r="A2084" s="261"/>
      <c r="B2084" s="157"/>
      <c r="C2084" s="290"/>
      <c r="D2084" s="70" t="s">
        <v>3784</v>
      </c>
      <c r="E2084" s="16" t="s">
        <v>3785</v>
      </c>
      <c r="F2084" s="262" t="s">
        <v>16</v>
      </c>
      <c r="G2084" s="16" t="s">
        <v>3786</v>
      </c>
      <c r="H2084" s="16" t="s">
        <v>3787</v>
      </c>
      <c r="I2084" s="299" t="s">
        <v>26</v>
      </c>
      <c r="J2084" s="263"/>
      <c r="K2084" s="264"/>
    </row>
    <row r="2085" spans="1:11" ht="25">
      <c r="A2085" s="261"/>
      <c r="B2085" s="157"/>
      <c r="C2085" s="290"/>
      <c r="D2085" s="17" t="s">
        <v>3788</v>
      </c>
      <c r="E2085" s="16" t="s">
        <v>3789</v>
      </c>
      <c r="F2085" s="12" t="s">
        <v>23</v>
      </c>
      <c r="G2085" s="16" t="s">
        <v>3790</v>
      </c>
      <c r="H2085" s="16" t="s">
        <v>3791</v>
      </c>
      <c r="I2085" s="299" t="s">
        <v>26</v>
      </c>
      <c r="J2085" s="263"/>
      <c r="K2085" s="264"/>
    </row>
    <row r="2086" spans="1:11" ht="25.5" thickBot="1">
      <c r="A2086" s="261"/>
      <c r="B2086" s="157"/>
      <c r="C2086" s="291"/>
      <c r="D2086" s="21" t="s">
        <v>3792</v>
      </c>
      <c r="E2086" s="20" t="s">
        <v>3793</v>
      </c>
      <c r="F2086" s="262" t="s">
        <v>23</v>
      </c>
      <c r="G2086" s="20" t="s">
        <v>3794</v>
      </c>
      <c r="H2086" s="20" t="s">
        <v>3795</v>
      </c>
      <c r="I2086" s="298" t="s">
        <v>26</v>
      </c>
      <c r="J2086" s="266"/>
      <c r="K2086" s="267"/>
    </row>
    <row r="2087" spans="1:11" ht="25">
      <c r="A2087" s="261"/>
      <c r="B2087" s="157"/>
      <c r="C2087" s="289" t="s">
        <v>3796</v>
      </c>
      <c r="D2087" s="13" t="s">
        <v>3797</v>
      </c>
      <c r="E2087" s="25" t="s">
        <v>3798</v>
      </c>
      <c r="F2087" s="262" t="s">
        <v>16</v>
      </c>
      <c r="G2087" s="24" t="s">
        <v>3799</v>
      </c>
      <c r="H2087" s="24" t="s">
        <v>3800</v>
      </c>
      <c r="I2087" s="305" t="s">
        <v>26</v>
      </c>
      <c r="J2087" s="259"/>
      <c r="K2087" s="260"/>
    </row>
    <row r="2088" spans="1:11" ht="25">
      <c r="A2088" s="261"/>
      <c r="B2088" s="157"/>
      <c r="C2088" s="290"/>
      <c r="D2088" s="69" t="s">
        <v>3801</v>
      </c>
      <c r="E2088" s="16" t="s">
        <v>3802</v>
      </c>
      <c r="F2088" s="262" t="s">
        <v>16</v>
      </c>
      <c r="G2088" s="16" t="s">
        <v>3803</v>
      </c>
      <c r="H2088" s="16" t="s">
        <v>3804</v>
      </c>
      <c r="I2088" s="299" t="s">
        <v>26</v>
      </c>
      <c r="J2088" s="263"/>
      <c r="K2088" s="264"/>
    </row>
    <row r="2089" spans="1:11" ht="25">
      <c r="A2089" s="261"/>
      <c r="B2089" s="157"/>
      <c r="C2089" s="290"/>
      <c r="D2089" s="70" t="s">
        <v>3805</v>
      </c>
      <c r="E2089" s="16" t="s">
        <v>3806</v>
      </c>
      <c r="F2089" s="262" t="s">
        <v>16</v>
      </c>
      <c r="G2089" s="16" t="s">
        <v>3807</v>
      </c>
      <c r="H2089" s="16" t="s">
        <v>3808</v>
      </c>
      <c r="I2089" s="299" t="s">
        <v>26</v>
      </c>
      <c r="J2089" s="263"/>
      <c r="K2089" s="264"/>
    </row>
    <row r="2090" spans="1:11" ht="25">
      <c r="A2090" s="261"/>
      <c r="B2090" s="157"/>
      <c r="C2090" s="290"/>
      <c r="D2090" s="17" t="s">
        <v>3809</v>
      </c>
      <c r="E2090" s="16" t="s">
        <v>3810</v>
      </c>
      <c r="F2090" s="262" t="s">
        <v>16</v>
      </c>
      <c r="G2090" s="16" t="s">
        <v>3757</v>
      </c>
      <c r="H2090" s="16" t="s">
        <v>3811</v>
      </c>
      <c r="I2090" s="299" t="s">
        <v>26</v>
      </c>
      <c r="J2090" s="263"/>
      <c r="K2090" s="264"/>
    </row>
    <row r="2091" spans="1:11" ht="25.5" thickBot="1">
      <c r="A2091" s="261"/>
      <c r="B2091" s="157"/>
      <c r="C2091" s="291"/>
      <c r="D2091" s="21" t="s">
        <v>3812</v>
      </c>
      <c r="E2091" s="20" t="s">
        <v>3813</v>
      </c>
      <c r="F2091" s="265" t="s">
        <v>23</v>
      </c>
      <c r="G2091" s="20" t="s">
        <v>3814</v>
      </c>
      <c r="H2091" s="20" t="s">
        <v>3815</v>
      </c>
      <c r="I2091" s="298" t="s">
        <v>26</v>
      </c>
      <c r="J2091" s="266"/>
      <c r="K2091" s="267"/>
    </row>
  </sheetData>
  <mergeCells count="499">
    <mergeCell ref="A947:A976"/>
    <mergeCell ref="B947:B951"/>
    <mergeCell ref="B952:B956"/>
    <mergeCell ref="B957:B961"/>
    <mergeCell ref="B962:B966"/>
    <mergeCell ref="B967:B971"/>
    <mergeCell ref="B972:B976"/>
    <mergeCell ref="A917:A946"/>
    <mergeCell ref="B917:B921"/>
    <mergeCell ref="B922:B926"/>
    <mergeCell ref="B927:B931"/>
    <mergeCell ref="B932:B936"/>
    <mergeCell ref="B937:B941"/>
    <mergeCell ref="B942:B946"/>
    <mergeCell ref="A887:A916"/>
    <mergeCell ref="B887:B891"/>
    <mergeCell ref="B892:B896"/>
    <mergeCell ref="B897:B901"/>
    <mergeCell ref="B902:B906"/>
    <mergeCell ref="B907:B911"/>
    <mergeCell ref="B912:B916"/>
    <mergeCell ref="B847:B851"/>
    <mergeCell ref="B852:B856"/>
    <mergeCell ref="A857:A886"/>
    <mergeCell ref="B857:B861"/>
    <mergeCell ref="B862:B866"/>
    <mergeCell ref="B867:B871"/>
    <mergeCell ref="B872:B876"/>
    <mergeCell ref="B877:B881"/>
    <mergeCell ref="B882:B886"/>
    <mergeCell ref="A797:A826"/>
    <mergeCell ref="B797:B801"/>
    <mergeCell ref="B802:B806"/>
    <mergeCell ref="B807:B811"/>
    <mergeCell ref="B812:B816"/>
    <mergeCell ref="B817:B821"/>
    <mergeCell ref="B822:B826"/>
    <mergeCell ref="A767:A796"/>
    <mergeCell ref="B767:B771"/>
    <mergeCell ref="B772:B776"/>
    <mergeCell ref="B777:B781"/>
    <mergeCell ref="B782:B786"/>
    <mergeCell ref="B787:B791"/>
    <mergeCell ref="B792:B796"/>
    <mergeCell ref="A737:A766"/>
    <mergeCell ref="B737:B741"/>
    <mergeCell ref="B742:B746"/>
    <mergeCell ref="B747:B751"/>
    <mergeCell ref="B752:B756"/>
    <mergeCell ref="B757:B761"/>
    <mergeCell ref="B762:B766"/>
    <mergeCell ref="A707:A736"/>
    <mergeCell ref="B707:B711"/>
    <mergeCell ref="B712:B716"/>
    <mergeCell ref="B717:B721"/>
    <mergeCell ref="B722:B726"/>
    <mergeCell ref="B727:B731"/>
    <mergeCell ref="B732:B736"/>
    <mergeCell ref="A677:A706"/>
    <mergeCell ref="B677:B681"/>
    <mergeCell ref="B682:B686"/>
    <mergeCell ref="B687:B691"/>
    <mergeCell ref="B692:B696"/>
    <mergeCell ref="B697:B701"/>
    <mergeCell ref="B702:B706"/>
    <mergeCell ref="A647:A676"/>
    <mergeCell ref="B647:B651"/>
    <mergeCell ref="B652:B656"/>
    <mergeCell ref="B657:B661"/>
    <mergeCell ref="B662:B666"/>
    <mergeCell ref="B667:B671"/>
    <mergeCell ref="B672:B676"/>
    <mergeCell ref="A617:A646"/>
    <mergeCell ref="B617:B621"/>
    <mergeCell ref="B622:B626"/>
    <mergeCell ref="B627:B631"/>
    <mergeCell ref="B632:B636"/>
    <mergeCell ref="B637:B641"/>
    <mergeCell ref="B642:B646"/>
    <mergeCell ref="A587:A616"/>
    <mergeCell ref="B587:B591"/>
    <mergeCell ref="B592:B596"/>
    <mergeCell ref="B597:B601"/>
    <mergeCell ref="B602:B606"/>
    <mergeCell ref="B607:B611"/>
    <mergeCell ref="B612:B616"/>
    <mergeCell ref="A557:A586"/>
    <mergeCell ref="B557:B561"/>
    <mergeCell ref="B562:B566"/>
    <mergeCell ref="B567:B571"/>
    <mergeCell ref="B572:B576"/>
    <mergeCell ref="B577:B581"/>
    <mergeCell ref="B582:B586"/>
    <mergeCell ref="A527:A556"/>
    <mergeCell ref="B527:B531"/>
    <mergeCell ref="B532:B536"/>
    <mergeCell ref="B537:B541"/>
    <mergeCell ref="B542:B546"/>
    <mergeCell ref="B547:B551"/>
    <mergeCell ref="B552:B556"/>
    <mergeCell ref="A497:A526"/>
    <mergeCell ref="B497:B501"/>
    <mergeCell ref="B502:B506"/>
    <mergeCell ref="B507:B511"/>
    <mergeCell ref="B512:B516"/>
    <mergeCell ref="B517:B521"/>
    <mergeCell ref="B522:B526"/>
    <mergeCell ref="A467:A496"/>
    <mergeCell ref="B467:B471"/>
    <mergeCell ref="B472:B476"/>
    <mergeCell ref="B477:B481"/>
    <mergeCell ref="B482:B486"/>
    <mergeCell ref="B487:B491"/>
    <mergeCell ref="B492:B496"/>
    <mergeCell ref="A437:A466"/>
    <mergeCell ref="B437:B441"/>
    <mergeCell ref="B442:B446"/>
    <mergeCell ref="B447:B451"/>
    <mergeCell ref="B452:B456"/>
    <mergeCell ref="B457:B461"/>
    <mergeCell ref="B462:B466"/>
    <mergeCell ref="A407:A436"/>
    <mergeCell ref="B407:B411"/>
    <mergeCell ref="B412:B416"/>
    <mergeCell ref="B417:B421"/>
    <mergeCell ref="B422:B426"/>
    <mergeCell ref="B427:B431"/>
    <mergeCell ref="B432:B436"/>
    <mergeCell ref="A377:A406"/>
    <mergeCell ref="B377:B381"/>
    <mergeCell ref="B382:B386"/>
    <mergeCell ref="B387:B391"/>
    <mergeCell ref="B392:B396"/>
    <mergeCell ref="B397:B401"/>
    <mergeCell ref="B402:B406"/>
    <mergeCell ref="A347:A376"/>
    <mergeCell ref="B347:B351"/>
    <mergeCell ref="B352:B356"/>
    <mergeCell ref="B357:B361"/>
    <mergeCell ref="B362:B366"/>
    <mergeCell ref="B367:B371"/>
    <mergeCell ref="B372:B376"/>
    <mergeCell ref="A317:A346"/>
    <mergeCell ref="B317:B321"/>
    <mergeCell ref="B322:B326"/>
    <mergeCell ref="B327:B331"/>
    <mergeCell ref="B332:B336"/>
    <mergeCell ref="B337:B341"/>
    <mergeCell ref="B342:B346"/>
    <mergeCell ref="A287:A316"/>
    <mergeCell ref="B287:B291"/>
    <mergeCell ref="B292:B296"/>
    <mergeCell ref="B297:B301"/>
    <mergeCell ref="B302:B306"/>
    <mergeCell ref="B307:B311"/>
    <mergeCell ref="B312:B316"/>
    <mergeCell ref="A257:A286"/>
    <mergeCell ref="B257:B261"/>
    <mergeCell ref="B262:B266"/>
    <mergeCell ref="B267:B271"/>
    <mergeCell ref="B272:B276"/>
    <mergeCell ref="B277:B281"/>
    <mergeCell ref="B282:B286"/>
    <mergeCell ref="B212:B256"/>
    <mergeCell ref="C212:C216"/>
    <mergeCell ref="C217:C221"/>
    <mergeCell ref="C222:C226"/>
    <mergeCell ref="C227:C231"/>
    <mergeCell ref="C232:C236"/>
    <mergeCell ref="C237:C241"/>
    <mergeCell ref="C242:C246"/>
    <mergeCell ref="C247:C251"/>
    <mergeCell ref="C252:C256"/>
    <mergeCell ref="B167:B211"/>
    <mergeCell ref="C167:C171"/>
    <mergeCell ref="C172:C176"/>
    <mergeCell ref="C177:C181"/>
    <mergeCell ref="C182:C186"/>
    <mergeCell ref="C187:C191"/>
    <mergeCell ref="C192:C196"/>
    <mergeCell ref="C197:C201"/>
    <mergeCell ref="C202:C206"/>
    <mergeCell ref="C207:C211"/>
    <mergeCell ref="B137:B166"/>
    <mergeCell ref="C137:C141"/>
    <mergeCell ref="C142:C146"/>
    <mergeCell ref="C147:C151"/>
    <mergeCell ref="C152:C156"/>
    <mergeCell ref="C157:C161"/>
    <mergeCell ref="C162:C166"/>
    <mergeCell ref="C82:C86"/>
    <mergeCell ref="C87:C91"/>
    <mergeCell ref="B92:B136"/>
    <mergeCell ref="C92:C96"/>
    <mergeCell ref="C97:C101"/>
    <mergeCell ref="C102:C106"/>
    <mergeCell ref="C107:C111"/>
    <mergeCell ref="C112:C116"/>
    <mergeCell ref="C117:C121"/>
    <mergeCell ref="C122:C126"/>
    <mergeCell ref="C37:C41"/>
    <mergeCell ref="C42:C46"/>
    <mergeCell ref="B47:B91"/>
    <mergeCell ref="C47:C51"/>
    <mergeCell ref="C52:C56"/>
    <mergeCell ref="C57:C61"/>
    <mergeCell ref="C62:C66"/>
    <mergeCell ref="C67:C71"/>
    <mergeCell ref="C72:C76"/>
    <mergeCell ref="C77:C81"/>
    <mergeCell ref="C2087:C2091"/>
    <mergeCell ref="A2:A256"/>
    <mergeCell ref="B2:B46"/>
    <mergeCell ref="C2:C6"/>
    <mergeCell ref="C7:C11"/>
    <mergeCell ref="C12:C16"/>
    <mergeCell ref="C17:C21"/>
    <mergeCell ref="C22:C26"/>
    <mergeCell ref="C27:C31"/>
    <mergeCell ref="C32:C36"/>
    <mergeCell ref="A2052:A2091"/>
    <mergeCell ref="B2052:B2076"/>
    <mergeCell ref="C2052:C2056"/>
    <mergeCell ref="C2057:C2061"/>
    <mergeCell ref="C2062:C2066"/>
    <mergeCell ref="C2067:C2071"/>
    <mergeCell ref="C2072:C2076"/>
    <mergeCell ref="B2077:B2091"/>
    <mergeCell ref="C2077:C2081"/>
    <mergeCell ref="C2082:C2086"/>
    <mergeCell ref="B2022:B2051"/>
    <mergeCell ref="C2022:C2026"/>
    <mergeCell ref="C2027:C2031"/>
    <mergeCell ref="C2032:C2036"/>
    <mergeCell ref="C2037:C2041"/>
    <mergeCell ref="C2042:C2046"/>
    <mergeCell ref="C2047:C2051"/>
    <mergeCell ref="C1992:C1996"/>
    <mergeCell ref="B1997:B2021"/>
    <mergeCell ref="C1997:C2001"/>
    <mergeCell ref="C2002:C2006"/>
    <mergeCell ref="C2007:C2011"/>
    <mergeCell ref="C2012:C2016"/>
    <mergeCell ref="C2017:C2021"/>
    <mergeCell ref="C1952:C1956"/>
    <mergeCell ref="C1957:C1961"/>
    <mergeCell ref="C1962:C1966"/>
    <mergeCell ref="C1967:C1971"/>
    <mergeCell ref="A1972:A2051"/>
    <mergeCell ref="B1972:B1996"/>
    <mergeCell ref="C1972:C1976"/>
    <mergeCell ref="C1977:C1981"/>
    <mergeCell ref="C1982:C1986"/>
    <mergeCell ref="C1987:C1991"/>
    <mergeCell ref="A1917:A1971"/>
    <mergeCell ref="B1917:B1946"/>
    <mergeCell ref="C1917:C1921"/>
    <mergeCell ref="C1922:C1926"/>
    <mergeCell ref="C1927:C1931"/>
    <mergeCell ref="C1932:C1936"/>
    <mergeCell ref="C1937:C1941"/>
    <mergeCell ref="C1942:C1946"/>
    <mergeCell ref="B1947:B1971"/>
    <mergeCell ref="C1947:C1951"/>
    <mergeCell ref="C1877:C1881"/>
    <mergeCell ref="C1882:C1886"/>
    <mergeCell ref="C1887:C1891"/>
    <mergeCell ref="B1892:B1916"/>
    <mergeCell ref="C1892:C1896"/>
    <mergeCell ref="C1897:C1901"/>
    <mergeCell ref="C1902:C1906"/>
    <mergeCell ref="C1907:C1911"/>
    <mergeCell ref="C1912:C1916"/>
    <mergeCell ref="A1842:A1916"/>
    <mergeCell ref="B1842:B1866"/>
    <mergeCell ref="C1842:C1846"/>
    <mergeCell ref="C1847:C1851"/>
    <mergeCell ref="C1852:C1856"/>
    <mergeCell ref="C1857:C1861"/>
    <mergeCell ref="C1862:C1866"/>
    <mergeCell ref="B1867:B1891"/>
    <mergeCell ref="C1867:C1871"/>
    <mergeCell ref="C1872:C1876"/>
    <mergeCell ref="C1807:C1811"/>
    <mergeCell ref="C1812:C1816"/>
    <mergeCell ref="C1817:C1821"/>
    <mergeCell ref="B1822:B1841"/>
    <mergeCell ref="C1822:C1826"/>
    <mergeCell ref="C1827:C1831"/>
    <mergeCell ref="C1832:C1836"/>
    <mergeCell ref="C1837:C1841"/>
    <mergeCell ref="A1772:A1841"/>
    <mergeCell ref="B1772:B1796"/>
    <mergeCell ref="C1772:C1776"/>
    <mergeCell ref="C1777:C1781"/>
    <mergeCell ref="C1782:C1786"/>
    <mergeCell ref="C1787:C1791"/>
    <mergeCell ref="C1792:C1796"/>
    <mergeCell ref="B1797:B1821"/>
    <mergeCell ref="C1797:C1801"/>
    <mergeCell ref="C1802:C1806"/>
    <mergeCell ref="B1747:B1771"/>
    <mergeCell ref="C1747:C1751"/>
    <mergeCell ref="C1752:C1756"/>
    <mergeCell ref="C1757:C1761"/>
    <mergeCell ref="C1762:C1766"/>
    <mergeCell ref="C1767:C1771"/>
    <mergeCell ref="B1702:B1746"/>
    <mergeCell ref="C1702:C1706"/>
    <mergeCell ref="C1707:C1711"/>
    <mergeCell ref="C1712:C1716"/>
    <mergeCell ref="C1717:C1721"/>
    <mergeCell ref="C1722:C1726"/>
    <mergeCell ref="C1727:C1731"/>
    <mergeCell ref="C1732:C1736"/>
    <mergeCell ref="C1737:C1741"/>
    <mergeCell ref="C1742:C1746"/>
    <mergeCell ref="B1657:B1701"/>
    <mergeCell ref="C1657:C1661"/>
    <mergeCell ref="C1662:C1666"/>
    <mergeCell ref="C1667:C1671"/>
    <mergeCell ref="C1672:C1676"/>
    <mergeCell ref="C1677:C1681"/>
    <mergeCell ref="C1682:C1686"/>
    <mergeCell ref="C1687:C1691"/>
    <mergeCell ref="C1692:C1696"/>
    <mergeCell ref="C1697:C1701"/>
    <mergeCell ref="B1632:B1656"/>
    <mergeCell ref="C1632:C1636"/>
    <mergeCell ref="C1637:C1641"/>
    <mergeCell ref="C1642:C1646"/>
    <mergeCell ref="C1647:C1651"/>
    <mergeCell ref="C1652:C1656"/>
    <mergeCell ref="B1597:B1631"/>
    <mergeCell ref="C1597:C1601"/>
    <mergeCell ref="C1602:C1606"/>
    <mergeCell ref="C1607:C1611"/>
    <mergeCell ref="C1612:C1616"/>
    <mergeCell ref="C1617:C1621"/>
    <mergeCell ref="C1622:C1626"/>
    <mergeCell ref="C1627:C1631"/>
    <mergeCell ref="B1572:B1596"/>
    <mergeCell ref="C1572:C1576"/>
    <mergeCell ref="C1577:C1581"/>
    <mergeCell ref="C1582:C1586"/>
    <mergeCell ref="C1587:C1591"/>
    <mergeCell ref="C1592:C1596"/>
    <mergeCell ref="C1532:C1536"/>
    <mergeCell ref="C1537:C1541"/>
    <mergeCell ref="C1542:C1546"/>
    <mergeCell ref="C1547:C1551"/>
    <mergeCell ref="B1552:B1571"/>
    <mergeCell ref="C1552:C1556"/>
    <mergeCell ref="C1557:C1561"/>
    <mergeCell ref="C1562:C1566"/>
    <mergeCell ref="C1567:C1571"/>
    <mergeCell ref="B1492:B1511"/>
    <mergeCell ref="C1492:C1496"/>
    <mergeCell ref="C1497:C1501"/>
    <mergeCell ref="C1502:C1506"/>
    <mergeCell ref="C1507:C1511"/>
    <mergeCell ref="B1512:B1551"/>
    <mergeCell ref="C1512:C1516"/>
    <mergeCell ref="C1517:C1521"/>
    <mergeCell ref="C1522:C1526"/>
    <mergeCell ref="C1527:C1531"/>
    <mergeCell ref="A1452:A1771"/>
    <mergeCell ref="B1452:B1491"/>
    <mergeCell ref="C1452:C1456"/>
    <mergeCell ref="C1457:C1461"/>
    <mergeCell ref="C1462:C1466"/>
    <mergeCell ref="C1467:C1471"/>
    <mergeCell ref="C1472:C1476"/>
    <mergeCell ref="C1477:C1481"/>
    <mergeCell ref="C1482:C1486"/>
    <mergeCell ref="C1487:C1491"/>
    <mergeCell ref="B1427:B1451"/>
    <mergeCell ref="C1427:C1431"/>
    <mergeCell ref="C1432:C1436"/>
    <mergeCell ref="C1437:C1441"/>
    <mergeCell ref="C1442:C1446"/>
    <mergeCell ref="C1447:C1451"/>
    <mergeCell ref="C1387:C1391"/>
    <mergeCell ref="C1392:C1396"/>
    <mergeCell ref="C1397:C1401"/>
    <mergeCell ref="B1402:B1426"/>
    <mergeCell ref="C1402:C1406"/>
    <mergeCell ref="C1407:C1411"/>
    <mergeCell ref="C1412:C1416"/>
    <mergeCell ref="C1417:C1421"/>
    <mergeCell ref="C1422:C1426"/>
    <mergeCell ref="A1352:A1451"/>
    <mergeCell ref="B1352:B1376"/>
    <mergeCell ref="C1352:C1356"/>
    <mergeCell ref="C1357:C1361"/>
    <mergeCell ref="C1362:C1366"/>
    <mergeCell ref="C1367:C1371"/>
    <mergeCell ref="C1372:C1376"/>
    <mergeCell ref="B1377:B1401"/>
    <mergeCell ref="C1377:C1381"/>
    <mergeCell ref="C1382:C1386"/>
    <mergeCell ref="B1327:B1351"/>
    <mergeCell ref="C1327:C1331"/>
    <mergeCell ref="C1332:C1336"/>
    <mergeCell ref="C1337:C1341"/>
    <mergeCell ref="C1342:C1346"/>
    <mergeCell ref="C1347:C1351"/>
    <mergeCell ref="B1302:B1326"/>
    <mergeCell ref="C1302:C1306"/>
    <mergeCell ref="C1307:C1311"/>
    <mergeCell ref="C1312:C1316"/>
    <mergeCell ref="C1317:C1321"/>
    <mergeCell ref="C1322:C1326"/>
    <mergeCell ref="B1277:B1301"/>
    <mergeCell ref="C1277:C1281"/>
    <mergeCell ref="C1282:C1286"/>
    <mergeCell ref="C1287:C1291"/>
    <mergeCell ref="C1292:C1296"/>
    <mergeCell ref="C1297:C1301"/>
    <mergeCell ref="B1252:B1276"/>
    <mergeCell ref="C1252:C1256"/>
    <mergeCell ref="C1257:C1261"/>
    <mergeCell ref="C1262:C1266"/>
    <mergeCell ref="C1267:C1271"/>
    <mergeCell ref="C1272:C1276"/>
    <mergeCell ref="B1227:B1251"/>
    <mergeCell ref="C1227:C1231"/>
    <mergeCell ref="C1232:C1236"/>
    <mergeCell ref="C1237:C1241"/>
    <mergeCell ref="C1242:C1246"/>
    <mergeCell ref="C1247:C1251"/>
    <mergeCell ref="B1202:B1226"/>
    <mergeCell ref="C1202:C1206"/>
    <mergeCell ref="C1207:C1211"/>
    <mergeCell ref="C1212:C1216"/>
    <mergeCell ref="C1217:C1221"/>
    <mergeCell ref="C1222:C1226"/>
    <mergeCell ref="B1177:B1201"/>
    <mergeCell ref="C1177:C1181"/>
    <mergeCell ref="C1182:C1186"/>
    <mergeCell ref="C1187:C1191"/>
    <mergeCell ref="C1192:C1196"/>
    <mergeCell ref="C1197:C1201"/>
    <mergeCell ref="B1152:B1176"/>
    <mergeCell ref="C1152:C1156"/>
    <mergeCell ref="C1157:C1161"/>
    <mergeCell ref="C1162:C1166"/>
    <mergeCell ref="C1167:C1171"/>
    <mergeCell ref="C1172:C1176"/>
    <mergeCell ref="B1127:B1151"/>
    <mergeCell ref="C1127:C1131"/>
    <mergeCell ref="C1132:C1136"/>
    <mergeCell ref="C1137:C1141"/>
    <mergeCell ref="C1142:C1146"/>
    <mergeCell ref="C1147:C1151"/>
    <mergeCell ref="B1102:B1126"/>
    <mergeCell ref="C1102:C1106"/>
    <mergeCell ref="C1107:C1111"/>
    <mergeCell ref="C1112:C1116"/>
    <mergeCell ref="C1117:C1121"/>
    <mergeCell ref="C1122:C1126"/>
    <mergeCell ref="B1077:B1101"/>
    <mergeCell ref="C1077:C1081"/>
    <mergeCell ref="C1082:C1086"/>
    <mergeCell ref="C1087:C1091"/>
    <mergeCell ref="C1092:C1096"/>
    <mergeCell ref="C1097:C1101"/>
    <mergeCell ref="B1052:B1076"/>
    <mergeCell ref="C1052:C1056"/>
    <mergeCell ref="C1057:C1061"/>
    <mergeCell ref="C1062:C1066"/>
    <mergeCell ref="C1067:C1071"/>
    <mergeCell ref="C1072:C1076"/>
    <mergeCell ref="B1027:B1051"/>
    <mergeCell ref="C1027:C1031"/>
    <mergeCell ref="C1032:C1036"/>
    <mergeCell ref="C1037:C1041"/>
    <mergeCell ref="C1042:C1046"/>
    <mergeCell ref="C1047:C1051"/>
    <mergeCell ref="C992:C996"/>
    <mergeCell ref="C997:C1001"/>
    <mergeCell ref="B1002:B1026"/>
    <mergeCell ref="C1002:C1006"/>
    <mergeCell ref="C1007:C1011"/>
    <mergeCell ref="C1012:C1016"/>
    <mergeCell ref="C1017:C1021"/>
    <mergeCell ref="C1022:C1026"/>
    <mergeCell ref="A977:A1351"/>
    <mergeCell ref="B977:B1001"/>
    <mergeCell ref="C977:C981"/>
    <mergeCell ref="C982:C986"/>
    <mergeCell ref="C987:C991"/>
    <mergeCell ref="A827:A856"/>
    <mergeCell ref="B827:B831"/>
    <mergeCell ref="B832:B836"/>
    <mergeCell ref="B837:B841"/>
    <mergeCell ref="B842:B846"/>
    <mergeCell ref="C127:C131"/>
    <mergeCell ref="C132:C136"/>
  </mergeCells>
  <conditionalFormatting sqref="I1771">
    <cfRule type="containsText" dxfId="374" priority="243" operator="containsText" text="Faible">
      <formula>NOT(ISERROR(SEARCH("Faible",I1771)))</formula>
    </cfRule>
    <cfRule type="containsText" dxfId="373" priority="244" operator="containsText" text="Elevée">
      <formula>NOT(ISERROR(SEARCH("Elevée",I1771)))</formula>
    </cfRule>
    <cfRule type="containsText" dxfId="372" priority="245" operator="containsText" text="Moyenne">
      <formula>NOT(ISERROR(SEARCH("Moyenne",I1771)))</formula>
    </cfRule>
  </conditionalFormatting>
  <conditionalFormatting sqref="F1771">
    <cfRule type="cellIs" dxfId="341" priority="212" operator="equal">
      <formula>"OUI"</formula>
    </cfRule>
  </conditionalFormatting>
  <conditionalFormatting sqref="I1770:I1771">
    <cfRule type="cellIs" dxfId="267" priority="137" operator="equal">
      <formula>$I$3</formula>
    </cfRule>
    <cfRule type="cellIs" dxfId="266" priority="138" operator="equal">
      <formula>$I$282</formula>
    </cfRule>
  </conditionalFormatting>
  <conditionalFormatting sqref="F1770:F1771">
    <cfRule type="cellIs" dxfId="265" priority="134" operator="equal">
      <formula>"NON"</formula>
    </cfRule>
    <cfRule type="cellIs" dxfId="264" priority="135" operator="equal">
      <formula>"PAS"</formula>
    </cfRule>
    <cfRule type="cellIs" dxfId="263" priority="136" operator="equal">
      <formula>"OUI"</formula>
    </cfRule>
  </conditionalFormatting>
  <conditionalFormatting sqref="I1770:I1771">
    <cfRule type="cellIs" dxfId="261" priority="131" operator="equal">
      <formula>$I$131</formula>
    </cfRule>
    <cfRule type="cellIs" dxfId="260" priority="132" operator="equal">
      <formula>$I$15</formula>
    </cfRule>
  </conditionalFormatting>
  <conditionalFormatting sqref="H286:H555 H562:H585 H592:H976 H557:H560 H587:H590">
    <cfRule type="containsText" dxfId="129" priority="128" operator="containsText" text="Faible">
      <formula>NOT(ISERROR(SEARCH("Faible",H286)))</formula>
    </cfRule>
    <cfRule type="containsText" dxfId="128" priority="129" operator="containsText" text="Elevée">
      <formula>NOT(ISERROR(SEARCH("Elevée",H286)))</formula>
    </cfRule>
    <cfRule type="containsText" dxfId="127" priority="130" operator="containsText" text="Moyenne">
      <formula>NOT(ISERROR(SEARCH("Moyenne",H286)))</formula>
    </cfRule>
  </conditionalFormatting>
  <conditionalFormatting sqref="H561">
    <cfRule type="containsText" dxfId="126" priority="125" operator="containsText" text="Faible">
      <formula>NOT(ISERROR(SEARCH("Faible",H561)))</formula>
    </cfRule>
    <cfRule type="containsText" dxfId="125" priority="126" operator="containsText" text="Elevée">
      <formula>NOT(ISERROR(SEARCH("Elevée",H561)))</formula>
    </cfRule>
    <cfRule type="containsText" dxfId="124" priority="127" operator="containsText" text="Moyenne">
      <formula>NOT(ISERROR(SEARCH("Moyenne",H561)))</formula>
    </cfRule>
  </conditionalFormatting>
  <conditionalFormatting sqref="H591">
    <cfRule type="containsText" dxfId="123" priority="122" operator="containsText" text="Faible">
      <formula>NOT(ISERROR(SEARCH("Faible",H591)))</formula>
    </cfRule>
    <cfRule type="containsText" dxfId="122" priority="123" operator="containsText" text="Elevée">
      <formula>NOT(ISERROR(SEARCH("Elevée",H591)))</formula>
    </cfRule>
    <cfRule type="containsText" dxfId="121" priority="124" operator="containsText" text="Moyenne">
      <formula>NOT(ISERROR(SEARCH("Moyenne",H591)))</formula>
    </cfRule>
  </conditionalFormatting>
  <conditionalFormatting sqref="H556">
    <cfRule type="containsText" dxfId="120" priority="119" operator="containsText" text="Faible">
      <formula>NOT(ISERROR(SEARCH("Faible",H556)))</formula>
    </cfRule>
    <cfRule type="containsText" dxfId="119" priority="120" operator="containsText" text="Elevée">
      <formula>NOT(ISERROR(SEARCH("Elevée",H556)))</formula>
    </cfRule>
    <cfRule type="containsText" dxfId="118" priority="121" operator="containsText" text="Moyenne">
      <formula>NOT(ISERROR(SEARCH("Moyenne",H556)))</formula>
    </cfRule>
  </conditionalFormatting>
  <conditionalFormatting sqref="H586">
    <cfRule type="containsText" dxfId="117" priority="116" operator="containsText" text="Faible">
      <formula>NOT(ISERROR(SEARCH("Faible",H586)))</formula>
    </cfRule>
    <cfRule type="containsText" dxfId="116" priority="117" operator="containsText" text="Elevée">
      <formula>NOT(ISERROR(SEARCH("Elevée",H586)))</formula>
    </cfRule>
    <cfRule type="containsText" dxfId="115" priority="118" operator="containsText" text="Moyenne">
      <formula>NOT(ISERROR(SEARCH("Moyenne",H586)))</formula>
    </cfRule>
  </conditionalFormatting>
  <conditionalFormatting sqref="I1773:I1777 I1793:I1796 I1823:I1826 I1818:I1821 I1813:I1816 I1808:I1811 I1842">
    <cfRule type="containsText" dxfId="114" priority="113" operator="containsText" text="Faible">
      <formula>NOT(ISERROR(SEARCH("Faible",I1773)))</formula>
    </cfRule>
    <cfRule type="containsText" dxfId="113" priority="114" operator="containsText" text="Elevée">
      <formula>NOT(ISERROR(SEARCH("Elevée",I1773)))</formula>
    </cfRule>
    <cfRule type="containsText" dxfId="112" priority="115" operator="containsText" text="Moyenne">
      <formula>NOT(ISERROR(SEARCH("Moyenne",I1773)))</formula>
    </cfRule>
  </conditionalFormatting>
  <conditionalFormatting sqref="I1778:I1782">
    <cfRule type="containsText" dxfId="111" priority="110" operator="containsText" text="Faible">
      <formula>NOT(ISERROR(SEARCH("Faible",I1778)))</formula>
    </cfRule>
    <cfRule type="containsText" dxfId="110" priority="111" operator="containsText" text="Elevée">
      <formula>NOT(ISERROR(SEARCH("Elevée",I1778)))</formula>
    </cfRule>
    <cfRule type="containsText" dxfId="109" priority="112" operator="containsText" text="Moyenne">
      <formula>NOT(ISERROR(SEARCH("Moyenne",I1778)))</formula>
    </cfRule>
  </conditionalFormatting>
  <conditionalFormatting sqref="I1783:I1786">
    <cfRule type="containsText" dxfId="108" priority="107" operator="containsText" text="Faible">
      <formula>NOT(ISERROR(SEARCH("Faible",I1783)))</formula>
    </cfRule>
    <cfRule type="containsText" dxfId="107" priority="108" operator="containsText" text="Elevée">
      <formula>NOT(ISERROR(SEARCH("Elevée",I1783)))</formula>
    </cfRule>
    <cfRule type="containsText" dxfId="106" priority="109" operator="containsText" text="Moyenne">
      <formula>NOT(ISERROR(SEARCH("Moyenne",I1783)))</formula>
    </cfRule>
  </conditionalFormatting>
  <conditionalFormatting sqref="I1787">
    <cfRule type="containsText" dxfId="105" priority="104" operator="containsText" text="Faible">
      <formula>NOT(ISERROR(SEARCH("Faible",I1787)))</formula>
    </cfRule>
    <cfRule type="containsText" dxfId="104" priority="105" operator="containsText" text="Elevée">
      <formula>NOT(ISERROR(SEARCH("Elevée",I1787)))</formula>
    </cfRule>
    <cfRule type="containsText" dxfId="103" priority="106" operator="containsText" text="Moyenne">
      <formula>NOT(ISERROR(SEARCH("Moyenne",I1787)))</formula>
    </cfRule>
  </conditionalFormatting>
  <conditionalFormatting sqref="I1788:I1792">
    <cfRule type="containsText" dxfId="102" priority="101" operator="containsText" text="Faible">
      <formula>NOT(ISERROR(SEARCH("Faible",I1788)))</formula>
    </cfRule>
    <cfRule type="containsText" dxfId="101" priority="102" operator="containsText" text="Elevée">
      <formula>NOT(ISERROR(SEARCH("Elevée",I1788)))</formula>
    </cfRule>
    <cfRule type="containsText" dxfId="100" priority="103" operator="containsText" text="Moyenne">
      <formula>NOT(ISERROR(SEARCH("Moyenne",I1788)))</formula>
    </cfRule>
  </conditionalFormatting>
  <conditionalFormatting sqref="I1812">
    <cfRule type="containsText" dxfId="99" priority="92" operator="containsText" text="Faible">
      <formula>NOT(ISERROR(SEARCH("Faible",I1812)))</formula>
    </cfRule>
    <cfRule type="containsText" dxfId="98" priority="93" operator="containsText" text="Elevée">
      <formula>NOT(ISERROR(SEARCH("Elevée",I1812)))</formula>
    </cfRule>
    <cfRule type="containsText" dxfId="97" priority="94" operator="containsText" text="Moyenne">
      <formula>NOT(ISERROR(SEARCH("Moyenne",I1812)))</formula>
    </cfRule>
  </conditionalFormatting>
  <conditionalFormatting sqref="I1797:I1806">
    <cfRule type="containsText" dxfId="96" priority="98" operator="containsText" text="Faible">
      <formula>NOT(ISERROR(SEARCH("Faible",I1797)))</formula>
    </cfRule>
    <cfRule type="containsText" dxfId="95" priority="99" operator="containsText" text="Elevée">
      <formula>NOT(ISERROR(SEARCH("Elevée",I1797)))</formula>
    </cfRule>
    <cfRule type="containsText" dxfId="94" priority="100" operator="containsText" text="Moyenne">
      <formula>NOT(ISERROR(SEARCH("Moyenne",I1797)))</formula>
    </cfRule>
  </conditionalFormatting>
  <conditionalFormatting sqref="I1807">
    <cfRule type="containsText" dxfId="93" priority="95" operator="containsText" text="Faible">
      <formula>NOT(ISERROR(SEARCH("Faible",I1807)))</formula>
    </cfRule>
    <cfRule type="containsText" dxfId="92" priority="96" operator="containsText" text="Elevée">
      <formula>NOT(ISERROR(SEARCH("Elevée",I1807)))</formula>
    </cfRule>
    <cfRule type="containsText" dxfId="91" priority="97" operator="containsText" text="Moyenne">
      <formula>NOT(ISERROR(SEARCH("Moyenne",I1807)))</formula>
    </cfRule>
  </conditionalFormatting>
  <conditionalFormatting sqref="I1827">
    <cfRule type="containsText" dxfId="90" priority="83" operator="containsText" text="Faible">
      <formula>NOT(ISERROR(SEARCH("Faible",I1827)))</formula>
    </cfRule>
    <cfRule type="containsText" dxfId="89" priority="84" operator="containsText" text="Elevée">
      <formula>NOT(ISERROR(SEARCH("Elevée",I1827)))</formula>
    </cfRule>
    <cfRule type="containsText" dxfId="88" priority="85" operator="containsText" text="Moyenne">
      <formula>NOT(ISERROR(SEARCH("Moyenne",I1827)))</formula>
    </cfRule>
  </conditionalFormatting>
  <conditionalFormatting sqref="I1817">
    <cfRule type="containsText" dxfId="87" priority="89" operator="containsText" text="Faible">
      <formula>NOT(ISERROR(SEARCH("Faible",I1817)))</formula>
    </cfRule>
    <cfRule type="containsText" dxfId="86" priority="90" operator="containsText" text="Elevée">
      <formula>NOT(ISERROR(SEARCH("Elevée",I1817)))</formula>
    </cfRule>
    <cfRule type="containsText" dxfId="85" priority="91" operator="containsText" text="Moyenne">
      <formula>NOT(ISERROR(SEARCH("Moyenne",I1817)))</formula>
    </cfRule>
  </conditionalFormatting>
  <conditionalFormatting sqref="I1822">
    <cfRule type="containsText" dxfId="84" priority="86" operator="containsText" text="Faible">
      <formula>NOT(ISERROR(SEARCH("Faible",I1822)))</formula>
    </cfRule>
    <cfRule type="containsText" dxfId="83" priority="87" operator="containsText" text="Elevée">
      <formula>NOT(ISERROR(SEARCH("Elevée",I1822)))</formula>
    </cfRule>
    <cfRule type="containsText" dxfId="82" priority="88" operator="containsText" text="Moyenne">
      <formula>NOT(ISERROR(SEARCH("Moyenne",I1822)))</formula>
    </cfRule>
  </conditionalFormatting>
  <conditionalFormatting sqref="F1773">
    <cfRule type="cellIs" dxfId="81" priority="82" operator="equal">
      <formula>"OUI"</formula>
    </cfRule>
  </conditionalFormatting>
  <conditionalFormatting sqref="I1828:I1832 I1843:I1846 I1898:I1901 I1893:I1896">
    <cfRule type="containsText" dxfId="80" priority="79" operator="containsText" text="Faible">
      <formula>NOT(ISERROR(SEARCH("Faible",I1828)))</formula>
    </cfRule>
    <cfRule type="containsText" dxfId="79" priority="80" operator="containsText" text="Elevée">
      <formula>NOT(ISERROR(SEARCH("Elevée",I1828)))</formula>
    </cfRule>
    <cfRule type="containsText" dxfId="78" priority="81" operator="containsText" text="Moyenne">
      <formula>NOT(ISERROR(SEARCH("Moyenne",I1828)))</formula>
    </cfRule>
  </conditionalFormatting>
  <conditionalFormatting sqref="I1847">
    <cfRule type="containsText" dxfId="77" priority="70" operator="containsText" text="Faible">
      <formula>NOT(ISERROR(SEARCH("Faible",I1847)))</formula>
    </cfRule>
    <cfRule type="containsText" dxfId="76" priority="71" operator="containsText" text="Elevée">
      <formula>NOT(ISERROR(SEARCH("Elevée",I1847)))</formula>
    </cfRule>
    <cfRule type="containsText" dxfId="75" priority="72" operator="containsText" text="Moyenne">
      <formula>NOT(ISERROR(SEARCH("Moyenne",I1847)))</formula>
    </cfRule>
  </conditionalFormatting>
  <conditionalFormatting sqref="I1833:I1837">
    <cfRule type="containsText" dxfId="74" priority="76" operator="containsText" text="Faible">
      <formula>NOT(ISERROR(SEARCH("Faible",I1833)))</formula>
    </cfRule>
    <cfRule type="containsText" dxfId="73" priority="77" operator="containsText" text="Elevée">
      <formula>NOT(ISERROR(SEARCH("Elevée",I1833)))</formula>
    </cfRule>
    <cfRule type="containsText" dxfId="72" priority="78" operator="containsText" text="Moyenne">
      <formula>NOT(ISERROR(SEARCH("Moyenne",I1833)))</formula>
    </cfRule>
  </conditionalFormatting>
  <conditionalFormatting sqref="I1838:I1841">
    <cfRule type="containsText" dxfId="71" priority="73" operator="containsText" text="Faible">
      <formula>NOT(ISERROR(SEARCH("Faible",I1838)))</formula>
    </cfRule>
    <cfRule type="containsText" dxfId="70" priority="74" operator="containsText" text="Elevée">
      <formula>NOT(ISERROR(SEARCH("Elevée",I1838)))</formula>
    </cfRule>
    <cfRule type="containsText" dxfId="69" priority="75" operator="containsText" text="Moyenne">
      <formula>NOT(ISERROR(SEARCH("Moyenne",I1838)))</formula>
    </cfRule>
  </conditionalFormatting>
  <conditionalFormatting sqref="I1902">
    <cfRule type="containsText" dxfId="68" priority="61" operator="containsText" text="Faible">
      <formula>NOT(ISERROR(SEARCH("Faible",I1902)))</formula>
    </cfRule>
    <cfRule type="containsText" dxfId="67" priority="62" operator="containsText" text="Elevée">
      <formula>NOT(ISERROR(SEARCH("Elevée",I1902)))</formula>
    </cfRule>
    <cfRule type="containsText" dxfId="66" priority="63" operator="containsText" text="Moyenne">
      <formula>NOT(ISERROR(SEARCH("Moyenne",I1902)))</formula>
    </cfRule>
  </conditionalFormatting>
  <conditionalFormatting sqref="I1892">
    <cfRule type="containsText" dxfId="65" priority="67" operator="containsText" text="Faible">
      <formula>NOT(ISERROR(SEARCH("Faible",I1892)))</formula>
    </cfRule>
    <cfRule type="containsText" dxfId="64" priority="68" operator="containsText" text="Elevée">
      <formula>NOT(ISERROR(SEARCH("Elevée",I1892)))</formula>
    </cfRule>
    <cfRule type="containsText" dxfId="63" priority="69" operator="containsText" text="Moyenne">
      <formula>NOT(ISERROR(SEARCH("Moyenne",I1892)))</formula>
    </cfRule>
  </conditionalFormatting>
  <conditionalFormatting sqref="I1897">
    <cfRule type="containsText" dxfId="62" priority="64" operator="containsText" text="Faible">
      <formula>NOT(ISERROR(SEARCH("Faible",I1897)))</formula>
    </cfRule>
    <cfRule type="containsText" dxfId="61" priority="65" operator="containsText" text="Elevée">
      <formula>NOT(ISERROR(SEARCH("Elevée",I1897)))</formula>
    </cfRule>
    <cfRule type="containsText" dxfId="60" priority="66" operator="containsText" text="Moyenne">
      <formula>NOT(ISERROR(SEARCH("Moyenne",I1897)))</formula>
    </cfRule>
  </conditionalFormatting>
  <conditionalFormatting sqref="F1828">
    <cfRule type="cellIs" dxfId="59" priority="60" operator="equal">
      <formula>"OUI"</formula>
    </cfRule>
  </conditionalFormatting>
  <conditionalFormatting sqref="I1868:I1871">
    <cfRule type="containsText" dxfId="58" priority="57" operator="containsText" text="Faible">
      <formula>NOT(ISERROR(SEARCH("Faible",I1868)))</formula>
    </cfRule>
    <cfRule type="containsText" dxfId="57" priority="58" operator="containsText" text="Elevée">
      <formula>NOT(ISERROR(SEARCH("Elevée",I1868)))</formula>
    </cfRule>
    <cfRule type="containsText" dxfId="56" priority="59" operator="containsText" text="Moyenne">
      <formula>NOT(ISERROR(SEARCH("Moyenne",I1868)))</formula>
    </cfRule>
  </conditionalFormatting>
  <conditionalFormatting sqref="I1872">
    <cfRule type="containsText" dxfId="55" priority="54" operator="containsText" text="Faible">
      <formula>NOT(ISERROR(SEARCH("Faible",I1872)))</formula>
    </cfRule>
    <cfRule type="containsText" dxfId="54" priority="55" operator="containsText" text="Elevée">
      <formula>NOT(ISERROR(SEARCH("Elevée",I1872)))</formula>
    </cfRule>
    <cfRule type="containsText" dxfId="53" priority="56" operator="containsText" text="Moyenne">
      <formula>NOT(ISERROR(SEARCH("Moyenne",I1872)))</formula>
    </cfRule>
  </conditionalFormatting>
  <conditionalFormatting sqref="I1863:I1866">
    <cfRule type="containsText" dxfId="52" priority="51" operator="containsText" text="Faible">
      <formula>NOT(ISERROR(SEARCH("Faible",I1863)))</formula>
    </cfRule>
    <cfRule type="containsText" dxfId="51" priority="52" operator="containsText" text="Elevée">
      <formula>NOT(ISERROR(SEARCH("Elevée",I1863)))</formula>
    </cfRule>
    <cfRule type="containsText" dxfId="50" priority="53" operator="containsText" text="Moyenne">
      <formula>NOT(ISERROR(SEARCH("Moyenne",I1863)))</formula>
    </cfRule>
  </conditionalFormatting>
  <conditionalFormatting sqref="I1867">
    <cfRule type="containsText" dxfId="49" priority="48" operator="containsText" text="Faible">
      <formula>NOT(ISERROR(SEARCH("Faible",I1867)))</formula>
    </cfRule>
    <cfRule type="containsText" dxfId="48" priority="49" operator="containsText" text="Elevée">
      <formula>NOT(ISERROR(SEARCH("Elevée",I1867)))</formula>
    </cfRule>
    <cfRule type="containsText" dxfId="47" priority="50" operator="containsText" text="Moyenne">
      <formula>NOT(ISERROR(SEARCH("Moyenne",I1867)))</formula>
    </cfRule>
  </conditionalFormatting>
  <conditionalFormatting sqref="I1862">
    <cfRule type="containsText" dxfId="46" priority="45" operator="containsText" text="Faible">
      <formula>NOT(ISERROR(SEARCH("Faible",I1862)))</formula>
    </cfRule>
    <cfRule type="containsText" dxfId="45" priority="46" operator="containsText" text="Elevée">
      <formula>NOT(ISERROR(SEARCH("Elevée",I1862)))</formula>
    </cfRule>
    <cfRule type="containsText" dxfId="44" priority="47" operator="containsText" text="Moyenne">
      <formula>NOT(ISERROR(SEARCH("Moyenne",I1862)))</formula>
    </cfRule>
  </conditionalFormatting>
  <conditionalFormatting sqref="I1858:I1861">
    <cfRule type="containsText" dxfId="43" priority="42" operator="containsText" text="Faible">
      <formula>NOT(ISERROR(SEARCH("Faible",I1858)))</formula>
    </cfRule>
    <cfRule type="containsText" dxfId="42" priority="43" operator="containsText" text="Elevée">
      <formula>NOT(ISERROR(SEARCH("Elevée",I1858)))</formula>
    </cfRule>
    <cfRule type="containsText" dxfId="41" priority="44" operator="containsText" text="Moyenne">
      <formula>NOT(ISERROR(SEARCH("Moyenne",I1858)))</formula>
    </cfRule>
  </conditionalFormatting>
  <conditionalFormatting sqref="I1853:I1856">
    <cfRule type="containsText" dxfId="40" priority="39" operator="containsText" text="Faible">
      <formula>NOT(ISERROR(SEARCH("Faible",I1853)))</formula>
    </cfRule>
    <cfRule type="containsText" dxfId="39" priority="40" operator="containsText" text="Elevée">
      <formula>NOT(ISERROR(SEARCH("Elevée",I1853)))</formula>
    </cfRule>
    <cfRule type="containsText" dxfId="38" priority="41" operator="containsText" text="Moyenne">
      <formula>NOT(ISERROR(SEARCH("Moyenne",I1853)))</formula>
    </cfRule>
  </conditionalFormatting>
  <conditionalFormatting sqref="I1857">
    <cfRule type="containsText" dxfId="37" priority="36" operator="containsText" text="Faible">
      <formula>NOT(ISERROR(SEARCH("Faible",I1857)))</formula>
    </cfRule>
    <cfRule type="containsText" dxfId="36" priority="37" operator="containsText" text="Elevée">
      <formula>NOT(ISERROR(SEARCH("Elevée",I1857)))</formula>
    </cfRule>
    <cfRule type="containsText" dxfId="35" priority="38" operator="containsText" text="Moyenne">
      <formula>NOT(ISERROR(SEARCH("Moyenne",I1857)))</formula>
    </cfRule>
  </conditionalFormatting>
  <conditionalFormatting sqref="I1848:I1851">
    <cfRule type="containsText" dxfId="34" priority="33" operator="containsText" text="Faible">
      <formula>NOT(ISERROR(SEARCH("Faible",I1848)))</formula>
    </cfRule>
    <cfRule type="containsText" dxfId="33" priority="34" operator="containsText" text="Elevée">
      <formula>NOT(ISERROR(SEARCH("Elevée",I1848)))</formula>
    </cfRule>
    <cfRule type="containsText" dxfId="32" priority="35" operator="containsText" text="Moyenne">
      <formula>NOT(ISERROR(SEARCH("Moyenne",I1848)))</formula>
    </cfRule>
  </conditionalFormatting>
  <conditionalFormatting sqref="I1852">
    <cfRule type="containsText" dxfId="31" priority="30" operator="containsText" text="Faible">
      <formula>NOT(ISERROR(SEARCH("Faible",I1852)))</formula>
    </cfRule>
    <cfRule type="containsText" dxfId="30" priority="31" operator="containsText" text="Elevée">
      <formula>NOT(ISERROR(SEARCH("Elevée",I1852)))</formula>
    </cfRule>
    <cfRule type="containsText" dxfId="29" priority="32" operator="containsText" text="Moyenne">
      <formula>NOT(ISERROR(SEARCH("Moyenne",I1852)))</formula>
    </cfRule>
  </conditionalFormatting>
  <conditionalFormatting sqref="I1883:I1886">
    <cfRule type="containsText" dxfId="28" priority="27" operator="containsText" text="Faible">
      <formula>NOT(ISERROR(SEARCH("Faible",I1883)))</formula>
    </cfRule>
    <cfRule type="containsText" dxfId="27" priority="28" operator="containsText" text="Elevée">
      <formula>NOT(ISERROR(SEARCH("Elevée",I1883)))</formula>
    </cfRule>
    <cfRule type="containsText" dxfId="26" priority="29" operator="containsText" text="Moyenne">
      <formula>NOT(ISERROR(SEARCH("Moyenne",I1883)))</formula>
    </cfRule>
  </conditionalFormatting>
  <conditionalFormatting sqref="I1887">
    <cfRule type="containsText" dxfId="25" priority="24" operator="containsText" text="Faible">
      <formula>NOT(ISERROR(SEARCH("Faible",I1887)))</formula>
    </cfRule>
    <cfRule type="containsText" dxfId="24" priority="25" operator="containsText" text="Elevée">
      <formula>NOT(ISERROR(SEARCH("Elevée",I1887)))</formula>
    </cfRule>
    <cfRule type="containsText" dxfId="23" priority="26" operator="containsText" text="Moyenne">
      <formula>NOT(ISERROR(SEARCH("Moyenne",I1887)))</formula>
    </cfRule>
  </conditionalFormatting>
  <conditionalFormatting sqref="I1878:I1881">
    <cfRule type="containsText" dxfId="22" priority="21" operator="containsText" text="Faible">
      <formula>NOT(ISERROR(SEARCH("Faible",I1878)))</formula>
    </cfRule>
    <cfRule type="containsText" dxfId="21" priority="22" operator="containsText" text="Elevée">
      <formula>NOT(ISERROR(SEARCH("Elevée",I1878)))</formula>
    </cfRule>
    <cfRule type="containsText" dxfId="20" priority="23" operator="containsText" text="Moyenne">
      <formula>NOT(ISERROR(SEARCH("Moyenne",I1878)))</formula>
    </cfRule>
  </conditionalFormatting>
  <conditionalFormatting sqref="I1882">
    <cfRule type="containsText" dxfId="19" priority="18" operator="containsText" text="Faible">
      <formula>NOT(ISERROR(SEARCH("Faible",I1882)))</formula>
    </cfRule>
    <cfRule type="containsText" dxfId="18" priority="19" operator="containsText" text="Elevée">
      <formula>NOT(ISERROR(SEARCH("Elevée",I1882)))</formula>
    </cfRule>
    <cfRule type="containsText" dxfId="17" priority="20" operator="containsText" text="Moyenne">
      <formula>NOT(ISERROR(SEARCH("Moyenne",I1882)))</formula>
    </cfRule>
  </conditionalFormatting>
  <conditionalFormatting sqref="I1873:I1876">
    <cfRule type="containsText" dxfId="16" priority="15" operator="containsText" text="Faible">
      <formula>NOT(ISERROR(SEARCH("Faible",I1873)))</formula>
    </cfRule>
    <cfRule type="containsText" dxfId="15" priority="16" operator="containsText" text="Elevée">
      <formula>NOT(ISERROR(SEARCH("Elevée",I1873)))</formula>
    </cfRule>
    <cfRule type="containsText" dxfId="14" priority="17" operator="containsText" text="Moyenne">
      <formula>NOT(ISERROR(SEARCH("Moyenne",I1873)))</formula>
    </cfRule>
  </conditionalFormatting>
  <conditionalFormatting sqref="I1877">
    <cfRule type="containsText" dxfId="13" priority="12" operator="containsText" text="Faible">
      <formula>NOT(ISERROR(SEARCH("Faible",I1877)))</formula>
    </cfRule>
    <cfRule type="containsText" dxfId="12" priority="13" operator="containsText" text="Elevée">
      <formula>NOT(ISERROR(SEARCH("Elevée",I1877)))</formula>
    </cfRule>
    <cfRule type="containsText" dxfId="11" priority="14" operator="containsText" text="Moyenne">
      <formula>NOT(ISERROR(SEARCH("Moyenne",I1877)))</formula>
    </cfRule>
  </conditionalFormatting>
  <conditionalFormatting sqref="I1888:I1891">
    <cfRule type="containsText" dxfId="10" priority="9" operator="containsText" text="Faible">
      <formula>NOT(ISERROR(SEARCH("Faible",I1888)))</formula>
    </cfRule>
    <cfRule type="containsText" dxfId="9" priority="10" operator="containsText" text="Elevée">
      <formula>NOT(ISERROR(SEARCH("Elevée",I1888)))</formula>
    </cfRule>
    <cfRule type="containsText" dxfId="8" priority="11" operator="containsText" text="Moyenne">
      <formula>NOT(ISERROR(SEARCH("Moyenne",I1888)))</formula>
    </cfRule>
  </conditionalFormatting>
  <conditionalFormatting sqref="I1772:I2091">
    <cfRule type="cellIs" dxfId="7" priority="7" operator="equal">
      <formula>$I$5</formula>
    </cfRule>
    <cfRule type="cellIs" dxfId="6" priority="8" operator="equal">
      <formula>$I$284</formula>
    </cfRule>
  </conditionalFormatting>
  <conditionalFormatting sqref="F1772:F2091">
    <cfRule type="cellIs" dxfId="5" priority="4" operator="equal">
      <formula>"NON"</formula>
    </cfRule>
    <cfRule type="cellIs" dxfId="4" priority="5" operator="equal">
      <formula>"PAS"</formula>
    </cfRule>
    <cfRule type="cellIs" dxfId="3" priority="6" operator="equal">
      <formula>"OUI"</formula>
    </cfRule>
  </conditionalFormatting>
  <conditionalFormatting sqref="F1862">
    <cfRule type="cellIs" dxfId="2" priority="3" operator="equal">
      <formula>"OUI"</formula>
    </cfRule>
  </conditionalFormatting>
  <conditionalFormatting sqref="I1772:I2091">
    <cfRule type="cellIs" dxfId="1" priority="1" operator="equal">
      <formula>$I$133</formula>
    </cfRule>
    <cfRule type="cellIs" dxfId="0" priority="2" operator="equal">
      <formula>$I$17</formula>
    </cfRule>
  </conditionalFormatting>
  <dataValidations count="2">
    <dataValidation type="list" allowBlank="1" showInputMessage="1" showErrorMessage="1" sqref="H286:H976 I1771 I1773:I1902">
      <formula1>"Elevée,Moyenne,Faible"</formula1>
    </dataValidation>
    <dataValidation type="list" allowBlank="1" showInputMessage="1" showErrorMessage="1" sqref="E286:E976 G593 F1771 F1773:F2090">
      <formula1>"OUI,NON,PAS"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79"/>
  <sheetViews>
    <sheetView topLeftCell="B55" zoomScale="40" zoomScaleNormal="40" workbookViewId="0">
      <selection activeCell="B139" sqref="A1:XFD1048576"/>
    </sheetView>
  </sheetViews>
  <sheetFormatPr baseColWidth="10" defaultRowHeight="14.5"/>
  <cols>
    <col min="1" max="1" width="67.1796875" bestFit="1" customWidth="1"/>
    <col min="2" max="2" width="70.08984375" bestFit="1" customWidth="1"/>
    <col min="3" max="3" width="185.6328125" bestFit="1" customWidth="1"/>
    <col min="4" max="4" width="250.08984375" bestFit="1" customWidth="1"/>
    <col min="5" max="5" width="255.6328125" bestFit="1" customWidth="1"/>
    <col min="6" max="6" width="20.453125" bestFit="1" customWidth="1"/>
    <col min="7" max="7" width="127.54296875" bestFit="1" customWidth="1"/>
    <col min="8" max="8" width="173" bestFit="1" customWidth="1"/>
    <col min="9" max="9" width="15.54296875" bestFit="1" customWidth="1"/>
    <col min="10" max="10" width="53.1796875" bestFit="1" customWidth="1"/>
    <col min="11" max="11" width="37.6328125" bestFit="1" customWidth="1"/>
  </cols>
  <sheetData>
    <row r="2" spans="1:11" ht="15" thickBot="1">
      <c r="A2" s="1"/>
      <c r="B2" s="1"/>
      <c r="C2" s="1"/>
      <c r="D2" s="1"/>
      <c r="E2" s="1"/>
      <c r="F2" s="1"/>
      <c r="G2" s="1"/>
      <c r="H2" s="1"/>
      <c r="I2" s="1"/>
      <c r="J2" s="1"/>
      <c r="K2" s="1"/>
    </row>
    <row r="3" spans="1:11" ht="30.5" thickBot="1">
      <c r="A3" s="114" t="s">
        <v>0</v>
      </c>
      <c r="B3" s="115" t="s">
        <v>1</v>
      </c>
      <c r="C3" s="116" t="s">
        <v>2</v>
      </c>
      <c r="D3" s="117" t="s">
        <v>3</v>
      </c>
      <c r="E3" s="118" t="s">
        <v>4</v>
      </c>
      <c r="F3" s="117" t="s">
        <v>5</v>
      </c>
      <c r="G3" s="119" t="s">
        <v>6</v>
      </c>
      <c r="H3" s="120" t="s">
        <v>7</v>
      </c>
      <c r="I3" s="119" t="s">
        <v>8</v>
      </c>
      <c r="J3" s="117" t="s">
        <v>9</v>
      </c>
      <c r="K3" s="121" t="s">
        <v>10</v>
      </c>
    </row>
    <row r="4" spans="1:11" ht="25">
      <c r="A4" s="153" t="s">
        <v>11</v>
      </c>
      <c r="B4" s="156" t="s">
        <v>12</v>
      </c>
      <c r="C4" s="158" t="s">
        <v>13</v>
      </c>
      <c r="D4" s="14" t="s">
        <v>14</v>
      </c>
      <c r="E4" s="11" t="s">
        <v>15</v>
      </c>
      <c r="F4" s="12" t="s">
        <v>16</v>
      </c>
      <c r="G4" s="13" t="s">
        <v>17</v>
      </c>
      <c r="H4" s="13" t="s">
        <v>18</v>
      </c>
      <c r="I4" s="39" t="s">
        <v>19</v>
      </c>
      <c r="J4" s="13" t="s">
        <v>20</v>
      </c>
      <c r="K4" s="40"/>
    </row>
    <row r="5" spans="1:11" ht="25">
      <c r="A5" s="154"/>
      <c r="B5" s="157"/>
      <c r="C5" s="159"/>
      <c r="D5" s="41" t="s">
        <v>21</v>
      </c>
      <c r="E5" s="42" t="s">
        <v>22</v>
      </c>
      <c r="F5" s="43" t="s">
        <v>23</v>
      </c>
      <c r="G5" s="17" t="s">
        <v>24</v>
      </c>
      <c r="H5" s="17" t="s">
        <v>25</v>
      </c>
      <c r="I5" s="44" t="s">
        <v>26</v>
      </c>
      <c r="J5" s="17"/>
      <c r="K5" s="45"/>
    </row>
    <row r="6" spans="1:11" ht="25">
      <c r="A6" s="154"/>
      <c r="B6" s="157"/>
      <c r="C6" s="159"/>
      <c r="D6" s="46" t="s">
        <v>27</v>
      </c>
      <c r="E6" s="42" t="s">
        <v>28</v>
      </c>
      <c r="F6" s="43" t="s">
        <v>23</v>
      </c>
      <c r="G6" s="17" t="s">
        <v>29</v>
      </c>
      <c r="H6" s="17" t="s">
        <v>30</v>
      </c>
      <c r="I6" s="44" t="s">
        <v>19</v>
      </c>
      <c r="J6" s="17"/>
      <c r="K6" s="45"/>
    </row>
    <row r="7" spans="1:11" ht="25">
      <c r="A7" s="154"/>
      <c r="B7" s="157"/>
      <c r="C7" s="159"/>
      <c r="D7" s="46" t="s">
        <v>31</v>
      </c>
      <c r="E7" s="42" t="s">
        <v>32</v>
      </c>
      <c r="F7" s="43" t="s">
        <v>16</v>
      </c>
      <c r="G7" s="17" t="s">
        <v>33</v>
      </c>
      <c r="H7" s="48" t="s">
        <v>34</v>
      </c>
      <c r="I7" s="49" t="s">
        <v>26</v>
      </c>
      <c r="J7" s="48"/>
      <c r="K7" s="124"/>
    </row>
    <row r="8" spans="1:11" ht="25.5" thickBot="1">
      <c r="A8" s="154"/>
      <c r="B8" s="157"/>
      <c r="C8" s="160"/>
      <c r="D8" s="22" t="s">
        <v>35</v>
      </c>
      <c r="E8" s="47" t="s">
        <v>36</v>
      </c>
      <c r="F8" s="125" t="s">
        <v>16</v>
      </c>
      <c r="G8" s="48" t="s">
        <v>37</v>
      </c>
      <c r="H8" s="70" t="s">
        <v>38</v>
      </c>
      <c r="I8" s="122" t="s">
        <v>19</v>
      </c>
      <c r="J8" s="17"/>
      <c r="K8" s="50"/>
    </row>
    <row r="9" spans="1:11" ht="25">
      <c r="A9" s="154"/>
      <c r="B9" s="157"/>
      <c r="C9" s="158" t="s">
        <v>39</v>
      </c>
      <c r="D9" s="14" t="s">
        <v>40</v>
      </c>
      <c r="E9" s="25" t="s">
        <v>41</v>
      </c>
      <c r="F9" s="51" t="s">
        <v>16</v>
      </c>
      <c r="G9" s="17" t="s">
        <v>42</v>
      </c>
      <c r="H9" s="17" t="s">
        <v>43</v>
      </c>
      <c r="I9" s="123" t="s">
        <v>26</v>
      </c>
      <c r="J9" s="17"/>
      <c r="K9" s="50"/>
    </row>
    <row r="10" spans="1:11" ht="25">
      <c r="A10" s="154"/>
      <c r="B10" s="157"/>
      <c r="C10" s="159"/>
      <c r="D10" s="55" t="s">
        <v>44</v>
      </c>
      <c r="E10" s="42" t="s">
        <v>45</v>
      </c>
      <c r="F10" s="51" t="s">
        <v>16</v>
      </c>
      <c r="G10" s="52" t="s">
        <v>46</v>
      </c>
      <c r="H10" s="52" t="s">
        <v>47</v>
      </c>
      <c r="I10" s="44" t="s">
        <v>26</v>
      </c>
      <c r="J10" s="52"/>
      <c r="K10" s="45"/>
    </row>
    <row r="11" spans="1:11" ht="25">
      <c r="A11" s="154"/>
      <c r="B11" s="157"/>
      <c r="C11" s="159"/>
      <c r="D11" s="55" t="s">
        <v>48</v>
      </c>
      <c r="E11" s="42" t="s">
        <v>49</v>
      </c>
      <c r="F11" s="51" t="s">
        <v>16</v>
      </c>
      <c r="G11" s="52" t="s">
        <v>50</v>
      </c>
      <c r="H11" s="52" t="s">
        <v>51</v>
      </c>
      <c r="I11" s="53" t="s">
        <v>19</v>
      </c>
      <c r="J11" s="52"/>
      <c r="K11" s="54"/>
    </row>
    <row r="12" spans="1:11" ht="25">
      <c r="A12" s="154"/>
      <c r="B12" s="157"/>
      <c r="C12" s="159"/>
      <c r="D12" s="55" t="s">
        <v>52</v>
      </c>
      <c r="E12" s="42" t="s">
        <v>53</v>
      </c>
      <c r="F12" s="51" t="s">
        <v>23</v>
      </c>
      <c r="G12" s="52" t="s">
        <v>54</v>
      </c>
      <c r="H12" s="52" t="s">
        <v>55</v>
      </c>
      <c r="I12" s="53" t="s">
        <v>19</v>
      </c>
      <c r="J12" s="52"/>
      <c r="K12" s="54"/>
    </row>
    <row r="13" spans="1:11" ht="25.5" thickBot="1">
      <c r="A13" s="154"/>
      <c r="B13" s="157"/>
      <c r="C13" s="160"/>
      <c r="D13" s="56" t="s">
        <v>56</v>
      </c>
      <c r="E13" s="47" t="s">
        <v>57</v>
      </c>
      <c r="F13" s="57" t="s">
        <v>58</v>
      </c>
      <c r="G13" s="58" t="s">
        <v>59</v>
      </c>
      <c r="H13" s="58" t="s">
        <v>60</v>
      </c>
      <c r="I13" s="59" t="s">
        <v>19</v>
      </c>
      <c r="J13" s="58"/>
      <c r="K13" s="60"/>
    </row>
    <row r="14" spans="1:11" ht="25">
      <c r="A14" s="154"/>
      <c r="B14" s="157"/>
      <c r="C14" s="158" t="s">
        <v>61</v>
      </c>
      <c r="D14" s="14" t="s">
        <v>62</v>
      </c>
      <c r="E14" s="25" t="s">
        <v>63</v>
      </c>
      <c r="F14" s="12" t="s">
        <v>16</v>
      </c>
      <c r="G14" s="13" t="s">
        <v>64</v>
      </c>
      <c r="H14" s="13" t="s">
        <v>65</v>
      </c>
      <c r="I14" s="39" t="s">
        <v>19</v>
      </c>
      <c r="J14" s="13"/>
      <c r="K14" s="40"/>
    </row>
    <row r="15" spans="1:11" ht="25">
      <c r="A15" s="154"/>
      <c r="B15" s="157"/>
      <c r="C15" s="159"/>
      <c r="D15" s="55" t="s">
        <v>66</v>
      </c>
      <c r="E15" s="42" t="s">
        <v>67</v>
      </c>
      <c r="F15" s="51" t="s">
        <v>16</v>
      </c>
      <c r="G15" s="52" t="s">
        <v>68</v>
      </c>
      <c r="H15" s="52" t="s">
        <v>69</v>
      </c>
      <c r="I15" s="53" t="s">
        <v>26</v>
      </c>
      <c r="J15" s="52"/>
      <c r="K15" s="54"/>
    </row>
    <row r="16" spans="1:11" ht="25">
      <c r="A16" s="154"/>
      <c r="B16" s="157"/>
      <c r="C16" s="159"/>
      <c r="D16" s="55" t="s">
        <v>70</v>
      </c>
      <c r="E16" s="42" t="s">
        <v>71</v>
      </c>
      <c r="F16" s="51" t="s">
        <v>23</v>
      </c>
      <c r="G16" s="52" t="s">
        <v>72</v>
      </c>
      <c r="H16" s="52" t="s">
        <v>73</v>
      </c>
      <c r="I16" s="53" t="s">
        <v>19</v>
      </c>
      <c r="J16" s="52"/>
      <c r="K16" s="54"/>
    </row>
    <row r="17" spans="1:11" ht="25">
      <c r="A17" s="154"/>
      <c r="B17" s="157"/>
      <c r="C17" s="159"/>
      <c r="D17" s="55" t="s">
        <v>74</v>
      </c>
      <c r="E17" s="42" t="s">
        <v>75</v>
      </c>
      <c r="F17" s="51" t="s">
        <v>16</v>
      </c>
      <c r="G17" s="52" t="s">
        <v>76</v>
      </c>
      <c r="H17" s="52" t="s">
        <v>77</v>
      </c>
      <c r="I17" s="53" t="s">
        <v>19</v>
      </c>
      <c r="J17" s="52"/>
      <c r="K17" s="54"/>
    </row>
    <row r="18" spans="1:11" ht="25.5" thickBot="1">
      <c r="A18" s="154"/>
      <c r="B18" s="157"/>
      <c r="C18" s="160"/>
      <c r="D18" s="56" t="s">
        <v>78</v>
      </c>
      <c r="E18" s="47" t="s">
        <v>79</v>
      </c>
      <c r="F18" s="61" t="s">
        <v>58</v>
      </c>
      <c r="G18" s="62" t="s">
        <v>80</v>
      </c>
      <c r="H18" s="62" t="s">
        <v>81</v>
      </c>
      <c r="I18" s="63" t="s">
        <v>26</v>
      </c>
      <c r="J18" s="62"/>
      <c r="K18" s="64"/>
    </row>
    <row r="19" spans="1:11" ht="25">
      <c r="A19" s="154"/>
      <c r="B19" s="157"/>
      <c r="C19" s="158" t="s">
        <v>82</v>
      </c>
      <c r="D19" s="55" t="s">
        <v>83</v>
      </c>
      <c r="E19" s="65" t="s">
        <v>84</v>
      </c>
      <c r="F19" s="51" t="s">
        <v>16</v>
      </c>
      <c r="G19" s="52" t="s">
        <v>85</v>
      </c>
      <c r="H19" s="52" t="s">
        <v>86</v>
      </c>
      <c r="I19" s="53" t="s">
        <v>19</v>
      </c>
      <c r="J19" s="52"/>
      <c r="K19" s="54"/>
    </row>
    <row r="20" spans="1:11" ht="25">
      <c r="A20" s="154"/>
      <c r="B20" s="157"/>
      <c r="C20" s="159"/>
      <c r="D20" s="55" t="s">
        <v>87</v>
      </c>
      <c r="E20" s="16" t="s">
        <v>88</v>
      </c>
      <c r="F20" s="51" t="s">
        <v>58</v>
      </c>
      <c r="G20" s="52" t="s">
        <v>89</v>
      </c>
      <c r="H20" s="52" t="s">
        <v>90</v>
      </c>
      <c r="I20" s="53" t="s">
        <v>19</v>
      </c>
      <c r="J20" s="52"/>
      <c r="K20" s="54"/>
    </row>
    <row r="21" spans="1:11" ht="25">
      <c r="A21" s="154"/>
      <c r="B21" s="157"/>
      <c r="C21" s="159"/>
      <c r="D21" s="55" t="s">
        <v>91</v>
      </c>
      <c r="E21" s="16" t="s">
        <v>92</v>
      </c>
      <c r="F21" s="51" t="s">
        <v>58</v>
      </c>
      <c r="G21" s="52" t="s">
        <v>93</v>
      </c>
      <c r="H21" s="52" t="s">
        <v>94</v>
      </c>
      <c r="I21" s="53" t="s">
        <v>19</v>
      </c>
      <c r="J21" s="52"/>
      <c r="K21" s="54"/>
    </row>
    <row r="22" spans="1:11" ht="25">
      <c r="A22" s="154"/>
      <c r="B22" s="157"/>
      <c r="C22" s="159"/>
      <c r="D22" s="55" t="s">
        <v>95</v>
      </c>
      <c r="E22" s="16" t="s">
        <v>96</v>
      </c>
      <c r="F22" s="51" t="s">
        <v>58</v>
      </c>
      <c r="G22" s="52" t="s">
        <v>97</v>
      </c>
      <c r="H22" s="52" t="s">
        <v>98</v>
      </c>
      <c r="I22" s="53" t="s">
        <v>26</v>
      </c>
      <c r="J22" s="52"/>
      <c r="K22" s="54"/>
    </row>
    <row r="23" spans="1:11" ht="25.5" thickBot="1">
      <c r="A23" s="154"/>
      <c r="B23" s="157"/>
      <c r="C23" s="160"/>
      <c r="D23" s="66" t="s">
        <v>99</v>
      </c>
      <c r="E23" s="67" t="s">
        <v>100</v>
      </c>
      <c r="F23" s="57" t="s">
        <v>58</v>
      </c>
      <c r="G23" s="58" t="s">
        <v>101</v>
      </c>
      <c r="H23" s="58" t="s">
        <v>102</v>
      </c>
      <c r="I23" s="59" t="s">
        <v>19</v>
      </c>
      <c r="J23" s="58"/>
      <c r="K23" s="60"/>
    </row>
    <row r="24" spans="1:11" ht="25">
      <c r="A24" s="154"/>
      <c r="B24" s="157"/>
      <c r="C24" s="158" t="s">
        <v>103</v>
      </c>
      <c r="D24" s="14" t="s">
        <v>104</v>
      </c>
      <c r="E24" s="24" t="s">
        <v>105</v>
      </c>
      <c r="F24" s="12" t="s">
        <v>23</v>
      </c>
      <c r="G24" s="13" t="s">
        <v>106</v>
      </c>
      <c r="H24" s="13" t="s">
        <v>107</v>
      </c>
      <c r="I24" s="39" t="s">
        <v>19</v>
      </c>
      <c r="J24" s="13"/>
      <c r="K24" s="40"/>
    </row>
    <row r="25" spans="1:11" ht="25">
      <c r="A25" s="154"/>
      <c r="B25" s="157"/>
      <c r="C25" s="159"/>
      <c r="D25" s="55" t="s">
        <v>108</v>
      </c>
      <c r="E25" s="16" t="s">
        <v>109</v>
      </c>
      <c r="F25" s="51" t="s">
        <v>23</v>
      </c>
      <c r="G25" s="52" t="s">
        <v>110</v>
      </c>
      <c r="H25" s="52" t="s">
        <v>111</v>
      </c>
      <c r="I25" s="53" t="s">
        <v>26</v>
      </c>
      <c r="J25" s="52"/>
      <c r="K25" s="54"/>
    </row>
    <row r="26" spans="1:11" ht="25">
      <c r="A26" s="154"/>
      <c r="B26" s="157"/>
      <c r="C26" s="159"/>
      <c r="D26" s="55" t="s">
        <v>112</v>
      </c>
      <c r="E26" s="16" t="s">
        <v>113</v>
      </c>
      <c r="F26" s="51" t="s">
        <v>23</v>
      </c>
      <c r="G26" s="52" t="s">
        <v>114</v>
      </c>
      <c r="H26" s="52" t="s">
        <v>115</v>
      </c>
      <c r="I26" s="53" t="s">
        <v>19</v>
      </c>
      <c r="J26" s="52"/>
      <c r="K26" s="54"/>
    </row>
    <row r="27" spans="1:11" ht="25">
      <c r="A27" s="154"/>
      <c r="B27" s="157"/>
      <c r="C27" s="159"/>
      <c r="D27" s="55" t="s">
        <v>116</v>
      </c>
      <c r="E27" s="16" t="s">
        <v>117</v>
      </c>
      <c r="F27" s="51" t="s">
        <v>23</v>
      </c>
      <c r="G27" s="52" t="s">
        <v>118</v>
      </c>
      <c r="H27" s="52" t="s">
        <v>119</v>
      </c>
      <c r="I27" s="53" t="s">
        <v>26</v>
      </c>
      <c r="J27" s="52"/>
      <c r="K27" s="54"/>
    </row>
    <row r="28" spans="1:11" ht="25.5" thickBot="1">
      <c r="A28" s="154"/>
      <c r="B28" s="157"/>
      <c r="C28" s="160"/>
      <c r="D28" s="56" t="s">
        <v>120</v>
      </c>
      <c r="E28" s="20" t="s">
        <v>121</v>
      </c>
      <c r="F28" s="61" t="s">
        <v>23</v>
      </c>
      <c r="G28" s="62" t="s">
        <v>122</v>
      </c>
      <c r="H28" s="62" t="s">
        <v>123</v>
      </c>
      <c r="I28" s="63" t="s">
        <v>19</v>
      </c>
      <c r="J28" s="62"/>
      <c r="K28" s="64"/>
    </row>
    <row r="29" spans="1:11" ht="25">
      <c r="A29" s="154"/>
      <c r="B29" s="157"/>
      <c r="C29" s="158" t="s">
        <v>124</v>
      </c>
      <c r="D29" s="55" t="s">
        <v>125</v>
      </c>
      <c r="E29" s="65" t="s">
        <v>126</v>
      </c>
      <c r="F29" s="51" t="s">
        <v>16</v>
      </c>
      <c r="G29" s="52" t="s">
        <v>127</v>
      </c>
      <c r="H29" s="52" t="s">
        <v>128</v>
      </c>
      <c r="I29" s="53" t="s">
        <v>19</v>
      </c>
      <c r="J29" s="52"/>
      <c r="K29" s="54"/>
    </row>
    <row r="30" spans="1:11" ht="25">
      <c r="A30" s="154"/>
      <c r="B30" s="157"/>
      <c r="C30" s="159"/>
      <c r="D30" s="55" t="s">
        <v>129</v>
      </c>
      <c r="E30" s="16" t="s">
        <v>130</v>
      </c>
      <c r="F30" s="51" t="s">
        <v>16</v>
      </c>
      <c r="G30" s="52" t="s">
        <v>131</v>
      </c>
      <c r="H30" s="52" t="s">
        <v>132</v>
      </c>
      <c r="I30" s="53" t="s">
        <v>19</v>
      </c>
      <c r="J30" s="52"/>
      <c r="K30" s="54"/>
    </row>
    <row r="31" spans="1:11" ht="25">
      <c r="A31" s="154"/>
      <c r="B31" s="157"/>
      <c r="C31" s="159"/>
      <c r="D31" s="55" t="s">
        <v>133</v>
      </c>
      <c r="E31" s="16" t="s">
        <v>134</v>
      </c>
      <c r="F31" s="51" t="s">
        <v>58</v>
      </c>
      <c r="G31" s="52" t="s">
        <v>135</v>
      </c>
      <c r="H31" s="52" t="s">
        <v>136</v>
      </c>
      <c r="I31" s="53" t="s">
        <v>19</v>
      </c>
      <c r="J31" s="52"/>
      <c r="K31" s="54"/>
    </row>
    <row r="32" spans="1:11" ht="25">
      <c r="A32" s="154"/>
      <c r="B32" s="157"/>
      <c r="C32" s="159"/>
      <c r="D32" s="55" t="s">
        <v>137</v>
      </c>
      <c r="E32" s="16" t="s">
        <v>138</v>
      </c>
      <c r="F32" s="51" t="s">
        <v>16</v>
      </c>
      <c r="G32" s="52" t="s">
        <v>139</v>
      </c>
      <c r="H32" s="52" t="s">
        <v>140</v>
      </c>
      <c r="I32" s="53" t="s">
        <v>19</v>
      </c>
      <c r="J32" s="52"/>
      <c r="K32" s="54"/>
    </row>
    <row r="33" spans="1:11" ht="25.5" thickBot="1">
      <c r="A33" s="154"/>
      <c r="B33" s="157"/>
      <c r="C33" s="159"/>
      <c r="D33" s="66" t="s">
        <v>141</v>
      </c>
      <c r="E33" s="67" t="s">
        <v>142</v>
      </c>
      <c r="F33" s="57" t="s">
        <v>16</v>
      </c>
      <c r="G33" s="58" t="s">
        <v>143</v>
      </c>
      <c r="H33" s="58" t="s">
        <v>144</v>
      </c>
      <c r="I33" s="59" t="s">
        <v>26</v>
      </c>
      <c r="J33" s="58"/>
      <c r="K33" s="60"/>
    </row>
    <row r="34" spans="1:11" ht="25">
      <c r="A34" s="154"/>
      <c r="B34" s="157"/>
      <c r="C34" s="158" t="s">
        <v>145</v>
      </c>
      <c r="D34" s="14" t="s">
        <v>146</v>
      </c>
      <c r="E34" s="24" t="s">
        <v>147</v>
      </c>
      <c r="F34" s="12" t="s">
        <v>16</v>
      </c>
      <c r="G34" s="13" t="s">
        <v>148</v>
      </c>
      <c r="H34" s="13" t="s">
        <v>149</v>
      </c>
      <c r="I34" s="39" t="s">
        <v>26</v>
      </c>
      <c r="J34" s="13"/>
      <c r="K34" s="40"/>
    </row>
    <row r="35" spans="1:11" ht="25">
      <c r="A35" s="154"/>
      <c r="B35" s="157"/>
      <c r="C35" s="159"/>
      <c r="D35" s="55" t="s">
        <v>150</v>
      </c>
      <c r="E35" s="16" t="s">
        <v>151</v>
      </c>
      <c r="F35" s="51" t="s">
        <v>16</v>
      </c>
      <c r="G35" s="52" t="s">
        <v>152</v>
      </c>
      <c r="H35" s="52" t="s">
        <v>153</v>
      </c>
      <c r="I35" s="53" t="s">
        <v>19</v>
      </c>
      <c r="J35" s="52"/>
      <c r="K35" s="54"/>
    </row>
    <row r="36" spans="1:11" ht="25">
      <c r="A36" s="154"/>
      <c r="B36" s="157"/>
      <c r="C36" s="159"/>
      <c r="D36" s="55" t="s">
        <v>154</v>
      </c>
      <c r="E36" s="16" t="s">
        <v>155</v>
      </c>
      <c r="F36" s="51" t="s">
        <v>16</v>
      </c>
      <c r="G36" s="52" t="s">
        <v>156</v>
      </c>
      <c r="H36" s="52" t="s">
        <v>157</v>
      </c>
      <c r="I36" s="53" t="s">
        <v>26</v>
      </c>
      <c r="J36" s="52"/>
      <c r="K36" s="54"/>
    </row>
    <row r="37" spans="1:11" ht="25">
      <c r="A37" s="154"/>
      <c r="B37" s="157"/>
      <c r="C37" s="159"/>
      <c r="D37" s="55" t="s">
        <v>158</v>
      </c>
      <c r="E37" s="16" t="s">
        <v>159</v>
      </c>
      <c r="F37" s="51" t="s">
        <v>16</v>
      </c>
      <c r="G37" s="52" t="s">
        <v>160</v>
      </c>
      <c r="H37" s="52" t="s">
        <v>161</v>
      </c>
      <c r="I37" s="53" t="s">
        <v>26</v>
      </c>
      <c r="J37" s="52"/>
      <c r="K37" s="54"/>
    </row>
    <row r="38" spans="1:11" ht="25.5" thickBot="1">
      <c r="A38" s="154"/>
      <c r="B38" s="157"/>
      <c r="C38" s="160"/>
      <c r="D38" s="56" t="s">
        <v>162</v>
      </c>
      <c r="E38" s="20" t="s">
        <v>163</v>
      </c>
      <c r="F38" s="61" t="s">
        <v>16</v>
      </c>
      <c r="G38" s="62" t="s">
        <v>164</v>
      </c>
      <c r="H38" s="62" t="s">
        <v>165</v>
      </c>
      <c r="I38" s="63" t="s">
        <v>26</v>
      </c>
      <c r="J38" s="62"/>
      <c r="K38" s="64"/>
    </row>
    <row r="39" spans="1:11" ht="25">
      <c r="A39" s="154"/>
      <c r="B39" s="157"/>
      <c r="C39" s="158" t="s">
        <v>166</v>
      </c>
      <c r="D39" s="14" t="s">
        <v>167</v>
      </c>
      <c r="E39" s="25" t="s">
        <v>168</v>
      </c>
      <c r="F39" s="51" t="s">
        <v>23</v>
      </c>
      <c r="G39" s="52" t="s">
        <v>169</v>
      </c>
      <c r="H39" s="52" t="s">
        <v>170</v>
      </c>
      <c r="I39" s="53" t="s">
        <v>19</v>
      </c>
      <c r="J39" s="52"/>
      <c r="K39" s="54"/>
    </row>
    <row r="40" spans="1:11" ht="25">
      <c r="A40" s="154"/>
      <c r="B40" s="157"/>
      <c r="C40" s="159"/>
      <c r="D40" s="55" t="s">
        <v>171</v>
      </c>
      <c r="E40" s="42" t="s">
        <v>172</v>
      </c>
      <c r="F40" s="51" t="s">
        <v>23</v>
      </c>
      <c r="G40" s="52" t="s">
        <v>173</v>
      </c>
      <c r="H40" s="52" t="s">
        <v>174</v>
      </c>
      <c r="I40" s="53" t="s">
        <v>26</v>
      </c>
      <c r="J40" s="52"/>
      <c r="K40" s="54"/>
    </row>
    <row r="41" spans="1:11" ht="25">
      <c r="A41" s="154"/>
      <c r="B41" s="157"/>
      <c r="C41" s="159"/>
      <c r="D41" s="55" t="s">
        <v>175</v>
      </c>
      <c r="E41" s="42" t="s">
        <v>176</v>
      </c>
      <c r="F41" s="51" t="s">
        <v>23</v>
      </c>
      <c r="G41" s="52" t="s">
        <v>177</v>
      </c>
      <c r="H41" s="52" t="s">
        <v>178</v>
      </c>
      <c r="I41" s="53" t="s">
        <v>26</v>
      </c>
      <c r="J41" s="52"/>
      <c r="K41" s="54"/>
    </row>
    <row r="42" spans="1:11" ht="25">
      <c r="A42" s="154"/>
      <c r="B42" s="157"/>
      <c r="C42" s="159"/>
      <c r="D42" s="55" t="s">
        <v>179</v>
      </c>
      <c r="E42" s="42" t="s">
        <v>180</v>
      </c>
      <c r="F42" s="51" t="s">
        <v>23</v>
      </c>
      <c r="G42" s="52" t="s">
        <v>181</v>
      </c>
      <c r="H42" s="52" t="s">
        <v>182</v>
      </c>
      <c r="I42" s="53" t="s">
        <v>19</v>
      </c>
      <c r="J42" s="52"/>
      <c r="K42" s="54"/>
    </row>
    <row r="43" spans="1:11" ht="25.5" thickBot="1">
      <c r="A43" s="154"/>
      <c r="B43" s="157"/>
      <c r="C43" s="159"/>
      <c r="D43" s="66" t="s">
        <v>183</v>
      </c>
      <c r="E43" s="68" t="s">
        <v>184</v>
      </c>
      <c r="F43" s="51" t="s">
        <v>23</v>
      </c>
      <c r="G43" s="52" t="s">
        <v>185</v>
      </c>
      <c r="H43" s="52" t="s">
        <v>186</v>
      </c>
      <c r="I43" s="53" t="s">
        <v>26</v>
      </c>
      <c r="J43" s="52"/>
      <c r="K43" s="54"/>
    </row>
    <row r="44" spans="1:11" ht="25">
      <c r="A44" s="154"/>
      <c r="B44" s="157"/>
      <c r="C44" s="161" t="s">
        <v>187</v>
      </c>
      <c r="D44" s="13" t="s">
        <v>188</v>
      </c>
      <c r="E44" s="25" t="s">
        <v>189</v>
      </c>
      <c r="F44" s="12" t="s">
        <v>23</v>
      </c>
      <c r="G44" s="13" t="s">
        <v>190</v>
      </c>
      <c r="H44" s="13" t="s">
        <v>191</v>
      </c>
      <c r="I44" s="39" t="s">
        <v>26</v>
      </c>
      <c r="J44" s="13"/>
      <c r="K44" s="40"/>
    </row>
    <row r="45" spans="1:11" ht="25">
      <c r="A45" s="154"/>
      <c r="B45" s="157"/>
      <c r="C45" s="162"/>
      <c r="D45" s="69" t="s">
        <v>192</v>
      </c>
      <c r="E45" s="42" t="s">
        <v>193</v>
      </c>
      <c r="F45" s="43" t="s">
        <v>58</v>
      </c>
      <c r="G45" s="17" t="s">
        <v>194</v>
      </c>
      <c r="H45" s="17" t="s">
        <v>195</v>
      </c>
      <c r="I45" s="44" t="s">
        <v>26</v>
      </c>
      <c r="J45" s="17"/>
      <c r="K45" s="45"/>
    </row>
    <row r="46" spans="1:11" ht="25">
      <c r="A46" s="154"/>
      <c r="B46" s="157"/>
      <c r="C46" s="162"/>
      <c r="D46" s="70" t="s">
        <v>196</v>
      </c>
      <c r="E46" s="42" t="s">
        <v>197</v>
      </c>
      <c r="F46" s="43" t="s">
        <v>58</v>
      </c>
      <c r="G46" s="17" t="s">
        <v>143</v>
      </c>
      <c r="H46" s="17" t="s">
        <v>198</v>
      </c>
      <c r="I46" s="44" t="s">
        <v>26</v>
      </c>
      <c r="J46" s="17"/>
      <c r="K46" s="45"/>
    </row>
    <row r="47" spans="1:11" ht="25">
      <c r="A47" s="154"/>
      <c r="B47" s="157"/>
      <c r="C47" s="162"/>
      <c r="D47" s="70" t="s">
        <v>199</v>
      </c>
      <c r="E47" s="42" t="s">
        <v>200</v>
      </c>
      <c r="F47" s="43" t="s">
        <v>58</v>
      </c>
      <c r="G47" s="17" t="s">
        <v>201</v>
      </c>
      <c r="H47" s="17" t="s">
        <v>202</v>
      </c>
      <c r="I47" s="44" t="s">
        <v>26</v>
      </c>
      <c r="J47" s="17"/>
      <c r="K47" s="45"/>
    </row>
    <row r="48" spans="1:11" ht="25.5" thickBot="1">
      <c r="A48" s="154"/>
      <c r="B48" s="157"/>
      <c r="C48" s="163"/>
      <c r="D48" s="21" t="s">
        <v>203</v>
      </c>
      <c r="E48" s="47" t="s">
        <v>204</v>
      </c>
      <c r="F48" s="43" t="s">
        <v>58</v>
      </c>
      <c r="G48" s="17" t="s">
        <v>152</v>
      </c>
      <c r="H48" s="17" t="s">
        <v>205</v>
      </c>
      <c r="I48" s="44" t="s">
        <v>206</v>
      </c>
      <c r="J48" s="17"/>
      <c r="K48" s="45"/>
    </row>
    <row r="49" spans="1:11" ht="25">
      <c r="A49" s="154"/>
      <c r="B49" s="164" t="s">
        <v>207</v>
      </c>
      <c r="C49" s="166" t="s">
        <v>208</v>
      </c>
      <c r="D49" s="28" t="s">
        <v>209</v>
      </c>
      <c r="E49" s="38" t="s">
        <v>210</v>
      </c>
      <c r="F49" s="27" t="s">
        <v>16</v>
      </c>
      <c r="G49" s="28" t="s">
        <v>211</v>
      </c>
      <c r="H49" s="28" t="s">
        <v>212</v>
      </c>
      <c r="I49" s="86" t="s">
        <v>213</v>
      </c>
      <c r="J49" s="87"/>
      <c r="K49" s="33"/>
    </row>
    <row r="50" spans="1:11" ht="25">
      <c r="A50" s="154"/>
      <c r="B50" s="164"/>
      <c r="C50" s="167"/>
      <c r="D50" s="88" t="s">
        <v>214</v>
      </c>
      <c r="E50" s="89" t="s">
        <v>215</v>
      </c>
      <c r="F50" s="90" t="s">
        <v>16</v>
      </c>
      <c r="G50" s="32" t="s">
        <v>216</v>
      </c>
      <c r="H50" s="32" t="s">
        <v>217</v>
      </c>
      <c r="I50" s="91" t="s">
        <v>213</v>
      </c>
      <c r="J50" s="92"/>
      <c r="K50" s="33"/>
    </row>
    <row r="51" spans="1:11" ht="25">
      <c r="A51" s="154"/>
      <c r="B51" s="164"/>
      <c r="C51" s="167"/>
      <c r="D51" s="93" t="s">
        <v>218</v>
      </c>
      <c r="E51" s="89" t="s">
        <v>219</v>
      </c>
      <c r="F51" s="90" t="s">
        <v>23</v>
      </c>
      <c r="G51" s="32" t="s">
        <v>220</v>
      </c>
      <c r="H51" s="32" t="s">
        <v>221</v>
      </c>
      <c r="I51" s="91" t="s">
        <v>213</v>
      </c>
      <c r="J51" s="92"/>
      <c r="K51" s="33"/>
    </row>
    <row r="52" spans="1:11" ht="25">
      <c r="A52" s="154"/>
      <c r="B52" s="164"/>
      <c r="C52" s="167"/>
      <c r="D52" s="32" t="s">
        <v>222</v>
      </c>
      <c r="E52" s="89" t="s">
        <v>223</v>
      </c>
      <c r="F52" s="90" t="s">
        <v>23</v>
      </c>
      <c r="G52" s="32" t="s">
        <v>224</v>
      </c>
      <c r="H52" s="32" t="s">
        <v>225</v>
      </c>
      <c r="I52" s="91" t="s">
        <v>26</v>
      </c>
      <c r="J52" s="92"/>
      <c r="K52" s="33"/>
    </row>
    <row r="53" spans="1:11" ht="25.5" thickBot="1">
      <c r="A53" s="154"/>
      <c r="B53" s="164"/>
      <c r="C53" s="168"/>
      <c r="D53" s="36" t="s">
        <v>226</v>
      </c>
      <c r="E53" s="94" t="s">
        <v>227</v>
      </c>
      <c r="F53" s="95" t="s">
        <v>23</v>
      </c>
      <c r="G53" s="96" t="s">
        <v>228</v>
      </c>
      <c r="H53" s="96" t="s">
        <v>229</v>
      </c>
      <c r="I53" s="91" t="s">
        <v>213</v>
      </c>
      <c r="J53" s="97"/>
      <c r="K53" s="33"/>
    </row>
    <row r="54" spans="1:11" ht="25">
      <c r="A54" s="154"/>
      <c r="B54" s="164"/>
      <c r="C54" s="166" t="s">
        <v>230</v>
      </c>
      <c r="D54" s="28" t="s">
        <v>231</v>
      </c>
      <c r="E54" s="38" t="s">
        <v>232</v>
      </c>
      <c r="F54" s="27" t="s">
        <v>16</v>
      </c>
      <c r="G54" s="28" t="s">
        <v>233</v>
      </c>
      <c r="H54" s="28" t="s">
        <v>234</v>
      </c>
      <c r="I54" s="86" t="s">
        <v>26</v>
      </c>
      <c r="J54" s="87"/>
      <c r="K54" s="33"/>
    </row>
    <row r="55" spans="1:11" ht="25">
      <c r="A55" s="154"/>
      <c r="B55" s="164"/>
      <c r="C55" s="167"/>
      <c r="D55" s="88" t="s">
        <v>235</v>
      </c>
      <c r="E55" s="89" t="s">
        <v>236</v>
      </c>
      <c r="F55" s="90" t="s">
        <v>16</v>
      </c>
      <c r="G55" s="32" t="s">
        <v>237</v>
      </c>
      <c r="H55" s="32" t="s">
        <v>238</v>
      </c>
      <c r="I55" s="91" t="s">
        <v>26</v>
      </c>
      <c r="J55" s="92"/>
      <c r="K55" s="33"/>
    </row>
    <row r="56" spans="1:11" ht="25">
      <c r="A56" s="154"/>
      <c r="B56" s="164"/>
      <c r="C56" s="167"/>
      <c r="D56" s="93" t="s">
        <v>239</v>
      </c>
      <c r="E56" s="89" t="s">
        <v>240</v>
      </c>
      <c r="F56" s="90" t="s">
        <v>16</v>
      </c>
      <c r="G56" s="32" t="s">
        <v>241</v>
      </c>
      <c r="H56" s="32" t="s">
        <v>242</v>
      </c>
      <c r="I56" s="91" t="s">
        <v>26</v>
      </c>
      <c r="J56" s="92"/>
      <c r="K56" s="33"/>
    </row>
    <row r="57" spans="1:11" ht="25">
      <c r="A57" s="154"/>
      <c r="B57" s="164"/>
      <c r="C57" s="167"/>
      <c r="D57" s="32" t="s">
        <v>243</v>
      </c>
      <c r="E57" s="89" t="s">
        <v>244</v>
      </c>
      <c r="F57" s="90" t="s">
        <v>23</v>
      </c>
      <c r="G57" s="32" t="s">
        <v>245</v>
      </c>
      <c r="H57" s="32" t="s">
        <v>246</v>
      </c>
      <c r="I57" s="91" t="s">
        <v>213</v>
      </c>
      <c r="J57" s="92"/>
      <c r="K57" s="33"/>
    </row>
    <row r="58" spans="1:11" ht="25.5" thickBot="1">
      <c r="A58" s="154"/>
      <c r="B58" s="164"/>
      <c r="C58" s="168"/>
      <c r="D58" s="36" t="s">
        <v>247</v>
      </c>
      <c r="E58" s="94" t="s">
        <v>248</v>
      </c>
      <c r="F58" s="95" t="s">
        <v>23</v>
      </c>
      <c r="G58" s="96" t="s">
        <v>249</v>
      </c>
      <c r="H58" s="96" t="s">
        <v>250</v>
      </c>
      <c r="I58" s="98" t="s">
        <v>26</v>
      </c>
      <c r="J58" s="97"/>
      <c r="K58" s="33"/>
    </row>
    <row r="59" spans="1:11" ht="25">
      <c r="A59" s="154"/>
      <c r="B59" s="164"/>
      <c r="C59" s="166" t="s">
        <v>251</v>
      </c>
      <c r="D59" s="28" t="s">
        <v>252</v>
      </c>
      <c r="E59" s="38" t="s">
        <v>253</v>
      </c>
      <c r="F59" s="27" t="s">
        <v>16</v>
      </c>
      <c r="G59" s="28" t="s">
        <v>254</v>
      </c>
      <c r="H59" s="28" t="s">
        <v>255</v>
      </c>
      <c r="I59" s="91" t="s">
        <v>213</v>
      </c>
      <c r="J59" s="87"/>
      <c r="K59" s="33"/>
    </row>
    <row r="60" spans="1:11" ht="25">
      <c r="A60" s="154"/>
      <c r="B60" s="164"/>
      <c r="C60" s="167"/>
      <c r="D60" s="88" t="s">
        <v>256</v>
      </c>
      <c r="E60" s="89" t="s">
        <v>257</v>
      </c>
      <c r="F60" s="90" t="s">
        <v>16</v>
      </c>
      <c r="G60" s="32" t="s">
        <v>258</v>
      </c>
      <c r="H60" s="32" t="s">
        <v>259</v>
      </c>
      <c r="I60" s="91" t="s">
        <v>213</v>
      </c>
      <c r="J60" s="92"/>
      <c r="K60" s="33"/>
    </row>
    <row r="61" spans="1:11" ht="25">
      <c r="A61" s="154"/>
      <c r="B61" s="164"/>
      <c r="C61" s="167"/>
      <c r="D61" s="93" t="s">
        <v>260</v>
      </c>
      <c r="E61" s="89" t="s">
        <v>261</v>
      </c>
      <c r="F61" s="90" t="s">
        <v>16</v>
      </c>
      <c r="G61" s="32" t="s">
        <v>262</v>
      </c>
      <c r="H61" s="32" t="s">
        <v>263</v>
      </c>
      <c r="I61" s="91" t="s">
        <v>26</v>
      </c>
      <c r="J61" s="92"/>
      <c r="K61" s="33"/>
    </row>
    <row r="62" spans="1:11" ht="25">
      <c r="A62" s="154"/>
      <c r="B62" s="164"/>
      <c r="C62" s="167"/>
      <c r="D62" s="32" t="s">
        <v>264</v>
      </c>
      <c r="E62" s="89" t="s">
        <v>265</v>
      </c>
      <c r="F62" s="90" t="s">
        <v>23</v>
      </c>
      <c r="G62" s="32" t="s">
        <v>266</v>
      </c>
      <c r="H62" s="32" t="s">
        <v>267</v>
      </c>
      <c r="I62" s="91" t="s">
        <v>213</v>
      </c>
      <c r="J62" s="92"/>
      <c r="K62" s="33"/>
    </row>
    <row r="63" spans="1:11" ht="25.5" thickBot="1">
      <c r="A63" s="154"/>
      <c r="B63" s="164"/>
      <c r="C63" s="168"/>
      <c r="D63" s="36" t="s">
        <v>268</v>
      </c>
      <c r="E63" s="94" t="s">
        <v>269</v>
      </c>
      <c r="F63" s="95" t="s">
        <v>23</v>
      </c>
      <c r="G63" s="96" t="s">
        <v>270</v>
      </c>
      <c r="H63" s="96" t="s">
        <v>271</v>
      </c>
      <c r="I63" s="91" t="s">
        <v>213</v>
      </c>
      <c r="J63" s="97"/>
      <c r="K63" s="33"/>
    </row>
    <row r="64" spans="1:11" ht="25">
      <c r="A64" s="154"/>
      <c r="B64" s="164"/>
      <c r="C64" s="166" t="s">
        <v>272</v>
      </c>
      <c r="D64" s="28" t="s">
        <v>273</v>
      </c>
      <c r="E64" s="38" t="s">
        <v>274</v>
      </c>
      <c r="F64" s="27" t="s">
        <v>16</v>
      </c>
      <c r="G64" s="28" t="s">
        <v>275</v>
      </c>
      <c r="H64" s="28" t="s">
        <v>276</v>
      </c>
      <c r="I64" s="91" t="s">
        <v>213</v>
      </c>
      <c r="J64" s="87"/>
      <c r="K64" s="33"/>
    </row>
    <row r="65" spans="1:11" ht="25">
      <c r="A65" s="154"/>
      <c r="B65" s="164"/>
      <c r="C65" s="167"/>
      <c r="D65" s="88" t="s">
        <v>277</v>
      </c>
      <c r="E65" s="89" t="s">
        <v>278</v>
      </c>
      <c r="F65" s="90" t="s">
        <v>16</v>
      </c>
      <c r="G65" s="32" t="s">
        <v>279</v>
      </c>
      <c r="H65" s="32" t="s">
        <v>280</v>
      </c>
      <c r="I65" s="91" t="s">
        <v>26</v>
      </c>
      <c r="J65" s="92"/>
      <c r="K65" s="33"/>
    </row>
    <row r="66" spans="1:11" ht="25">
      <c r="A66" s="154"/>
      <c r="B66" s="164"/>
      <c r="C66" s="167"/>
      <c r="D66" s="93" t="s">
        <v>281</v>
      </c>
      <c r="E66" s="89" t="s">
        <v>282</v>
      </c>
      <c r="F66" s="90" t="s">
        <v>23</v>
      </c>
      <c r="G66" s="32" t="s">
        <v>283</v>
      </c>
      <c r="H66" s="32" t="s">
        <v>284</v>
      </c>
      <c r="I66" s="91" t="s">
        <v>213</v>
      </c>
      <c r="J66" s="92"/>
      <c r="K66" s="33"/>
    </row>
    <row r="67" spans="1:11" ht="25">
      <c r="A67" s="154"/>
      <c r="B67" s="164"/>
      <c r="C67" s="167"/>
      <c r="D67" s="32" t="s">
        <v>285</v>
      </c>
      <c r="E67" s="89" t="s">
        <v>286</v>
      </c>
      <c r="F67" s="90" t="s">
        <v>23</v>
      </c>
      <c r="G67" s="32" t="s">
        <v>287</v>
      </c>
      <c r="H67" s="32" t="s">
        <v>288</v>
      </c>
      <c r="I67" s="91" t="s">
        <v>213</v>
      </c>
      <c r="J67" s="92"/>
      <c r="K67" s="33"/>
    </row>
    <row r="68" spans="1:11" ht="25.5" thickBot="1">
      <c r="A68" s="154"/>
      <c r="B68" s="164"/>
      <c r="C68" s="168"/>
      <c r="D68" s="36" t="s">
        <v>289</v>
      </c>
      <c r="E68" s="94" t="s">
        <v>290</v>
      </c>
      <c r="F68" s="95" t="s">
        <v>23</v>
      </c>
      <c r="G68" s="96" t="s">
        <v>291</v>
      </c>
      <c r="H68" s="96" t="s">
        <v>292</v>
      </c>
      <c r="I68" s="98" t="s">
        <v>206</v>
      </c>
      <c r="J68" s="97"/>
      <c r="K68" s="33"/>
    </row>
    <row r="69" spans="1:11" ht="25">
      <c r="A69" s="154"/>
      <c r="B69" s="164"/>
      <c r="C69" s="166" t="s">
        <v>293</v>
      </c>
      <c r="D69" s="28" t="s">
        <v>294</v>
      </c>
      <c r="E69" s="38" t="s">
        <v>295</v>
      </c>
      <c r="F69" s="27" t="s">
        <v>23</v>
      </c>
      <c r="G69" s="28" t="s">
        <v>296</v>
      </c>
      <c r="H69" s="28" t="s">
        <v>297</v>
      </c>
      <c r="I69" s="86" t="s">
        <v>26</v>
      </c>
      <c r="J69" s="87"/>
      <c r="K69" s="33"/>
    </row>
    <row r="70" spans="1:11" ht="25">
      <c r="A70" s="154"/>
      <c r="B70" s="164"/>
      <c r="C70" s="167"/>
      <c r="D70" s="88" t="s">
        <v>298</v>
      </c>
      <c r="E70" s="89" t="s">
        <v>299</v>
      </c>
      <c r="F70" s="90" t="s">
        <v>23</v>
      </c>
      <c r="G70" s="32" t="s">
        <v>300</v>
      </c>
      <c r="H70" s="32" t="s">
        <v>301</v>
      </c>
      <c r="I70" s="91" t="s">
        <v>26</v>
      </c>
      <c r="J70" s="92"/>
      <c r="K70" s="33"/>
    </row>
    <row r="71" spans="1:11" ht="25">
      <c r="A71" s="154"/>
      <c r="B71" s="164"/>
      <c r="C71" s="167"/>
      <c r="D71" s="93" t="s">
        <v>302</v>
      </c>
      <c r="E71" s="89" t="s">
        <v>303</v>
      </c>
      <c r="F71" s="90" t="s">
        <v>23</v>
      </c>
      <c r="G71" s="32" t="s">
        <v>304</v>
      </c>
      <c r="H71" s="32" t="s">
        <v>305</v>
      </c>
      <c r="I71" s="91" t="s">
        <v>213</v>
      </c>
      <c r="J71" s="92"/>
      <c r="K71" s="33"/>
    </row>
    <row r="72" spans="1:11" ht="25">
      <c r="A72" s="154"/>
      <c r="B72" s="164"/>
      <c r="C72" s="167"/>
      <c r="D72" s="32" t="s">
        <v>306</v>
      </c>
      <c r="E72" s="89" t="s">
        <v>307</v>
      </c>
      <c r="F72" s="90" t="s">
        <v>23</v>
      </c>
      <c r="G72" s="32" t="s">
        <v>308</v>
      </c>
      <c r="H72" s="32" t="s">
        <v>309</v>
      </c>
      <c r="I72" s="91" t="s">
        <v>206</v>
      </c>
      <c r="J72" s="92"/>
      <c r="K72" s="33"/>
    </row>
    <row r="73" spans="1:11" ht="25.5" thickBot="1">
      <c r="A73" s="154"/>
      <c r="B73" s="164"/>
      <c r="C73" s="168"/>
      <c r="D73" s="36" t="s">
        <v>310</v>
      </c>
      <c r="E73" s="94" t="s">
        <v>311</v>
      </c>
      <c r="F73" s="95" t="s">
        <v>23</v>
      </c>
      <c r="G73" s="96" t="s">
        <v>312</v>
      </c>
      <c r="H73" s="96" t="s">
        <v>313</v>
      </c>
      <c r="I73" s="98" t="s">
        <v>26</v>
      </c>
      <c r="J73" s="97"/>
      <c r="K73" s="33"/>
    </row>
    <row r="74" spans="1:11" ht="25">
      <c r="A74" s="154"/>
      <c r="B74" s="164"/>
      <c r="C74" s="166" t="s">
        <v>314</v>
      </c>
      <c r="D74" s="28" t="s">
        <v>315</v>
      </c>
      <c r="E74" s="38" t="s">
        <v>316</v>
      </c>
      <c r="F74" s="27" t="s">
        <v>16</v>
      </c>
      <c r="G74" s="28" t="s">
        <v>317</v>
      </c>
      <c r="H74" s="28" t="s">
        <v>318</v>
      </c>
      <c r="I74" s="86" t="s">
        <v>213</v>
      </c>
      <c r="J74" s="87"/>
      <c r="K74" s="33"/>
    </row>
    <row r="75" spans="1:11" ht="25">
      <c r="A75" s="154"/>
      <c r="B75" s="164"/>
      <c r="C75" s="167"/>
      <c r="D75" s="88" t="s">
        <v>319</v>
      </c>
      <c r="E75" s="89" t="s">
        <v>320</v>
      </c>
      <c r="F75" s="90" t="s">
        <v>16</v>
      </c>
      <c r="G75" s="32" t="s">
        <v>321</v>
      </c>
      <c r="H75" s="32" t="s">
        <v>322</v>
      </c>
      <c r="I75" s="91" t="s">
        <v>26</v>
      </c>
      <c r="J75" s="92"/>
      <c r="K75" s="33"/>
    </row>
    <row r="76" spans="1:11" ht="25">
      <c r="A76" s="154"/>
      <c r="B76" s="164"/>
      <c r="C76" s="167"/>
      <c r="D76" s="93" t="s">
        <v>323</v>
      </c>
      <c r="E76" s="89" t="s">
        <v>324</v>
      </c>
      <c r="F76" s="90" t="s">
        <v>16</v>
      </c>
      <c r="G76" s="32" t="s">
        <v>325</v>
      </c>
      <c r="H76" s="32" t="s">
        <v>326</v>
      </c>
      <c r="I76" s="91" t="s">
        <v>213</v>
      </c>
      <c r="J76" s="92"/>
      <c r="K76" s="33"/>
    </row>
    <row r="77" spans="1:11" ht="25">
      <c r="A77" s="154"/>
      <c r="B77" s="164"/>
      <c r="C77" s="167"/>
      <c r="D77" s="32" t="s">
        <v>327</v>
      </c>
      <c r="E77" s="89" t="s">
        <v>328</v>
      </c>
      <c r="F77" s="90" t="s">
        <v>23</v>
      </c>
      <c r="G77" s="32" t="s">
        <v>329</v>
      </c>
      <c r="H77" s="32" t="s">
        <v>330</v>
      </c>
      <c r="I77" s="91" t="s">
        <v>213</v>
      </c>
      <c r="J77" s="92"/>
      <c r="K77" s="33"/>
    </row>
    <row r="78" spans="1:11" ht="25.5" thickBot="1">
      <c r="A78" s="154"/>
      <c r="B78" s="164"/>
      <c r="C78" s="168"/>
      <c r="D78" s="36" t="s">
        <v>331</v>
      </c>
      <c r="E78" s="94" t="s">
        <v>332</v>
      </c>
      <c r="F78" s="95" t="s">
        <v>23</v>
      </c>
      <c r="G78" s="96" t="s">
        <v>333</v>
      </c>
      <c r="H78" s="96" t="s">
        <v>334</v>
      </c>
      <c r="I78" s="98" t="s">
        <v>206</v>
      </c>
      <c r="J78" s="97"/>
      <c r="K78" s="33"/>
    </row>
    <row r="79" spans="1:11" ht="25">
      <c r="A79" s="154"/>
      <c r="B79" s="164"/>
      <c r="C79" s="166" t="s">
        <v>335</v>
      </c>
      <c r="D79" s="28" t="s">
        <v>336</v>
      </c>
      <c r="E79" s="38" t="s">
        <v>337</v>
      </c>
      <c r="F79" s="27" t="s">
        <v>23</v>
      </c>
      <c r="G79" s="28" t="s">
        <v>338</v>
      </c>
      <c r="H79" s="28" t="s">
        <v>339</v>
      </c>
      <c r="I79" s="86" t="s">
        <v>26</v>
      </c>
      <c r="J79" s="87"/>
      <c r="K79" s="33"/>
    </row>
    <row r="80" spans="1:11" ht="25">
      <c r="A80" s="154"/>
      <c r="B80" s="164"/>
      <c r="C80" s="167"/>
      <c r="D80" s="88" t="s">
        <v>340</v>
      </c>
      <c r="E80" s="89" t="s">
        <v>341</v>
      </c>
      <c r="F80" s="90" t="s">
        <v>23</v>
      </c>
      <c r="G80" s="32" t="s">
        <v>342</v>
      </c>
      <c r="H80" s="32" t="s">
        <v>343</v>
      </c>
      <c r="I80" s="91" t="s">
        <v>26</v>
      </c>
      <c r="J80" s="92"/>
      <c r="K80" s="33"/>
    </row>
    <row r="81" spans="1:11" ht="25">
      <c r="A81" s="154"/>
      <c r="B81" s="164"/>
      <c r="C81" s="167"/>
      <c r="D81" s="93" t="s">
        <v>344</v>
      </c>
      <c r="E81" s="89" t="s">
        <v>345</v>
      </c>
      <c r="F81" s="90" t="s">
        <v>23</v>
      </c>
      <c r="G81" s="32" t="s">
        <v>346</v>
      </c>
      <c r="H81" s="32" t="s">
        <v>347</v>
      </c>
      <c r="I81" s="91" t="s">
        <v>213</v>
      </c>
      <c r="J81" s="92"/>
      <c r="K81" s="33"/>
    </row>
    <row r="82" spans="1:11" ht="25">
      <c r="A82" s="154"/>
      <c r="B82" s="164"/>
      <c r="C82" s="167"/>
      <c r="D82" s="32" t="s">
        <v>348</v>
      </c>
      <c r="E82" s="89" t="s">
        <v>349</v>
      </c>
      <c r="F82" s="90" t="s">
        <v>23</v>
      </c>
      <c r="G82" s="32" t="s">
        <v>350</v>
      </c>
      <c r="H82" s="32" t="s">
        <v>351</v>
      </c>
      <c r="I82" s="91" t="s">
        <v>206</v>
      </c>
      <c r="J82" s="92"/>
      <c r="K82" s="33"/>
    </row>
    <row r="83" spans="1:11" ht="25.5" thickBot="1">
      <c r="A83" s="154"/>
      <c r="B83" s="164"/>
      <c r="C83" s="168"/>
      <c r="D83" s="36" t="s">
        <v>352</v>
      </c>
      <c r="E83" s="94" t="s">
        <v>353</v>
      </c>
      <c r="F83" s="95" t="s">
        <v>58</v>
      </c>
      <c r="G83" s="96" t="s">
        <v>354</v>
      </c>
      <c r="H83" s="96" t="s">
        <v>355</v>
      </c>
      <c r="I83" s="98" t="s">
        <v>26</v>
      </c>
      <c r="J83" s="97"/>
      <c r="K83" s="33"/>
    </row>
    <row r="84" spans="1:11" ht="25">
      <c r="A84" s="154"/>
      <c r="B84" s="164"/>
      <c r="C84" s="166" t="s">
        <v>356</v>
      </c>
      <c r="D84" s="28" t="s">
        <v>357</v>
      </c>
      <c r="E84" s="38" t="s">
        <v>358</v>
      </c>
      <c r="F84" s="27" t="s">
        <v>16</v>
      </c>
      <c r="G84" s="28" t="s">
        <v>359</v>
      </c>
      <c r="H84" s="28" t="s">
        <v>360</v>
      </c>
      <c r="I84" s="86" t="s">
        <v>213</v>
      </c>
      <c r="J84" s="87"/>
      <c r="K84" s="33"/>
    </row>
    <row r="85" spans="1:11" ht="25">
      <c r="A85" s="154"/>
      <c r="B85" s="164"/>
      <c r="C85" s="167"/>
      <c r="D85" s="88" t="s">
        <v>361</v>
      </c>
      <c r="E85" s="89" t="s">
        <v>362</v>
      </c>
      <c r="F85" s="90" t="s">
        <v>23</v>
      </c>
      <c r="G85" s="32" t="s">
        <v>363</v>
      </c>
      <c r="H85" s="32" t="s">
        <v>364</v>
      </c>
      <c r="I85" s="91" t="s">
        <v>26</v>
      </c>
      <c r="J85" s="92"/>
      <c r="K85" s="33"/>
    </row>
    <row r="86" spans="1:11" ht="25">
      <c r="A86" s="154"/>
      <c r="B86" s="164"/>
      <c r="C86" s="167"/>
      <c r="D86" s="93" t="s">
        <v>365</v>
      </c>
      <c r="E86" s="89" t="s">
        <v>366</v>
      </c>
      <c r="F86" s="90" t="s">
        <v>23</v>
      </c>
      <c r="G86" s="32" t="s">
        <v>367</v>
      </c>
      <c r="H86" s="32" t="s">
        <v>368</v>
      </c>
      <c r="I86" s="91" t="s">
        <v>213</v>
      </c>
      <c r="J86" s="92"/>
      <c r="K86" s="33"/>
    </row>
    <row r="87" spans="1:11" ht="25">
      <c r="A87" s="154"/>
      <c r="B87" s="164"/>
      <c r="C87" s="167"/>
      <c r="D87" s="32" t="s">
        <v>369</v>
      </c>
      <c r="E87" s="89" t="s">
        <v>370</v>
      </c>
      <c r="F87" s="90" t="s">
        <v>23</v>
      </c>
      <c r="G87" s="32" t="s">
        <v>371</v>
      </c>
      <c r="H87" s="32" t="s">
        <v>372</v>
      </c>
      <c r="I87" s="91" t="s">
        <v>213</v>
      </c>
      <c r="J87" s="92"/>
      <c r="K87" s="33"/>
    </row>
    <row r="88" spans="1:11" ht="25.5" thickBot="1">
      <c r="A88" s="154"/>
      <c r="B88" s="164"/>
      <c r="C88" s="168"/>
      <c r="D88" s="36" t="s">
        <v>373</v>
      </c>
      <c r="E88" s="94" t="s">
        <v>374</v>
      </c>
      <c r="F88" s="95" t="s">
        <v>16</v>
      </c>
      <c r="G88" s="96" t="s">
        <v>375</v>
      </c>
      <c r="H88" s="96" t="s">
        <v>376</v>
      </c>
      <c r="I88" s="98" t="s">
        <v>206</v>
      </c>
      <c r="J88" s="97"/>
      <c r="K88" s="33"/>
    </row>
    <row r="89" spans="1:11" ht="25">
      <c r="A89" s="154"/>
      <c r="B89" s="164"/>
      <c r="C89" s="166" t="s">
        <v>377</v>
      </c>
      <c r="D89" s="28" t="s">
        <v>378</v>
      </c>
      <c r="E89" s="38" t="s">
        <v>379</v>
      </c>
      <c r="F89" s="27" t="s">
        <v>16</v>
      </c>
      <c r="G89" s="28" t="s">
        <v>380</v>
      </c>
      <c r="H89" s="28" t="s">
        <v>381</v>
      </c>
      <c r="I89" s="86" t="s">
        <v>26</v>
      </c>
      <c r="J89" s="87"/>
      <c r="K89" s="33"/>
    </row>
    <row r="90" spans="1:11" ht="25">
      <c r="A90" s="154"/>
      <c r="B90" s="164"/>
      <c r="C90" s="167"/>
      <c r="D90" s="88" t="s">
        <v>382</v>
      </c>
      <c r="E90" s="89" t="s">
        <v>383</v>
      </c>
      <c r="F90" s="90" t="s">
        <v>23</v>
      </c>
      <c r="G90" s="32" t="s">
        <v>384</v>
      </c>
      <c r="H90" s="32" t="s">
        <v>385</v>
      </c>
      <c r="I90" s="91" t="s">
        <v>26</v>
      </c>
      <c r="J90" s="92"/>
      <c r="K90" s="33"/>
    </row>
    <row r="91" spans="1:11" ht="25">
      <c r="A91" s="154"/>
      <c r="B91" s="164"/>
      <c r="C91" s="167"/>
      <c r="D91" s="93" t="s">
        <v>386</v>
      </c>
      <c r="E91" s="89" t="s">
        <v>387</v>
      </c>
      <c r="F91" s="90" t="s">
        <v>23</v>
      </c>
      <c r="G91" s="32" t="s">
        <v>388</v>
      </c>
      <c r="H91" s="32" t="s">
        <v>389</v>
      </c>
      <c r="I91" s="91" t="s">
        <v>213</v>
      </c>
      <c r="J91" s="92"/>
      <c r="K91" s="33"/>
    </row>
    <row r="92" spans="1:11" ht="25">
      <c r="A92" s="154"/>
      <c r="B92" s="164"/>
      <c r="C92" s="167"/>
      <c r="D92" s="32" t="s">
        <v>390</v>
      </c>
      <c r="E92" s="89" t="s">
        <v>391</v>
      </c>
      <c r="F92" s="90" t="s">
        <v>16</v>
      </c>
      <c r="G92" s="32" t="s">
        <v>392</v>
      </c>
      <c r="H92" s="32" t="s">
        <v>393</v>
      </c>
      <c r="I92" s="91" t="s">
        <v>206</v>
      </c>
      <c r="J92" s="92"/>
      <c r="K92" s="33"/>
    </row>
    <row r="93" spans="1:11" ht="25.5" thickBot="1">
      <c r="A93" s="154"/>
      <c r="B93" s="165"/>
      <c r="C93" s="167"/>
      <c r="D93" s="96" t="s">
        <v>394</v>
      </c>
      <c r="E93" s="99" t="s">
        <v>395</v>
      </c>
      <c r="F93" s="95" t="s">
        <v>23</v>
      </c>
      <c r="G93" s="96" t="s">
        <v>396</v>
      </c>
      <c r="H93" s="96" t="s">
        <v>397</v>
      </c>
      <c r="I93" s="98" t="s">
        <v>26</v>
      </c>
      <c r="J93" s="97"/>
      <c r="K93" s="100"/>
    </row>
    <row r="94" spans="1:11" ht="25">
      <c r="A94" s="154"/>
      <c r="B94" s="156" t="s">
        <v>398</v>
      </c>
      <c r="C94" s="161" t="s">
        <v>399</v>
      </c>
      <c r="D94" s="13" t="s">
        <v>400</v>
      </c>
      <c r="E94" s="25" t="s">
        <v>401</v>
      </c>
      <c r="F94" s="12" t="s">
        <v>16</v>
      </c>
      <c r="G94" s="13" t="s">
        <v>402</v>
      </c>
      <c r="H94" s="13" t="s">
        <v>403</v>
      </c>
      <c r="I94" s="39" t="s">
        <v>26</v>
      </c>
      <c r="J94" s="71"/>
      <c r="K94" s="15"/>
    </row>
    <row r="95" spans="1:11" ht="25">
      <c r="A95" s="154"/>
      <c r="B95" s="157"/>
      <c r="C95" s="162"/>
      <c r="D95" s="69" t="s">
        <v>404</v>
      </c>
      <c r="E95" s="42" t="s">
        <v>405</v>
      </c>
      <c r="F95" s="43" t="s">
        <v>16</v>
      </c>
      <c r="G95" s="17" t="s">
        <v>406</v>
      </c>
      <c r="H95" s="17" t="s">
        <v>407</v>
      </c>
      <c r="I95" s="44" t="s">
        <v>213</v>
      </c>
      <c r="J95" s="72"/>
      <c r="K95" s="19"/>
    </row>
    <row r="96" spans="1:11" ht="25">
      <c r="A96" s="154"/>
      <c r="B96" s="157"/>
      <c r="C96" s="162"/>
      <c r="D96" s="70" t="s">
        <v>408</v>
      </c>
      <c r="E96" s="42" t="s">
        <v>409</v>
      </c>
      <c r="F96" s="43" t="s">
        <v>16</v>
      </c>
      <c r="G96" s="17" t="s">
        <v>410</v>
      </c>
      <c r="H96" s="17" t="s">
        <v>411</v>
      </c>
      <c r="I96" s="44" t="s">
        <v>206</v>
      </c>
      <c r="J96" s="72"/>
      <c r="K96" s="19"/>
    </row>
    <row r="97" spans="1:11" ht="25">
      <c r="A97" s="154"/>
      <c r="B97" s="157"/>
      <c r="C97" s="162"/>
      <c r="D97" s="17" t="s">
        <v>412</v>
      </c>
      <c r="E97" s="42" t="s">
        <v>413</v>
      </c>
      <c r="F97" s="43" t="s">
        <v>23</v>
      </c>
      <c r="G97" s="17" t="s">
        <v>414</v>
      </c>
      <c r="H97" s="17" t="s">
        <v>415</v>
      </c>
      <c r="I97" s="44" t="s">
        <v>26</v>
      </c>
      <c r="J97" s="72"/>
      <c r="K97" s="19"/>
    </row>
    <row r="98" spans="1:11" ht="25.5" thickBot="1">
      <c r="A98" s="154"/>
      <c r="B98" s="157"/>
      <c r="C98" s="163"/>
      <c r="D98" s="21" t="s">
        <v>416</v>
      </c>
      <c r="E98" s="47" t="s">
        <v>417</v>
      </c>
      <c r="F98" s="73" t="s">
        <v>23</v>
      </c>
      <c r="G98" s="21" t="s">
        <v>418</v>
      </c>
      <c r="H98" s="21" t="s">
        <v>419</v>
      </c>
      <c r="I98" s="74" t="s">
        <v>213</v>
      </c>
      <c r="J98" s="75"/>
      <c r="K98" s="23"/>
    </row>
    <row r="99" spans="1:11" ht="25">
      <c r="A99" s="154"/>
      <c r="B99" s="157"/>
      <c r="C99" s="162" t="s">
        <v>420</v>
      </c>
      <c r="D99" s="52" t="s">
        <v>421</v>
      </c>
      <c r="E99" s="76" t="s">
        <v>422</v>
      </c>
      <c r="F99" s="51" t="s">
        <v>16</v>
      </c>
      <c r="G99" s="52" t="s">
        <v>423</v>
      </c>
      <c r="H99" s="52" t="s">
        <v>424</v>
      </c>
      <c r="I99" s="53" t="s">
        <v>19</v>
      </c>
      <c r="J99" s="77"/>
      <c r="K99" s="55"/>
    </row>
    <row r="100" spans="1:11" ht="25">
      <c r="A100" s="154"/>
      <c r="B100" s="157"/>
      <c r="C100" s="162"/>
      <c r="D100" s="70" t="s">
        <v>425</v>
      </c>
      <c r="E100" s="42" t="s">
        <v>426</v>
      </c>
      <c r="F100" s="43" t="s">
        <v>16</v>
      </c>
      <c r="G100" s="17" t="s">
        <v>427</v>
      </c>
      <c r="H100" s="17" t="s">
        <v>428</v>
      </c>
      <c r="I100" s="44" t="s">
        <v>19</v>
      </c>
      <c r="J100" s="72"/>
      <c r="K100" s="18"/>
    </row>
    <row r="101" spans="1:11" ht="25">
      <c r="A101" s="154"/>
      <c r="B101" s="157"/>
      <c r="C101" s="162"/>
      <c r="D101" s="70" t="s">
        <v>429</v>
      </c>
      <c r="E101" s="42" t="s">
        <v>430</v>
      </c>
      <c r="F101" s="43" t="s">
        <v>16</v>
      </c>
      <c r="G101" s="17" t="s">
        <v>431</v>
      </c>
      <c r="H101" s="17" t="s">
        <v>432</v>
      </c>
      <c r="I101" s="44" t="s">
        <v>19</v>
      </c>
      <c r="J101" s="72"/>
      <c r="K101" s="18"/>
    </row>
    <row r="102" spans="1:11" ht="25">
      <c r="A102" s="154"/>
      <c r="B102" s="157"/>
      <c r="C102" s="162"/>
      <c r="D102" s="17" t="s">
        <v>433</v>
      </c>
      <c r="E102" s="42" t="s">
        <v>434</v>
      </c>
      <c r="F102" s="43" t="s">
        <v>16</v>
      </c>
      <c r="G102" s="17" t="s">
        <v>435</v>
      </c>
      <c r="H102" s="17" t="s">
        <v>436</v>
      </c>
      <c r="I102" s="44" t="s">
        <v>19</v>
      </c>
      <c r="J102" s="72"/>
      <c r="K102" s="18"/>
    </row>
    <row r="103" spans="1:11" ht="25.5" thickBot="1">
      <c r="A103" s="154"/>
      <c r="B103" s="157"/>
      <c r="C103" s="163"/>
      <c r="D103" s="21" t="s">
        <v>437</v>
      </c>
      <c r="E103" s="47" t="s">
        <v>438</v>
      </c>
      <c r="F103" s="73" t="s">
        <v>23</v>
      </c>
      <c r="G103" s="21" t="s">
        <v>439</v>
      </c>
      <c r="H103" s="21" t="s">
        <v>440</v>
      </c>
      <c r="I103" s="74" t="s">
        <v>19</v>
      </c>
      <c r="J103" s="75"/>
      <c r="K103" s="18"/>
    </row>
    <row r="104" spans="1:11" ht="25">
      <c r="A104" s="154"/>
      <c r="B104" s="157"/>
      <c r="C104" s="161" t="s">
        <v>441</v>
      </c>
      <c r="D104" s="13" t="s">
        <v>442</v>
      </c>
      <c r="E104" s="25" t="s">
        <v>443</v>
      </c>
      <c r="F104" s="51" t="s">
        <v>23</v>
      </c>
      <c r="G104" s="52" t="s">
        <v>444</v>
      </c>
      <c r="H104" s="52" t="s">
        <v>445</v>
      </c>
      <c r="I104" s="53" t="s">
        <v>26</v>
      </c>
      <c r="J104" s="77"/>
      <c r="K104" s="18"/>
    </row>
    <row r="105" spans="1:11" ht="25">
      <c r="A105" s="154"/>
      <c r="B105" s="157"/>
      <c r="C105" s="162"/>
      <c r="D105" s="70" t="s">
        <v>446</v>
      </c>
      <c r="E105" s="42" t="s">
        <v>447</v>
      </c>
      <c r="F105" s="43" t="s">
        <v>16</v>
      </c>
      <c r="G105" s="17" t="s">
        <v>448</v>
      </c>
      <c r="H105" s="17" t="s">
        <v>449</v>
      </c>
      <c r="I105" s="44" t="s">
        <v>19</v>
      </c>
      <c r="J105" s="72"/>
      <c r="K105" s="18"/>
    </row>
    <row r="106" spans="1:11" ht="25">
      <c r="A106" s="154"/>
      <c r="B106" s="157"/>
      <c r="C106" s="162"/>
      <c r="D106" s="70" t="s">
        <v>450</v>
      </c>
      <c r="E106" s="42" t="s">
        <v>451</v>
      </c>
      <c r="F106" s="43" t="s">
        <v>23</v>
      </c>
      <c r="G106" s="17" t="s">
        <v>452</v>
      </c>
      <c r="H106" s="17" t="s">
        <v>453</v>
      </c>
      <c r="I106" s="44" t="s">
        <v>19</v>
      </c>
      <c r="J106" s="72"/>
      <c r="K106" s="18"/>
    </row>
    <row r="107" spans="1:11" ht="25">
      <c r="A107" s="154"/>
      <c r="B107" s="157"/>
      <c r="C107" s="162"/>
      <c r="D107" s="17" t="s">
        <v>454</v>
      </c>
      <c r="E107" s="42" t="s">
        <v>455</v>
      </c>
      <c r="F107" s="43" t="s">
        <v>58</v>
      </c>
      <c r="G107" s="17" t="s">
        <v>456</v>
      </c>
      <c r="H107" s="17" t="s">
        <v>457</v>
      </c>
      <c r="I107" s="44" t="s">
        <v>26</v>
      </c>
      <c r="J107" s="72"/>
      <c r="K107" s="18"/>
    </row>
    <row r="108" spans="1:11" ht="25.5" thickBot="1">
      <c r="A108" s="154"/>
      <c r="B108" s="157"/>
      <c r="C108" s="163"/>
      <c r="D108" s="21" t="s">
        <v>458</v>
      </c>
      <c r="E108" s="47" t="s">
        <v>459</v>
      </c>
      <c r="F108" s="73" t="s">
        <v>58</v>
      </c>
      <c r="G108" s="21" t="s">
        <v>460</v>
      </c>
      <c r="H108" s="21" t="s">
        <v>461</v>
      </c>
      <c r="I108" s="74" t="s">
        <v>26</v>
      </c>
      <c r="J108" s="75"/>
      <c r="K108" s="18"/>
    </row>
    <row r="109" spans="1:11" ht="25">
      <c r="A109" s="154"/>
      <c r="B109" s="157"/>
      <c r="C109" s="161" t="s">
        <v>462</v>
      </c>
      <c r="D109" s="14" t="s">
        <v>463</v>
      </c>
      <c r="E109" s="25" t="s">
        <v>464</v>
      </c>
      <c r="F109" s="12" t="s">
        <v>16</v>
      </c>
      <c r="G109" s="13" t="s">
        <v>465</v>
      </c>
      <c r="H109" s="13" t="s">
        <v>466</v>
      </c>
      <c r="I109" s="39" t="s">
        <v>26</v>
      </c>
      <c r="J109" s="71"/>
      <c r="K109" s="18"/>
    </row>
    <row r="110" spans="1:11" ht="25">
      <c r="A110" s="154"/>
      <c r="B110" s="157"/>
      <c r="C110" s="162"/>
      <c r="D110" s="70" t="s">
        <v>467</v>
      </c>
      <c r="E110" s="42" t="s">
        <v>468</v>
      </c>
      <c r="F110" s="43" t="s">
        <v>16</v>
      </c>
      <c r="G110" s="17" t="s">
        <v>469</v>
      </c>
      <c r="H110" s="17" t="s">
        <v>457</v>
      </c>
      <c r="I110" s="44" t="s">
        <v>26</v>
      </c>
      <c r="J110" s="72"/>
      <c r="K110" s="18"/>
    </row>
    <row r="111" spans="1:11" ht="25">
      <c r="A111" s="154"/>
      <c r="B111" s="157"/>
      <c r="C111" s="162"/>
      <c r="D111" s="70" t="s">
        <v>470</v>
      </c>
      <c r="E111" s="42" t="s">
        <v>471</v>
      </c>
      <c r="F111" s="43" t="s">
        <v>16</v>
      </c>
      <c r="G111" s="17" t="s">
        <v>472</v>
      </c>
      <c r="H111" s="17" t="s">
        <v>473</v>
      </c>
      <c r="I111" s="44" t="s">
        <v>26</v>
      </c>
      <c r="J111" s="72"/>
      <c r="K111" s="18"/>
    </row>
    <row r="112" spans="1:11" ht="25">
      <c r="A112" s="154"/>
      <c r="B112" s="157"/>
      <c r="C112" s="162"/>
      <c r="D112" s="17" t="s">
        <v>474</v>
      </c>
      <c r="E112" s="42" t="s">
        <v>475</v>
      </c>
      <c r="F112" s="43" t="s">
        <v>23</v>
      </c>
      <c r="G112" s="17" t="s">
        <v>476</v>
      </c>
      <c r="H112" s="17" t="s">
        <v>477</v>
      </c>
      <c r="I112" s="44" t="s">
        <v>19</v>
      </c>
      <c r="J112" s="72"/>
      <c r="K112" s="18"/>
    </row>
    <row r="113" spans="1:11" ht="25.5" thickBot="1">
      <c r="A113" s="154"/>
      <c r="B113" s="157"/>
      <c r="C113" s="163"/>
      <c r="D113" s="21" t="s">
        <v>478</v>
      </c>
      <c r="E113" s="47" t="s">
        <v>479</v>
      </c>
      <c r="F113" s="73" t="s">
        <v>23</v>
      </c>
      <c r="G113" s="21" t="s">
        <v>480</v>
      </c>
      <c r="H113" s="21" t="s">
        <v>481</v>
      </c>
      <c r="I113" s="74" t="s">
        <v>26</v>
      </c>
      <c r="J113" s="75"/>
      <c r="K113" s="18"/>
    </row>
    <row r="114" spans="1:11" ht="25">
      <c r="A114" s="154"/>
      <c r="B114" s="157"/>
      <c r="C114" s="161" t="s">
        <v>482</v>
      </c>
      <c r="D114" s="14" t="s">
        <v>483</v>
      </c>
      <c r="E114" s="25" t="s">
        <v>484</v>
      </c>
      <c r="F114" s="12" t="s">
        <v>23</v>
      </c>
      <c r="G114" s="13" t="s">
        <v>485</v>
      </c>
      <c r="H114" s="13" t="s">
        <v>486</v>
      </c>
      <c r="I114" s="39" t="s">
        <v>19</v>
      </c>
      <c r="J114" s="71"/>
      <c r="K114" s="18"/>
    </row>
    <row r="115" spans="1:11" ht="25">
      <c r="A115" s="154"/>
      <c r="B115" s="157"/>
      <c r="C115" s="162"/>
      <c r="D115" s="70" t="s">
        <v>487</v>
      </c>
      <c r="E115" s="42" t="s">
        <v>488</v>
      </c>
      <c r="F115" s="43" t="s">
        <v>23</v>
      </c>
      <c r="G115" s="17" t="s">
        <v>489</v>
      </c>
      <c r="H115" s="17" t="s">
        <v>490</v>
      </c>
      <c r="I115" s="44" t="s">
        <v>26</v>
      </c>
      <c r="J115" s="72"/>
      <c r="K115" s="18"/>
    </row>
    <row r="116" spans="1:11" ht="25">
      <c r="A116" s="154"/>
      <c r="B116" s="157"/>
      <c r="C116" s="162"/>
      <c r="D116" s="70" t="s">
        <v>491</v>
      </c>
      <c r="E116" s="42" t="s">
        <v>492</v>
      </c>
      <c r="F116" s="43" t="s">
        <v>23</v>
      </c>
      <c r="G116" s="17" t="s">
        <v>493</v>
      </c>
      <c r="H116" s="17" t="s">
        <v>494</v>
      </c>
      <c r="I116" s="44" t="s">
        <v>26</v>
      </c>
      <c r="J116" s="72"/>
      <c r="K116" s="18"/>
    </row>
    <row r="117" spans="1:11" ht="25">
      <c r="A117" s="154"/>
      <c r="B117" s="157"/>
      <c r="C117" s="162"/>
      <c r="D117" s="17" t="s">
        <v>495</v>
      </c>
      <c r="E117" s="42" t="s">
        <v>496</v>
      </c>
      <c r="F117" s="43" t="s">
        <v>23</v>
      </c>
      <c r="G117" s="17" t="s">
        <v>497</v>
      </c>
      <c r="H117" s="17" t="s">
        <v>498</v>
      </c>
      <c r="I117" s="44" t="s">
        <v>19</v>
      </c>
      <c r="J117" s="72"/>
      <c r="K117" s="18"/>
    </row>
    <row r="118" spans="1:11" ht="25.5" thickBot="1">
      <c r="A118" s="154"/>
      <c r="B118" s="157"/>
      <c r="C118" s="163"/>
      <c r="D118" s="21" t="s">
        <v>499</v>
      </c>
      <c r="E118" s="47" t="s">
        <v>500</v>
      </c>
      <c r="F118" s="73" t="s">
        <v>23</v>
      </c>
      <c r="G118" s="21" t="s">
        <v>501</v>
      </c>
      <c r="H118" s="21" t="s">
        <v>502</v>
      </c>
      <c r="I118" s="74" t="s">
        <v>26</v>
      </c>
      <c r="J118" s="75"/>
      <c r="K118" s="18"/>
    </row>
    <row r="119" spans="1:11" ht="25">
      <c r="A119" s="154"/>
      <c r="B119" s="157"/>
      <c r="C119" s="161" t="s">
        <v>503</v>
      </c>
      <c r="D119" s="14" t="s">
        <v>504</v>
      </c>
      <c r="E119" s="25" t="s">
        <v>505</v>
      </c>
      <c r="F119" s="12" t="s">
        <v>23</v>
      </c>
      <c r="G119" s="13" t="s">
        <v>506</v>
      </c>
      <c r="H119" s="13" t="s">
        <v>507</v>
      </c>
      <c r="I119" s="39" t="s">
        <v>26</v>
      </c>
      <c r="J119" s="71"/>
      <c r="K119" s="18"/>
    </row>
    <row r="120" spans="1:11" ht="25">
      <c r="A120" s="154"/>
      <c r="B120" s="157"/>
      <c r="C120" s="162"/>
      <c r="D120" s="70" t="s">
        <v>508</v>
      </c>
      <c r="E120" s="42" t="s">
        <v>509</v>
      </c>
      <c r="F120" s="43" t="s">
        <v>23</v>
      </c>
      <c r="G120" s="17" t="s">
        <v>510</v>
      </c>
      <c r="H120" s="17" t="s">
        <v>511</v>
      </c>
      <c r="I120" s="44" t="s">
        <v>19</v>
      </c>
      <c r="J120" s="72"/>
      <c r="K120" s="18"/>
    </row>
    <row r="121" spans="1:11" ht="25">
      <c r="A121" s="154"/>
      <c r="B121" s="157"/>
      <c r="C121" s="162"/>
      <c r="D121" s="70" t="s">
        <v>512</v>
      </c>
      <c r="E121" s="42" t="s">
        <v>513</v>
      </c>
      <c r="F121" s="43" t="s">
        <v>23</v>
      </c>
      <c r="G121" s="17" t="s">
        <v>514</v>
      </c>
      <c r="H121" s="17" t="s">
        <v>515</v>
      </c>
      <c r="I121" s="44" t="s">
        <v>26</v>
      </c>
      <c r="J121" s="72"/>
      <c r="K121" s="18"/>
    </row>
    <row r="122" spans="1:11" ht="25">
      <c r="A122" s="154"/>
      <c r="B122" s="157"/>
      <c r="C122" s="162"/>
      <c r="D122" s="17" t="s">
        <v>516</v>
      </c>
      <c r="E122" s="42" t="s">
        <v>517</v>
      </c>
      <c r="F122" s="43" t="s">
        <v>23</v>
      </c>
      <c r="G122" s="17" t="s">
        <v>518</v>
      </c>
      <c r="H122" s="17" t="s">
        <v>519</v>
      </c>
      <c r="I122" s="44" t="s">
        <v>26</v>
      </c>
      <c r="J122" s="72"/>
      <c r="K122" s="18"/>
    </row>
    <row r="123" spans="1:11" ht="25.5" thickBot="1">
      <c r="A123" s="154"/>
      <c r="B123" s="157"/>
      <c r="C123" s="163"/>
      <c r="D123" s="21" t="s">
        <v>520</v>
      </c>
      <c r="E123" s="47" t="s">
        <v>521</v>
      </c>
      <c r="F123" s="73" t="s">
        <v>23</v>
      </c>
      <c r="G123" s="21" t="s">
        <v>522</v>
      </c>
      <c r="H123" s="21" t="s">
        <v>523</v>
      </c>
      <c r="I123" s="74" t="s">
        <v>26</v>
      </c>
      <c r="J123" s="75"/>
      <c r="K123" s="18"/>
    </row>
    <row r="124" spans="1:11" ht="25">
      <c r="A124" s="154"/>
      <c r="B124" s="157"/>
      <c r="C124" s="161" t="s">
        <v>524</v>
      </c>
      <c r="D124" s="14" t="s">
        <v>525</v>
      </c>
      <c r="E124" s="25" t="s">
        <v>526</v>
      </c>
      <c r="F124" s="12" t="s">
        <v>23</v>
      </c>
      <c r="G124" s="13" t="s">
        <v>527</v>
      </c>
      <c r="H124" s="13" t="s">
        <v>528</v>
      </c>
      <c r="I124" s="39" t="s">
        <v>26</v>
      </c>
      <c r="J124" s="71"/>
      <c r="K124" s="18"/>
    </row>
    <row r="125" spans="1:11" ht="25">
      <c r="A125" s="154"/>
      <c r="B125" s="157"/>
      <c r="C125" s="162"/>
      <c r="D125" s="70" t="s">
        <v>529</v>
      </c>
      <c r="E125" s="42" t="s">
        <v>530</v>
      </c>
      <c r="F125" s="43" t="s">
        <v>23</v>
      </c>
      <c r="G125" s="17" t="s">
        <v>531</v>
      </c>
      <c r="H125" s="17" t="s">
        <v>532</v>
      </c>
      <c r="I125" s="44" t="s">
        <v>26</v>
      </c>
      <c r="J125" s="72"/>
      <c r="K125" s="18"/>
    </row>
    <row r="126" spans="1:11" ht="25">
      <c r="A126" s="154"/>
      <c r="B126" s="157"/>
      <c r="C126" s="162"/>
      <c r="D126" s="70" t="s">
        <v>533</v>
      </c>
      <c r="E126" s="42" t="s">
        <v>534</v>
      </c>
      <c r="F126" s="43" t="s">
        <v>23</v>
      </c>
      <c r="G126" s="17" t="s">
        <v>535</v>
      </c>
      <c r="H126" s="17" t="s">
        <v>502</v>
      </c>
      <c r="I126" s="44" t="s">
        <v>26</v>
      </c>
      <c r="J126" s="72"/>
      <c r="K126" s="18"/>
    </row>
    <row r="127" spans="1:11" ht="25">
      <c r="A127" s="154"/>
      <c r="B127" s="157"/>
      <c r="C127" s="162"/>
      <c r="D127" s="17" t="s">
        <v>536</v>
      </c>
      <c r="E127" s="42" t="s">
        <v>537</v>
      </c>
      <c r="F127" s="43" t="s">
        <v>23</v>
      </c>
      <c r="G127" s="17" t="s">
        <v>538</v>
      </c>
      <c r="H127" s="17" t="s">
        <v>539</v>
      </c>
      <c r="I127" s="44" t="s">
        <v>19</v>
      </c>
      <c r="J127" s="72"/>
      <c r="K127" s="18"/>
    </row>
    <row r="128" spans="1:11" ht="25.5" thickBot="1">
      <c r="A128" s="154"/>
      <c r="B128" s="157"/>
      <c r="C128" s="163"/>
      <c r="D128" s="21" t="s">
        <v>540</v>
      </c>
      <c r="E128" s="47" t="s">
        <v>541</v>
      </c>
      <c r="F128" s="73" t="s">
        <v>23</v>
      </c>
      <c r="G128" s="21" t="s">
        <v>542</v>
      </c>
      <c r="H128" s="21" t="s">
        <v>543</v>
      </c>
      <c r="I128" s="74" t="s">
        <v>19</v>
      </c>
      <c r="J128" s="75"/>
      <c r="K128" s="18"/>
    </row>
    <row r="129" spans="1:11" ht="25">
      <c r="A129" s="154"/>
      <c r="B129" s="157"/>
      <c r="C129" s="161" t="s">
        <v>544</v>
      </c>
      <c r="D129" s="14" t="s">
        <v>545</v>
      </c>
      <c r="E129" s="25" t="s">
        <v>546</v>
      </c>
      <c r="F129" s="12" t="s">
        <v>23</v>
      </c>
      <c r="G129" s="13" t="s">
        <v>547</v>
      </c>
      <c r="H129" s="13" t="s">
        <v>548</v>
      </c>
      <c r="I129" s="39" t="s">
        <v>19</v>
      </c>
      <c r="J129" s="71"/>
      <c r="K129" s="18"/>
    </row>
    <row r="130" spans="1:11" ht="25">
      <c r="A130" s="154"/>
      <c r="B130" s="157"/>
      <c r="C130" s="162"/>
      <c r="D130" s="70" t="s">
        <v>549</v>
      </c>
      <c r="E130" s="42" t="s">
        <v>550</v>
      </c>
      <c r="F130" s="43" t="s">
        <v>23</v>
      </c>
      <c r="G130" s="17" t="s">
        <v>551</v>
      </c>
      <c r="H130" s="17" t="s">
        <v>552</v>
      </c>
      <c r="I130" s="44" t="s">
        <v>19</v>
      </c>
      <c r="J130" s="72"/>
      <c r="K130" s="18"/>
    </row>
    <row r="131" spans="1:11" ht="25">
      <c r="A131" s="154"/>
      <c r="B131" s="157"/>
      <c r="C131" s="162"/>
      <c r="D131" s="70" t="s">
        <v>553</v>
      </c>
      <c r="E131" s="42" t="s">
        <v>546</v>
      </c>
      <c r="F131" s="43" t="s">
        <v>23</v>
      </c>
      <c r="G131" s="17" t="s">
        <v>547</v>
      </c>
      <c r="H131" s="17" t="s">
        <v>548</v>
      </c>
      <c r="I131" s="44" t="s">
        <v>19</v>
      </c>
      <c r="J131" s="72"/>
      <c r="K131" s="18"/>
    </row>
    <row r="132" spans="1:11" ht="25">
      <c r="A132" s="154"/>
      <c r="B132" s="157"/>
      <c r="C132" s="162"/>
      <c r="D132" s="17" t="s">
        <v>554</v>
      </c>
      <c r="E132" s="42" t="s">
        <v>555</v>
      </c>
      <c r="F132" s="43" t="s">
        <v>23</v>
      </c>
      <c r="G132" s="17" t="s">
        <v>556</v>
      </c>
      <c r="H132" s="17" t="s">
        <v>552</v>
      </c>
      <c r="I132" s="44" t="s">
        <v>19</v>
      </c>
      <c r="J132" s="72"/>
      <c r="K132" s="18"/>
    </row>
    <row r="133" spans="1:11" ht="25.5" thickBot="1">
      <c r="A133" s="154"/>
      <c r="B133" s="157"/>
      <c r="C133" s="163"/>
      <c r="D133" s="21" t="s">
        <v>557</v>
      </c>
      <c r="E133" s="47" t="s">
        <v>558</v>
      </c>
      <c r="F133" s="73" t="s">
        <v>23</v>
      </c>
      <c r="G133" s="21" t="s">
        <v>559</v>
      </c>
      <c r="H133" s="21" t="s">
        <v>560</v>
      </c>
      <c r="I133" s="74" t="s">
        <v>26</v>
      </c>
      <c r="J133" s="75"/>
      <c r="K133" s="18"/>
    </row>
    <row r="134" spans="1:11" ht="25.5" thickBot="1">
      <c r="A134" s="154"/>
      <c r="B134" s="157"/>
      <c r="C134" s="161" t="s">
        <v>561</v>
      </c>
      <c r="D134" s="14" t="s">
        <v>562</v>
      </c>
      <c r="E134" s="25" t="s">
        <v>563</v>
      </c>
      <c r="F134" s="12" t="s">
        <v>16</v>
      </c>
      <c r="G134" s="13" t="s">
        <v>564</v>
      </c>
      <c r="H134" s="13" t="s">
        <v>565</v>
      </c>
      <c r="I134" s="39" t="s">
        <v>26</v>
      </c>
      <c r="J134" s="71"/>
      <c r="K134" s="18"/>
    </row>
    <row r="135" spans="1:11" ht="25.5" thickBot="1">
      <c r="A135" s="154"/>
      <c r="B135" s="157"/>
      <c r="C135" s="162"/>
      <c r="D135" s="70" t="s">
        <v>566</v>
      </c>
      <c r="E135" s="42" t="s">
        <v>567</v>
      </c>
      <c r="F135" s="43" t="s">
        <v>16</v>
      </c>
      <c r="G135" s="17" t="s">
        <v>568</v>
      </c>
      <c r="H135" s="17" t="s">
        <v>569</v>
      </c>
      <c r="I135" s="39" t="s">
        <v>19</v>
      </c>
      <c r="J135" s="72"/>
      <c r="K135" s="18"/>
    </row>
    <row r="136" spans="1:11" ht="25.5" thickBot="1">
      <c r="A136" s="154"/>
      <c r="B136" s="157"/>
      <c r="C136" s="162"/>
      <c r="D136" s="70" t="s">
        <v>570</v>
      </c>
      <c r="E136" s="42" t="s">
        <v>571</v>
      </c>
      <c r="F136" s="43" t="s">
        <v>16</v>
      </c>
      <c r="G136" s="17" t="s">
        <v>572</v>
      </c>
      <c r="H136" s="17" t="s">
        <v>573</v>
      </c>
      <c r="I136" s="39" t="s">
        <v>19</v>
      </c>
      <c r="J136" s="72"/>
      <c r="K136" s="18"/>
    </row>
    <row r="137" spans="1:11" ht="25.5" thickBot="1">
      <c r="A137" s="154"/>
      <c r="B137" s="157"/>
      <c r="C137" s="162"/>
      <c r="D137" s="17" t="s">
        <v>574</v>
      </c>
      <c r="E137" s="42" t="s">
        <v>575</v>
      </c>
      <c r="F137" s="43" t="s">
        <v>16</v>
      </c>
      <c r="G137" s="17" t="s">
        <v>576</v>
      </c>
      <c r="H137" s="17" t="s">
        <v>577</v>
      </c>
      <c r="I137" s="39" t="s">
        <v>26</v>
      </c>
      <c r="J137" s="72"/>
      <c r="K137" s="18"/>
    </row>
    <row r="138" spans="1:11" ht="25.5" thickBot="1">
      <c r="A138" s="154"/>
      <c r="B138" s="157"/>
      <c r="C138" s="163"/>
      <c r="D138" s="21" t="s">
        <v>578</v>
      </c>
      <c r="E138" s="47" t="s">
        <v>579</v>
      </c>
      <c r="F138" s="73" t="s">
        <v>58</v>
      </c>
      <c r="G138" s="21" t="s">
        <v>580</v>
      </c>
      <c r="H138" s="21" t="s">
        <v>581</v>
      </c>
      <c r="I138" s="39" t="s">
        <v>26</v>
      </c>
      <c r="J138" s="75"/>
      <c r="K138" s="18"/>
    </row>
    <row r="139" spans="1:11" ht="25.5" thickBot="1">
      <c r="A139" s="154"/>
      <c r="B139" s="169" t="s">
        <v>582</v>
      </c>
      <c r="C139" s="166" t="s">
        <v>583</v>
      </c>
      <c r="D139" s="28" t="s">
        <v>584</v>
      </c>
      <c r="E139" s="38" t="s">
        <v>585</v>
      </c>
      <c r="F139" s="90" t="s">
        <v>16</v>
      </c>
      <c r="G139" s="28" t="s">
        <v>586</v>
      </c>
      <c r="H139" s="28" t="s">
        <v>587</v>
      </c>
      <c r="I139" s="86" t="s">
        <v>213</v>
      </c>
      <c r="J139" s="87"/>
      <c r="K139" s="101"/>
    </row>
    <row r="140" spans="1:11" ht="25.5" thickBot="1">
      <c r="A140" s="154"/>
      <c r="B140" s="164"/>
      <c r="C140" s="167"/>
      <c r="D140" s="88" t="s">
        <v>588</v>
      </c>
      <c r="E140" s="30" t="s">
        <v>589</v>
      </c>
      <c r="F140" s="31" t="s">
        <v>23</v>
      </c>
      <c r="G140" s="32" t="s">
        <v>586</v>
      </c>
      <c r="H140" s="32" t="s">
        <v>590</v>
      </c>
      <c r="I140" s="86" t="s">
        <v>213</v>
      </c>
      <c r="J140" s="92"/>
      <c r="K140" s="101"/>
    </row>
    <row r="141" spans="1:11" ht="25.5" thickBot="1">
      <c r="A141" s="154"/>
      <c r="B141" s="164"/>
      <c r="C141" s="167"/>
      <c r="D141" s="93" t="s">
        <v>591</v>
      </c>
      <c r="E141" s="30" t="s">
        <v>592</v>
      </c>
      <c r="F141" s="90" t="s">
        <v>16</v>
      </c>
      <c r="G141" s="32" t="s">
        <v>586</v>
      </c>
      <c r="H141" s="32" t="s">
        <v>593</v>
      </c>
      <c r="I141" s="86" t="s">
        <v>213</v>
      </c>
      <c r="J141" s="92"/>
      <c r="K141" s="101"/>
    </row>
    <row r="142" spans="1:11" ht="25.5" thickBot="1">
      <c r="A142" s="154"/>
      <c r="B142" s="164"/>
      <c r="C142" s="167"/>
      <c r="D142" s="93" t="s">
        <v>594</v>
      </c>
      <c r="E142" s="30" t="s">
        <v>595</v>
      </c>
      <c r="F142" s="90" t="s">
        <v>16</v>
      </c>
      <c r="G142" s="32" t="s">
        <v>586</v>
      </c>
      <c r="H142" s="32" t="s">
        <v>596</v>
      </c>
      <c r="I142" s="86" t="s">
        <v>213</v>
      </c>
      <c r="J142" s="92"/>
      <c r="K142" s="101"/>
    </row>
    <row r="143" spans="1:11" ht="25.5" thickBot="1">
      <c r="A143" s="154"/>
      <c r="B143" s="164"/>
      <c r="C143" s="167"/>
      <c r="D143" s="32" t="s">
        <v>597</v>
      </c>
      <c r="E143" s="30" t="s">
        <v>598</v>
      </c>
      <c r="F143" s="102" t="s">
        <v>58</v>
      </c>
      <c r="G143" s="32" t="s">
        <v>599</v>
      </c>
      <c r="H143" s="32" t="s">
        <v>600</v>
      </c>
      <c r="I143" s="86" t="s">
        <v>213</v>
      </c>
      <c r="J143" s="92"/>
      <c r="K143" s="101"/>
    </row>
    <row r="144" spans="1:11" ht="25">
      <c r="A144" s="154"/>
      <c r="B144" s="164"/>
      <c r="C144" s="166" t="s">
        <v>601</v>
      </c>
      <c r="D144" s="28" t="s">
        <v>602</v>
      </c>
      <c r="E144" s="38" t="s">
        <v>603</v>
      </c>
      <c r="F144" s="90" t="s">
        <v>16</v>
      </c>
      <c r="G144" s="28" t="s">
        <v>586</v>
      </c>
      <c r="H144" s="28" t="s">
        <v>604</v>
      </c>
      <c r="I144" s="86" t="s">
        <v>26</v>
      </c>
      <c r="J144" s="87"/>
      <c r="K144" s="101"/>
    </row>
    <row r="145" spans="1:11" ht="25">
      <c r="A145" s="154"/>
      <c r="B145" s="164"/>
      <c r="C145" s="167"/>
      <c r="D145" s="88" t="s">
        <v>605</v>
      </c>
      <c r="E145" s="30" t="s">
        <v>606</v>
      </c>
      <c r="F145" s="90" t="s">
        <v>16</v>
      </c>
      <c r="G145" s="32" t="s">
        <v>586</v>
      </c>
      <c r="H145" s="32" t="s">
        <v>607</v>
      </c>
      <c r="I145" s="91" t="s">
        <v>26</v>
      </c>
      <c r="J145" s="92"/>
      <c r="K145" s="101"/>
    </row>
    <row r="146" spans="1:11" ht="25.5" thickBot="1">
      <c r="A146" s="154"/>
      <c r="B146" s="164"/>
      <c r="C146" s="167"/>
      <c r="D146" s="93" t="s">
        <v>608</v>
      </c>
      <c r="E146" s="30" t="s">
        <v>609</v>
      </c>
      <c r="F146" s="102" t="s">
        <v>58</v>
      </c>
      <c r="G146" s="32" t="s">
        <v>610</v>
      </c>
      <c r="H146" s="32" t="s">
        <v>611</v>
      </c>
      <c r="I146" s="91" t="s">
        <v>26</v>
      </c>
      <c r="J146" s="92"/>
      <c r="K146" s="101"/>
    </row>
    <row r="147" spans="1:11" ht="25">
      <c r="A147" s="154"/>
      <c r="B147" s="164"/>
      <c r="C147" s="167"/>
      <c r="D147" s="32" t="s">
        <v>612</v>
      </c>
      <c r="E147" s="30" t="s">
        <v>613</v>
      </c>
      <c r="F147" s="90" t="s">
        <v>16</v>
      </c>
      <c r="G147" s="32" t="s">
        <v>610</v>
      </c>
      <c r="H147" s="32" t="s">
        <v>614</v>
      </c>
      <c r="I147" s="91" t="s">
        <v>26</v>
      </c>
      <c r="J147" s="92"/>
      <c r="K147" s="101"/>
    </row>
    <row r="148" spans="1:11" ht="25.5" thickBot="1">
      <c r="A148" s="154"/>
      <c r="B148" s="164"/>
      <c r="C148" s="168"/>
      <c r="D148" s="36" t="s">
        <v>615</v>
      </c>
      <c r="E148" s="34" t="s">
        <v>616</v>
      </c>
      <c r="F148" s="90" t="s">
        <v>16</v>
      </c>
      <c r="G148" s="36" t="s">
        <v>610</v>
      </c>
      <c r="H148" s="36" t="s">
        <v>617</v>
      </c>
      <c r="I148" s="103" t="s">
        <v>26</v>
      </c>
      <c r="J148" s="104"/>
      <c r="K148" s="101"/>
    </row>
    <row r="149" spans="1:11" ht="25.5" thickBot="1">
      <c r="A149" s="154"/>
      <c r="B149" s="164"/>
      <c r="C149" s="166" t="s">
        <v>618</v>
      </c>
      <c r="D149" s="28" t="s">
        <v>619</v>
      </c>
      <c r="E149" s="38" t="s">
        <v>620</v>
      </c>
      <c r="F149" s="90" t="s">
        <v>16</v>
      </c>
      <c r="G149" s="28" t="s">
        <v>621</v>
      </c>
      <c r="H149" s="28" t="s">
        <v>622</v>
      </c>
      <c r="I149" s="86" t="s">
        <v>213</v>
      </c>
      <c r="J149" s="87"/>
      <c r="K149" s="101"/>
    </row>
    <row r="150" spans="1:11" ht="25.5" thickBot="1">
      <c r="A150" s="154"/>
      <c r="B150" s="164"/>
      <c r="C150" s="167"/>
      <c r="D150" s="88" t="s">
        <v>623</v>
      </c>
      <c r="E150" s="30" t="s">
        <v>624</v>
      </c>
      <c r="F150" s="90" t="s">
        <v>16</v>
      </c>
      <c r="G150" s="32" t="s">
        <v>621</v>
      </c>
      <c r="H150" s="32" t="s">
        <v>625</v>
      </c>
      <c r="I150" s="86" t="s">
        <v>213</v>
      </c>
      <c r="J150" s="92"/>
      <c r="K150" s="101"/>
    </row>
    <row r="151" spans="1:11" ht="25.5" thickBot="1">
      <c r="A151" s="154"/>
      <c r="B151" s="164"/>
      <c r="C151" s="167"/>
      <c r="D151" s="93" t="s">
        <v>626</v>
      </c>
      <c r="E151" s="30" t="s">
        <v>627</v>
      </c>
      <c r="F151" s="31" t="s">
        <v>23</v>
      </c>
      <c r="G151" s="32" t="s">
        <v>610</v>
      </c>
      <c r="H151" s="32" t="s">
        <v>628</v>
      </c>
      <c r="I151" s="86" t="s">
        <v>213</v>
      </c>
      <c r="J151" s="92"/>
      <c r="K151" s="101"/>
    </row>
    <row r="152" spans="1:11" ht="25.5" thickBot="1">
      <c r="A152" s="154"/>
      <c r="B152" s="164"/>
      <c r="C152" s="167"/>
      <c r="D152" s="32" t="s">
        <v>629</v>
      </c>
      <c r="E152" s="30" t="s">
        <v>630</v>
      </c>
      <c r="F152" s="90" t="s">
        <v>16</v>
      </c>
      <c r="G152" s="32" t="s">
        <v>631</v>
      </c>
      <c r="H152" s="32" t="s">
        <v>632</v>
      </c>
      <c r="I152" s="86" t="s">
        <v>213</v>
      </c>
      <c r="J152" s="92"/>
      <c r="K152" s="101"/>
    </row>
    <row r="153" spans="1:11" ht="25.5" thickBot="1">
      <c r="A153" s="154"/>
      <c r="B153" s="164"/>
      <c r="C153" s="168"/>
      <c r="D153" s="36" t="s">
        <v>633</v>
      </c>
      <c r="E153" s="34" t="s">
        <v>634</v>
      </c>
      <c r="F153" s="90" t="s">
        <v>16</v>
      </c>
      <c r="G153" s="36" t="s">
        <v>610</v>
      </c>
      <c r="H153" s="36" t="s">
        <v>635</v>
      </c>
      <c r="I153" s="86" t="s">
        <v>213</v>
      </c>
      <c r="J153" s="104"/>
      <c r="K153" s="101"/>
    </row>
    <row r="154" spans="1:11" ht="25.5" thickBot="1">
      <c r="A154" s="154"/>
      <c r="B154" s="164"/>
      <c r="C154" s="170" t="s">
        <v>636</v>
      </c>
      <c r="D154" s="29" t="s">
        <v>637</v>
      </c>
      <c r="E154" s="317" t="s">
        <v>638</v>
      </c>
      <c r="F154" s="102" t="s">
        <v>58</v>
      </c>
      <c r="G154" s="28" t="s">
        <v>639</v>
      </c>
      <c r="H154" s="28" t="s">
        <v>640</v>
      </c>
      <c r="I154" s="86" t="s">
        <v>26</v>
      </c>
      <c r="J154" s="87"/>
      <c r="K154" s="101"/>
    </row>
    <row r="155" spans="1:11" ht="25">
      <c r="A155" s="154"/>
      <c r="B155" s="164"/>
      <c r="C155" s="171"/>
      <c r="D155" s="105" t="s">
        <v>641</v>
      </c>
      <c r="E155" s="30" t="s">
        <v>642</v>
      </c>
      <c r="F155" s="90" t="s">
        <v>16</v>
      </c>
      <c r="G155" s="32" t="s">
        <v>639</v>
      </c>
      <c r="H155" s="32" t="s">
        <v>643</v>
      </c>
      <c r="I155" s="91" t="s">
        <v>26</v>
      </c>
      <c r="J155" s="92"/>
      <c r="K155" s="101"/>
    </row>
    <row r="156" spans="1:11" ht="25">
      <c r="A156" s="154"/>
      <c r="B156" s="164"/>
      <c r="C156" s="171"/>
      <c r="D156" s="106" t="s">
        <v>644</v>
      </c>
      <c r="E156" s="30" t="s">
        <v>645</v>
      </c>
      <c r="F156" s="90" t="s">
        <v>16</v>
      </c>
      <c r="G156" s="32" t="s">
        <v>646</v>
      </c>
      <c r="H156" s="32" t="s">
        <v>647</v>
      </c>
      <c r="I156" s="91" t="s">
        <v>26</v>
      </c>
      <c r="J156" s="92"/>
      <c r="K156" s="101"/>
    </row>
    <row r="157" spans="1:11" ht="25">
      <c r="A157" s="154"/>
      <c r="B157" s="164"/>
      <c r="C157" s="171"/>
      <c r="D157" s="33" t="s">
        <v>648</v>
      </c>
      <c r="E157" s="30" t="s">
        <v>649</v>
      </c>
      <c r="F157" s="90" t="s">
        <v>16</v>
      </c>
      <c r="G157" s="32" t="s">
        <v>646</v>
      </c>
      <c r="H157" s="32" t="s">
        <v>650</v>
      </c>
      <c r="I157" s="91" t="s">
        <v>26</v>
      </c>
      <c r="J157" s="92"/>
      <c r="K157" s="101"/>
    </row>
    <row r="158" spans="1:11" ht="25.5" thickBot="1">
      <c r="A158" s="154"/>
      <c r="B158" s="164"/>
      <c r="C158" s="172"/>
      <c r="D158" s="37" t="s">
        <v>651</v>
      </c>
      <c r="E158" s="34" t="s">
        <v>652</v>
      </c>
      <c r="F158" s="90" t="s">
        <v>16</v>
      </c>
      <c r="G158" s="36" t="s">
        <v>653</v>
      </c>
      <c r="H158" s="36" t="s">
        <v>654</v>
      </c>
      <c r="I158" s="103" t="s">
        <v>213</v>
      </c>
      <c r="J158" s="104"/>
      <c r="K158" s="101"/>
    </row>
    <row r="159" spans="1:11" ht="25.5" thickBot="1">
      <c r="A159" s="154"/>
      <c r="B159" s="164"/>
      <c r="C159" s="166" t="s">
        <v>655</v>
      </c>
      <c r="D159" s="28" t="s">
        <v>656</v>
      </c>
      <c r="E159" s="38" t="s">
        <v>657</v>
      </c>
      <c r="F159" s="31" t="s">
        <v>23</v>
      </c>
      <c r="G159" s="28" t="s">
        <v>658</v>
      </c>
      <c r="H159" s="28" t="s">
        <v>659</v>
      </c>
      <c r="I159" s="103" t="s">
        <v>213</v>
      </c>
      <c r="J159" s="87"/>
      <c r="K159" s="101"/>
    </row>
    <row r="160" spans="1:11" ht="25.5" thickBot="1">
      <c r="A160" s="154"/>
      <c r="B160" s="164"/>
      <c r="C160" s="167"/>
      <c r="D160" s="88" t="s">
        <v>660</v>
      </c>
      <c r="E160" s="30" t="s">
        <v>661</v>
      </c>
      <c r="F160" s="90" t="s">
        <v>16</v>
      </c>
      <c r="G160" s="32" t="s">
        <v>658</v>
      </c>
      <c r="H160" s="32" t="s">
        <v>662</v>
      </c>
      <c r="I160" s="103" t="s">
        <v>213</v>
      </c>
      <c r="J160" s="92"/>
      <c r="K160" s="101"/>
    </row>
    <row r="161" spans="1:11" ht="25.5" thickBot="1">
      <c r="A161" s="154"/>
      <c r="B161" s="164"/>
      <c r="C161" s="167"/>
      <c r="D161" s="93" t="s">
        <v>663</v>
      </c>
      <c r="E161" s="30" t="s">
        <v>664</v>
      </c>
      <c r="F161" s="90" t="s">
        <v>16</v>
      </c>
      <c r="G161" s="32" t="s">
        <v>658</v>
      </c>
      <c r="H161" s="32" t="s">
        <v>665</v>
      </c>
      <c r="I161" s="103" t="s">
        <v>213</v>
      </c>
      <c r="J161" s="92"/>
      <c r="K161" s="101"/>
    </row>
    <row r="162" spans="1:11" ht="25.5" thickBot="1">
      <c r="A162" s="154"/>
      <c r="B162" s="164"/>
      <c r="C162" s="167"/>
      <c r="D162" s="32" t="s">
        <v>666</v>
      </c>
      <c r="E162" s="30" t="s">
        <v>667</v>
      </c>
      <c r="F162" s="102" t="s">
        <v>58</v>
      </c>
      <c r="G162" s="32" t="s">
        <v>658</v>
      </c>
      <c r="H162" s="32" t="s">
        <v>668</v>
      </c>
      <c r="I162" s="103" t="s">
        <v>213</v>
      </c>
      <c r="J162" s="92"/>
      <c r="K162" s="101"/>
    </row>
    <row r="163" spans="1:11" ht="25.5" thickBot="1">
      <c r="A163" s="154"/>
      <c r="B163" s="164"/>
      <c r="C163" s="168"/>
      <c r="D163" s="36" t="s">
        <v>669</v>
      </c>
      <c r="E163" s="34" t="s">
        <v>670</v>
      </c>
      <c r="F163" s="90" t="s">
        <v>16</v>
      </c>
      <c r="G163" s="36" t="s">
        <v>671</v>
      </c>
      <c r="H163" s="36" t="s">
        <v>672</v>
      </c>
      <c r="I163" s="103" t="s">
        <v>213</v>
      </c>
      <c r="J163" s="104"/>
      <c r="K163" s="101"/>
    </row>
    <row r="164" spans="1:11" ht="25">
      <c r="A164" s="154"/>
      <c r="B164" s="164"/>
      <c r="C164" s="166" t="s">
        <v>673</v>
      </c>
      <c r="D164" s="28" t="s">
        <v>674</v>
      </c>
      <c r="E164" s="38" t="s">
        <v>675</v>
      </c>
      <c r="F164" s="90" t="s">
        <v>16</v>
      </c>
      <c r="G164" s="28" t="s">
        <v>676</v>
      </c>
      <c r="H164" s="28" t="s">
        <v>677</v>
      </c>
      <c r="I164" s="86" t="s">
        <v>26</v>
      </c>
      <c r="J164" s="87"/>
      <c r="K164" s="101"/>
    </row>
    <row r="165" spans="1:11" ht="25">
      <c r="A165" s="154"/>
      <c r="B165" s="164"/>
      <c r="C165" s="167"/>
      <c r="D165" s="88" t="s">
        <v>678</v>
      </c>
      <c r="E165" s="30" t="s">
        <v>679</v>
      </c>
      <c r="F165" s="31" t="s">
        <v>23</v>
      </c>
      <c r="G165" s="32" t="s">
        <v>676</v>
      </c>
      <c r="H165" s="32" t="s">
        <v>680</v>
      </c>
      <c r="I165" s="91" t="s">
        <v>26</v>
      </c>
      <c r="J165" s="92"/>
      <c r="K165" s="101"/>
    </row>
    <row r="166" spans="1:11" ht="25">
      <c r="A166" s="154"/>
      <c r="B166" s="164"/>
      <c r="C166" s="167"/>
      <c r="D166" s="93" t="s">
        <v>681</v>
      </c>
      <c r="E166" s="30" t="s">
        <v>682</v>
      </c>
      <c r="F166" s="90" t="s">
        <v>16</v>
      </c>
      <c r="G166" s="32" t="s">
        <v>676</v>
      </c>
      <c r="H166" s="32" t="s">
        <v>683</v>
      </c>
      <c r="I166" s="91" t="s">
        <v>26</v>
      </c>
      <c r="J166" s="92"/>
      <c r="K166" s="101"/>
    </row>
    <row r="167" spans="1:11" ht="25">
      <c r="A167" s="154"/>
      <c r="B167" s="164"/>
      <c r="C167" s="167"/>
      <c r="D167" s="32" t="s">
        <v>684</v>
      </c>
      <c r="E167" s="30" t="s">
        <v>685</v>
      </c>
      <c r="F167" s="90" t="s">
        <v>16</v>
      </c>
      <c r="G167" s="32" t="s">
        <v>676</v>
      </c>
      <c r="H167" s="32" t="s">
        <v>686</v>
      </c>
      <c r="I167" s="91" t="s">
        <v>26</v>
      </c>
      <c r="J167" s="92"/>
      <c r="K167" s="101"/>
    </row>
    <row r="168" spans="1:11" ht="25.5" thickBot="1">
      <c r="A168" s="154"/>
      <c r="B168" s="165"/>
      <c r="C168" s="168"/>
      <c r="D168" s="36" t="s">
        <v>687</v>
      </c>
      <c r="E168" s="34" t="s">
        <v>688</v>
      </c>
      <c r="F168" s="102" t="s">
        <v>58</v>
      </c>
      <c r="G168" s="36" t="s">
        <v>676</v>
      </c>
      <c r="H168" s="36" t="s">
        <v>689</v>
      </c>
      <c r="I168" s="103" t="s">
        <v>26</v>
      </c>
      <c r="J168" s="104"/>
      <c r="K168" s="101"/>
    </row>
    <row r="169" spans="1:11" ht="23.5">
      <c r="A169" s="154"/>
      <c r="B169" s="156" t="s">
        <v>690</v>
      </c>
      <c r="C169" s="161" t="s">
        <v>691</v>
      </c>
      <c r="D169" s="13" t="s">
        <v>692</v>
      </c>
      <c r="E169" s="78" t="s">
        <v>693</v>
      </c>
      <c r="F169" s="79" t="s">
        <v>16</v>
      </c>
      <c r="G169" s="13" t="s">
        <v>694</v>
      </c>
      <c r="H169" s="13" t="s">
        <v>695</v>
      </c>
      <c r="I169" s="39" t="s">
        <v>213</v>
      </c>
      <c r="J169" s="71"/>
      <c r="K169" s="18"/>
    </row>
    <row r="170" spans="1:11" ht="23.5">
      <c r="A170" s="154"/>
      <c r="B170" s="157"/>
      <c r="C170" s="162"/>
      <c r="D170" s="69" t="s">
        <v>696</v>
      </c>
      <c r="E170" s="17" t="s">
        <v>697</v>
      </c>
      <c r="F170" s="80" t="s">
        <v>23</v>
      </c>
      <c r="G170" s="17" t="s">
        <v>698</v>
      </c>
      <c r="H170" s="17" t="s">
        <v>699</v>
      </c>
      <c r="I170" s="44" t="s">
        <v>213</v>
      </c>
      <c r="J170" s="72"/>
      <c r="K170" s="18"/>
    </row>
    <row r="171" spans="1:11" ht="23.5">
      <c r="A171" s="154"/>
      <c r="B171" s="157"/>
      <c r="C171" s="162"/>
      <c r="D171" s="70" t="s">
        <v>700</v>
      </c>
      <c r="E171" s="17" t="s">
        <v>701</v>
      </c>
      <c r="F171" s="80" t="s">
        <v>16</v>
      </c>
      <c r="G171" s="17" t="s">
        <v>702</v>
      </c>
      <c r="H171" s="17" t="s">
        <v>703</v>
      </c>
      <c r="I171" s="44" t="s">
        <v>213</v>
      </c>
      <c r="J171" s="72"/>
      <c r="K171" s="18"/>
    </row>
    <row r="172" spans="1:11" ht="23.5">
      <c r="A172" s="154"/>
      <c r="B172" s="157"/>
      <c r="C172" s="162"/>
      <c r="D172" s="17" t="s">
        <v>704</v>
      </c>
      <c r="E172" s="17" t="s">
        <v>705</v>
      </c>
      <c r="F172" s="80" t="s">
        <v>16</v>
      </c>
      <c r="G172" s="17" t="s">
        <v>706</v>
      </c>
      <c r="H172" s="17" t="s">
        <v>707</v>
      </c>
      <c r="I172" s="44" t="s">
        <v>26</v>
      </c>
      <c r="J172" s="72"/>
      <c r="K172" s="18"/>
    </row>
    <row r="173" spans="1:11" ht="24" thickBot="1">
      <c r="A173" s="154"/>
      <c r="B173" s="157"/>
      <c r="C173" s="163"/>
      <c r="D173" s="21" t="s">
        <v>708</v>
      </c>
      <c r="E173" s="21" t="s">
        <v>709</v>
      </c>
      <c r="F173" s="81" t="s">
        <v>58</v>
      </c>
      <c r="G173" s="21" t="s">
        <v>710</v>
      </c>
      <c r="H173" s="21" t="s">
        <v>711</v>
      </c>
      <c r="I173" s="74" t="s">
        <v>213</v>
      </c>
      <c r="J173" s="75"/>
      <c r="K173" s="18"/>
    </row>
    <row r="174" spans="1:11" ht="23.5">
      <c r="A174" s="154"/>
      <c r="B174" s="157"/>
      <c r="C174" s="161" t="s">
        <v>712</v>
      </c>
      <c r="D174" s="13" t="s">
        <v>713</v>
      </c>
      <c r="E174" s="78" t="s">
        <v>714</v>
      </c>
      <c r="F174" s="79" t="s">
        <v>16</v>
      </c>
      <c r="G174" s="13" t="s">
        <v>715</v>
      </c>
      <c r="H174" s="13" t="s">
        <v>716</v>
      </c>
      <c r="I174" s="39" t="s">
        <v>213</v>
      </c>
      <c r="J174" s="71"/>
      <c r="K174" s="18"/>
    </row>
    <row r="175" spans="1:11" ht="23.5">
      <c r="A175" s="154"/>
      <c r="B175" s="157"/>
      <c r="C175" s="162"/>
      <c r="D175" s="69" t="s">
        <v>717</v>
      </c>
      <c r="E175" s="17" t="s">
        <v>718</v>
      </c>
      <c r="F175" s="80" t="s">
        <v>16</v>
      </c>
      <c r="G175" s="17" t="s">
        <v>719</v>
      </c>
      <c r="H175" s="17" t="s">
        <v>720</v>
      </c>
      <c r="I175" s="44" t="s">
        <v>26</v>
      </c>
      <c r="J175" s="72"/>
      <c r="K175" s="18"/>
    </row>
    <row r="176" spans="1:11" ht="23.5">
      <c r="A176" s="154"/>
      <c r="B176" s="157"/>
      <c r="C176" s="162"/>
      <c r="D176" s="70" t="s">
        <v>721</v>
      </c>
      <c r="E176" s="17" t="s">
        <v>722</v>
      </c>
      <c r="F176" s="80" t="s">
        <v>58</v>
      </c>
      <c r="G176" s="17" t="s">
        <v>723</v>
      </c>
      <c r="H176" s="17" t="s">
        <v>724</v>
      </c>
      <c r="I176" s="44" t="s">
        <v>213</v>
      </c>
      <c r="J176" s="72"/>
      <c r="K176" s="18"/>
    </row>
    <row r="177" spans="1:11" ht="23.5">
      <c r="A177" s="154"/>
      <c r="B177" s="157"/>
      <c r="C177" s="162"/>
      <c r="D177" s="17" t="s">
        <v>725</v>
      </c>
      <c r="E177" s="17" t="s">
        <v>726</v>
      </c>
      <c r="F177" s="80" t="s">
        <v>16</v>
      </c>
      <c r="G177" s="17" t="s">
        <v>727</v>
      </c>
      <c r="H177" s="17" t="s">
        <v>728</v>
      </c>
      <c r="I177" s="44" t="s">
        <v>26</v>
      </c>
      <c r="J177" s="72"/>
      <c r="K177" s="18"/>
    </row>
    <row r="178" spans="1:11" ht="24" thickBot="1">
      <c r="A178" s="154"/>
      <c r="B178" s="157"/>
      <c r="C178" s="163"/>
      <c r="D178" s="21" t="s">
        <v>729</v>
      </c>
      <c r="E178" s="21" t="s">
        <v>730</v>
      </c>
      <c r="F178" s="81" t="s">
        <v>16</v>
      </c>
      <c r="G178" s="21" t="s">
        <v>731</v>
      </c>
      <c r="H178" s="21" t="s">
        <v>732</v>
      </c>
      <c r="I178" s="74" t="s">
        <v>213</v>
      </c>
      <c r="J178" s="75"/>
      <c r="K178" s="18"/>
    </row>
    <row r="179" spans="1:11" ht="23.5">
      <c r="A179" s="154"/>
      <c r="B179" s="157"/>
      <c r="C179" s="161" t="s">
        <v>733</v>
      </c>
      <c r="D179" s="13" t="s">
        <v>734</v>
      </c>
      <c r="E179" s="78" t="s">
        <v>735</v>
      </c>
      <c r="F179" s="79" t="s">
        <v>16</v>
      </c>
      <c r="G179" s="13" t="s">
        <v>736</v>
      </c>
      <c r="H179" s="13" t="s">
        <v>737</v>
      </c>
      <c r="I179" s="39" t="s">
        <v>26</v>
      </c>
      <c r="J179" s="71"/>
      <c r="K179" s="18"/>
    </row>
    <row r="180" spans="1:11" ht="23.5">
      <c r="A180" s="154"/>
      <c r="B180" s="157"/>
      <c r="C180" s="162"/>
      <c r="D180" s="70" t="s">
        <v>738</v>
      </c>
      <c r="E180" s="17" t="s">
        <v>739</v>
      </c>
      <c r="F180" s="80" t="s">
        <v>16</v>
      </c>
      <c r="G180" s="17" t="s">
        <v>740</v>
      </c>
      <c r="H180" s="17" t="s">
        <v>741</v>
      </c>
      <c r="I180" s="44" t="s">
        <v>26</v>
      </c>
      <c r="J180" s="72"/>
      <c r="K180" s="18"/>
    </row>
    <row r="181" spans="1:11" ht="23.5">
      <c r="A181" s="154"/>
      <c r="B181" s="157"/>
      <c r="C181" s="162"/>
      <c r="D181" s="70" t="s">
        <v>742</v>
      </c>
      <c r="E181" s="17" t="s">
        <v>743</v>
      </c>
      <c r="F181" s="80" t="s">
        <v>23</v>
      </c>
      <c r="G181" s="17" t="s">
        <v>744</v>
      </c>
      <c r="H181" s="17" t="s">
        <v>745</v>
      </c>
      <c r="I181" s="44" t="s">
        <v>213</v>
      </c>
      <c r="J181" s="72"/>
      <c r="K181" s="18"/>
    </row>
    <row r="182" spans="1:11" ht="23.5">
      <c r="A182" s="154"/>
      <c r="B182" s="157"/>
      <c r="C182" s="162"/>
      <c r="D182" s="17" t="s">
        <v>746</v>
      </c>
      <c r="E182" s="17" t="s">
        <v>747</v>
      </c>
      <c r="F182" s="80" t="s">
        <v>16</v>
      </c>
      <c r="G182" s="17" t="s">
        <v>748</v>
      </c>
      <c r="H182" s="17" t="s">
        <v>749</v>
      </c>
      <c r="I182" s="44" t="s">
        <v>26</v>
      </c>
      <c r="J182" s="72"/>
      <c r="K182" s="18"/>
    </row>
    <row r="183" spans="1:11" ht="24" thickBot="1">
      <c r="A183" s="154"/>
      <c r="B183" s="157"/>
      <c r="C183" s="162"/>
      <c r="D183" s="48" t="s">
        <v>750</v>
      </c>
      <c r="E183" s="48" t="s">
        <v>751</v>
      </c>
      <c r="F183" s="82" t="s">
        <v>16</v>
      </c>
      <c r="G183" s="48" t="s">
        <v>752</v>
      </c>
      <c r="H183" s="48" t="s">
        <v>753</v>
      </c>
      <c r="I183" s="49" t="s">
        <v>26</v>
      </c>
      <c r="J183" s="83"/>
      <c r="K183" s="84"/>
    </row>
    <row r="184" spans="1:11" ht="23.5">
      <c r="A184" s="154"/>
      <c r="B184" s="157"/>
      <c r="C184" s="161" t="s">
        <v>754</v>
      </c>
      <c r="D184" s="13" t="s">
        <v>755</v>
      </c>
      <c r="E184" s="78" t="s">
        <v>756</v>
      </c>
      <c r="F184" s="79" t="s">
        <v>58</v>
      </c>
      <c r="G184" s="13" t="s">
        <v>757</v>
      </c>
      <c r="H184" s="13" t="s">
        <v>758</v>
      </c>
      <c r="I184" s="39" t="s">
        <v>213</v>
      </c>
      <c r="J184" s="71"/>
      <c r="K184" s="15"/>
    </row>
    <row r="185" spans="1:11" ht="23.5">
      <c r="A185" s="154"/>
      <c r="B185" s="157"/>
      <c r="C185" s="162"/>
      <c r="D185" s="69" t="s">
        <v>759</v>
      </c>
      <c r="E185" s="17" t="s">
        <v>760</v>
      </c>
      <c r="F185" s="80" t="s">
        <v>16</v>
      </c>
      <c r="G185" s="17" t="s">
        <v>761</v>
      </c>
      <c r="H185" s="17" t="s">
        <v>762</v>
      </c>
      <c r="I185" s="44" t="s">
        <v>26</v>
      </c>
      <c r="J185" s="72"/>
      <c r="K185" s="19"/>
    </row>
    <row r="186" spans="1:11" ht="23.5">
      <c r="A186" s="154"/>
      <c r="B186" s="157"/>
      <c r="C186" s="162"/>
      <c r="D186" s="70" t="s">
        <v>763</v>
      </c>
      <c r="E186" s="17" t="s">
        <v>764</v>
      </c>
      <c r="F186" s="80" t="s">
        <v>16</v>
      </c>
      <c r="G186" s="17" t="s">
        <v>765</v>
      </c>
      <c r="H186" s="17" t="s">
        <v>766</v>
      </c>
      <c r="I186" s="44" t="s">
        <v>213</v>
      </c>
      <c r="J186" s="72"/>
      <c r="K186" s="19"/>
    </row>
    <row r="187" spans="1:11" ht="23.5">
      <c r="A187" s="154"/>
      <c r="B187" s="157"/>
      <c r="C187" s="162"/>
      <c r="D187" s="17" t="s">
        <v>767</v>
      </c>
      <c r="E187" s="17" t="s">
        <v>768</v>
      </c>
      <c r="F187" s="80" t="s">
        <v>16</v>
      </c>
      <c r="G187" s="17" t="s">
        <v>769</v>
      </c>
      <c r="H187" s="17" t="s">
        <v>770</v>
      </c>
      <c r="I187" s="44" t="s">
        <v>26</v>
      </c>
      <c r="J187" s="72"/>
      <c r="K187" s="19"/>
    </row>
    <row r="188" spans="1:11" ht="24" thickBot="1">
      <c r="A188" s="154"/>
      <c r="B188" s="157"/>
      <c r="C188" s="163"/>
      <c r="D188" s="21" t="s">
        <v>771</v>
      </c>
      <c r="E188" s="21" t="s">
        <v>772</v>
      </c>
      <c r="F188" s="81" t="s">
        <v>16</v>
      </c>
      <c r="G188" s="21" t="s">
        <v>773</v>
      </c>
      <c r="H188" s="21" t="s">
        <v>774</v>
      </c>
      <c r="I188" s="74" t="s">
        <v>213</v>
      </c>
      <c r="J188" s="75"/>
      <c r="K188" s="23"/>
    </row>
    <row r="189" spans="1:11" ht="23.5">
      <c r="A189" s="154"/>
      <c r="B189" s="157"/>
      <c r="C189" s="162" t="s">
        <v>775</v>
      </c>
      <c r="D189" s="52" t="s">
        <v>776</v>
      </c>
      <c r="E189" s="52" t="s">
        <v>777</v>
      </c>
      <c r="F189" s="85" t="s">
        <v>23</v>
      </c>
      <c r="G189" s="52" t="s">
        <v>778</v>
      </c>
      <c r="H189" s="52" t="s">
        <v>779</v>
      </c>
      <c r="I189" s="53" t="s">
        <v>26</v>
      </c>
      <c r="J189" s="77"/>
      <c r="K189" s="55"/>
    </row>
    <row r="190" spans="1:11" ht="23.5">
      <c r="A190" s="154"/>
      <c r="B190" s="157"/>
      <c r="C190" s="162"/>
      <c r="D190" s="17" t="s">
        <v>780</v>
      </c>
      <c r="E190" s="17" t="s">
        <v>781</v>
      </c>
      <c r="F190" s="80" t="s">
        <v>16</v>
      </c>
      <c r="G190" s="17" t="s">
        <v>782</v>
      </c>
      <c r="H190" s="17" t="s">
        <v>783</v>
      </c>
      <c r="I190" s="44" t="s">
        <v>213</v>
      </c>
      <c r="J190" s="72"/>
      <c r="K190" s="18"/>
    </row>
    <row r="191" spans="1:11" ht="23.5">
      <c r="A191" s="154"/>
      <c r="B191" s="157"/>
      <c r="C191" s="162"/>
      <c r="D191" s="17" t="s">
        <v>784</v>
      </c>
      <c r="E191" s="17" t="s">
        <v>785</v>
      </c>
      <c r="F191" s="80" t="s">
        <v>16</v>
      </c>
      <c r="G191" s="17" t="s">
        <v>786</v>
      </c>
      <c r="H191" s="17" t="s">
        <v>787</v>
      </c>
      <c r="I191" s="44" t="s">
        <v>213</v>
      </c>
      <c r="J191" s="72"/>
      <c r="K191" s="18"/>
    </row>
    <row r="192" spans="1:11" ht="23.5">
      <c r="A192" s="154"/>
      <c r="B192" s="157"/>
      <c r="C192" s="162"/>
      <c r="D192" s="17" t="s">
        <v>788</v>
      </c>
      <c r="E192" s="17" t="s">
        <v>789</v>
      </c>
      <c r="F192" s="80" t="s">
        <v>58</v>
      </c>
      <c r="G192" s="17" t="s">
        <v>790</v>
      </c>
      <c r="H192" s="17" t="s">
        <v>791</v>
      </c>
      <c r="I192" s="44" t="s">
        <v>26</v>
      </c>
      <c r="J192" s="72"/>
      <c r="K192" s="18"/>
    </row>
    <row r="193" spans="1:11" ht="24" thickBot="1">
      <c r="A193" s="154"/>
      <c r="B193" s="157"/>
      <c r="C193" s="163"/>
      <c r="D193" s="21" t="s">
        <v>792</v>
      </c>
      <c r="E193" s="21" t="s">
        <v>793</v>
      </c>
      <c r="F193" s="81" t="s">
        <v>16</v>
      </c>
      <c r="G193" s="21" t="s">
        <v>794</v>
      </c>
      <c r="H193" s="21" t="s">
        <v>795</v>
      </c>
      <c r="I193" s="74" t="s">
        <v>26</v>
      </c>
      <c r="J193" s="75"/>
      <c r="K193" s="18"/>
    </row>
    <row r="194" spans="1:11" ht="23.5">
      <c r="A194" s="154"/>
      <c r="B194" s="157"/>
      <c r="C194" s="161" t="s">
        <v>796</v>
      </c>
      <c r="D194" s="13" t="s">
        <v>797</v>
      </c>
      <c r="E194" s="78" t="s">
        <v>798</v>
      </c>
      <c r="F194" s="79" t="s">
        <v>16</v>
      </c>
      <c r="G194" s="13" t="s">
        <v>799</v>
      </c>
      <c r="H194" s="13" t="s">
        <v>800</v>
      </c>
      <c r="I194" s="39" t="s">
        <v>26</v>
      </c>
      <c r="J194" s="71"/>
      <c r="K194" s="18"/>
    </row>
    <row r="195" spans="1:11" ht="23.5">
      <c r="A195" s="154"/>
      <c r="B195" s="157"/>
      <c r="C195" s="162"/>
      <c r="D195" s="69" t="s">
        <v>801</v>
      </c>
      <c r="E195" s="17" t="s">
        <v>802</v>
      </c>
      <c r="F195" s="80" t="s">
        <v>23</v>
      </c>
      <c r="G195" s="17" t="s">
        <v>803</v>
      </c>
      <c r="H195" s="17" t="s">
        <v>804</v>
      </c>
      <c r="I195" s="44" t="s">
        <v>213</v>
      </c>
      <c r="J195" s="72"/>
      <c r="K195" s="18"/>
    </row>
    <row r="196" spans="1:11" ht="23.5">
      <c r="A196" s="154"/>
      <c r="B196" s="157"/>
      <c r="C196" s="162"/>
      <c r="D196" s="70" t="s">
        <v>805</v>
      </c>
      <c r="E196" s="17" t="s">
        <v>806</v>
      </c>
      <c r="F196" s="80" t="s">
        <v>16</v>
      </c>
      <c r="G196" s="17" t="s">
        <v>807</v>
      </c>
      <c r="H196" s="17" t="s">
        <v>808</v>
      </c>
      <c r="I196" s="44" t="s">
        <v>26</v>
      </c>
      <c r="J196" s="72"/>
      <c r="K196" s="18"/>
    </row>
    <row r="197" spans="1:11" ht="23.5">
      <c r="A197" s="154"/>
      <c r="B197" s="157"/>
      <c r="C197" s="162"/>
      <c r="D197" s="17" t="s">
        <v>809</v>
      </c>
      <c r="E197" s="17" t="s">
        <v>810</v>
      </c>
      <c r="F197" s="80" t="s">
        <v>16</v>
      </c>
      <c r="G197" s="17" t="s">
        <v>811</v>
      </c>
      <c r="H197" s="17" t="s">
        <v>812</v>
      </c>
      <c r="I197" s="44" t="s">
        <v>213</v>
      </c>
      <c r="J197" s="72"/>
      <c r="K197" s="18"/>
    </row>
    <row r="198" spans="1:11" ht="24" thickBot="1">
      <c r="A198" s="154"/>
      <c r="B198" s="157"/>
      <c r="C198" s="163"/>
      <c r="D198" s="21" t="s">
        <v>813</v>
      </c>
      <c r="E198" s="21" t="s">
        <v>814</v>
      </c>
      <c r="F198" s="81" t="s">
        <v>58</v>
      </c>
      <c r="G198" s="21" t="s">
        <v>815</v>
      </c>
      <c r="H198" s="21" t="s">
        <v>816</v>
      </c>
      <c r="I198" s="74" t="s">
        <v>26</v>
      </c>
      <c r="J198" s="75"/>
      <c r="K198" s="18"/>
    </row>
    <row r="199" spans="1:11" ht="23.5">
      <c r="A199" s="154"/>
      <c r="B199" s="157"/>
      <c r="C199" s="161" t="s">
        <v>817</v>
      </c>
      <c r="D199" s="13" t="s">
        <v>818</v>
      </c>
      <c r="E199" s="78" t="s">
        <v>819</v>
      </c>
      <c r="F199" s="79" t="s">
        <v>16</v>
      </c>
      <c r="G199" s="13" t="s">
        <v>820</v>
      </c>
      <c r="H199" s="13" t="s">
        <v>821</v>
      </c>
      <c r="I199" s="39" t="s">
        <v>213</v>
      </c>
      <c r="J199" s="71"/>
      <c r="K199" s="18"/>
    </row>
    <row r="200" spans="1:11" ht="23.5">
      <c r="A200" s="154"/>
      <c r="B200" s="157"/>
      <c r="C200" s="162"/>
      <c r="D200" s="70" t="s">
        <v>822</v>
      </c>
      <c r="E200" s="17" t="s">
        <v>823</v>
      </c>
      <c r="F200" s="80" t="s">
        <v>23</v>
      </c>
      <c r="G200" s="17" t="s">
        <v>824</v>
      </c>
      <c r="H200" s="17" t="s">
        <v>825</v>
      </c>
      <c r="I200" s="44" t="s">
        <v>26</v>
      </c>
      <c r="J200" s="72"/>
      <c r="K200" s="18"/>
    </row>
    <row r="201" spans="1:11" ht="23.5">
      <c r="A201" s="154"/>
      <c r="B201" s="157"/>
      <c r="C201" s="162"/>
      <c r="D201" s="70" t="s">
        <v>826</v>
      </c>
      <c r="E201" s="17" t="s">
        <v>827</v>
      </c>
      <c r="F201" s="80" t="s">
        <v>23</v>
      </c>
      <c r="G201" s="17" t="s">
        <v>828</v>
      </c>
      <c r="H201" s="17" t="s">
        <v>829</v>
      </c>
      <c r="I201" s="44" t="s">
        <v>213</v>
      </c>
      <c r="J201" s="72"/>
      <c r="K201" s="18"/>
    </row>
    <row r="202" spans="1:11" ht="23.5">
      <c r="A202" s="154"/>
      <c r="B202" s="157"/>
      <c r="C202" s="162"/>
      <c r="D202" s="17" t="s">
        <v>830</v>
      </c>
      <c r="E202" s="17" t="s">
        <v>831</v>
      </c>
      <c r="F202" s="80" t="s">
        <v>16</v>
      </c>
      <c r="G202" s="17" t="s">
        <v>832</v>
      </c>
      <c r="H202" s="17" t="s">
        <v>833</v>
      </c>
      <c r="I202" s="44" t="s">
        <v>213</v>
      </c>
      <c r="J202" s="72"/>
      <c r="K202" s="18"/>
    </row>
    <row r="203" spans="1:11" ht="24" thickBot="1">
      <c r="A203" s="154"/>
      <c r="B203" s="157"/>
      <c r="C203" s="163"/>
      <c r="D203" s="21" t="s">
        <v>834</v>
      </c>
      <c r="E203" s="21" t="s">
        <v>835</v>
      </c>
      <c r="F203" s="81" t="s">
        <v>16</v>
      </c>
      <c r="G203" s="21" t="s">
        <v>836</v>
      </c>
      <c r="H203" s="21" t="s">
        <v>837</v>
      </c>
      <c r="I203" s="74" t="s">
        <v>26</v>
      </c>
      <c r="J203" s="75"/>
      <c r="K203" s="18"/>
    </row>
    <row r="204" spans="1:11" ht="23.5">
      <c r="A204" s="154"/>
      <c r="B204" s="157"/>
      <c r="C204" s="161" t="s">
        <v>838</v>
      </c>
      <c r="D204" s="13" t="s">
        <v>839</v>
      </c>
      <c r="E204" s="78" t="s">
        <v>840</v>
      </c>
      <c r="F204" s="79" t="s">
        <v>16</v>
      </c>
      <c r="G204" s="13" t="s">
        <v>841</v>
      </c>
      <c r="H204" s="13" t="s">
        <v>842</v>
      </c>
      <c r="I204" s="39" t="s">
        <v>213</v>
      </c>
      <c r="J204" s="71"/>
      <c r="K204" s="18"/>
    </row>
    <row r="205" spans="1:11" ht="23.5">
      <c r="A205" s="154"/>
      <c r="B205" s="157"/>
      <c r="C205" s="162"/>
      <c r="D205" s="70" t="s">
        <v>843</v>
      </c>
      <c r="E205" s="17" t="s">
        <v>844</v>
      </c>
      <c r="F205" s="80" t="s">
        <v>16</v>
      </c>
      <c r="G205" s="17" t="s">
        <v>845</v>
      </c>
      <c r="H205" s="17" t="s">
        <v>846</v>
      </c>
      <c r="I205" s="44" t="s">
        <v>213</v>
      </c>
      <c r="J205" s="72"/>
      <c r="K205" s="18"/>
    </row>
    <row r="206" spans="1:11" ht="23.5">
      <c r="A206" s="154"/>
      <c r="B206" s="157"/>
      <c r="C206" s="162"/>
      <c r="D206" s="70" t="s">
        <v>847</v>
      </c>
      <c r="E206" s="17" t="s">
        <v>848</v>
      </c>
      <c r="F206" s="80" t="s">
        <v>16</v>
      </c>
      <c r="G206" s="17" t="s">
        <v>849</v>
      </c>
      <c r="H206" s="17" t="s">
        <v>850</v>
      </c>
      <c r="I206" s="44" t="s">
        <v>26</v>
      </c>
      <c r="J206" s="72"/>
      <c r="K206" s="18"/>
    </row>
    <row r="207" spans="1:11" ht="23.5">
      <c r="A207" s="154"/>
      <c r="B207" s="157"/>
      <c r="C207" s="162"/>
      <c r="D207" s="17" t="s">
        <v>851</v>
      </c>
      <c r="E207" s="17" t="s">
        <v>852</v>
      </c>
      <c r="F207" s="80" t="s">
        <v>23</v>
      </c>
      <c r="G207" s="17" t="s">
        <v>853</v>
      </c>
      <c r="H207" s="17" t="s">
        <v>854</v>
      </c>
      <c r="I207" s="44" t="s">
        <v>26</v>
      </c>
      <c r="J207" s="72"/>
      <c r="K207" s="18"/>
    </row>
    <row r="208" spans="1:11" ht="24" thickBot="1">
      <c r="A208" s="154"/>
      <c r="B208" s="157"/>
      <c r="C208" s="163"/>
      <c r="D208" s="21" t="s">
        <v>855</v>
      </c>
      <c r="E208" s="21" t="s">
        <v>856</v>
      </c>
      <c r="F208" s="81" t="s">
        <v>58</v>
      </c>
      <c r="G208" s="21" t="s">
        <v>857</v>
      </c>
      <c r="H208" s="21" t="s">
        <v>858</v>
      </c>
      <c r="I208" s="74" t="s">
        <v>26</v>
      </c>
      <c r="J208" s="75"/>
      <c r="K208" s="18"/>
    </row>
    <row r="209" spans="1:11" ht="23.5">
      <c r="A209" s="154"/>
      <c r="B209" s="157"/>
      <c r="C209" s="161" t="s">
        <v>859</v>
      </c>
      <c r="D209" s="13" t="s">
        <v>860</v>
      </c>
      <c r="E209" s="78" t="s">
        <v>861</v>
      </c>
      <c r="F209" s="79" t="s">
        <v>16</v>
      </c>
      <c r="G209" s="13" t="s">
        <v>862</v>
      </c>
      <c r="H209" s="13" t="s">
        <v>863</v>
      </c>
      <c r="I209" s="39" t="s">
        <v>213</v>
      </c>
      <c r="J209" s="71"/>
      <c r="K209" s="18"/>
    </row>
    <row r="210" spans="1:11" ht="23.5">
      <c r="A210" s="154"/>
      <c r="B210" s="157"/>
      <c r="C210" s="162"/>
      <c r="D210" s="70" t="s">
        <v>864</v>
      </c>
      <c r="E210" s="17" t="s">
        <v>865</v>
      </c>
      <c r="F210" s="80" t="s">
        <v>16</v>
      </c>
      <c r="G210" s="17" t="s">
        <v>866</v>
      </c>
      <c r="H210" s="17" t="s">
        <v>867</v>
      </c>
      <c r="I210" s="44" t="s">
        <v>213</v>
      </c>
      <c r="J210" s="72"/>
      <c r="K210" s="18"/>
    </row>
    <row r="211" spans="1:11" ht="23.5">
      <c r="A211" s="154"/>
      <c r="B211" s="157"/>
      <c r="C211" s="162"/>
      <c r="D211" s="70" t="s">
        <v>868</v>
      </c>
      <c r="E211" s="17" t="s">
        <v>869</v>
      </c>
      <c r="F211" s="80" t="s">
        <v>23</v>
      </c>
      <c r="G211" s="17" t="s">
        <v>870</v>
      </c>
      <c r="H211" s="17" t="s">
        <v>871</v>
      </c>
      <c r="I211" s="44" t="s">
        <v>26</v>
      </c>
      <c r="J211" s="72"/>
      <c r="K211" s="18"/>
    </row>
    <row r="212" spans="1:11" ht="23.5">
      <c r="A212" s="154"/>
      <c r="B212" s="157"/>
      <c r="C212" s="162"/>
      <c r="D212" s="17" t="s">
        <v>872</v>
      </c>
      <c r="E212" s="17" t="s">
        <v>873</v>
      </c>
      <c r="F212" s="80" t="s">
        <v>16</v>
      </c>
      <c r="G212" s="17" t="s">
        <v>874</v>
      </c>
      <c r="H212" s="17" t="s">
        <v>875</v>
      </c>
      <c r="I212" s="44" t="s">
        <v>213</v>
      </c>
      <c r="J212" s="72"/>
      <c r="K212" s="18"/>
    </row>
    <row r="213" spans="1:11" ht="24" thickBot="1">
      <c r="A213" s="154"/>
      <c r="B213" s="173"/>
      <c r="C213" s="163"/>
      <c r="D213" s="21" t="s">
        <v>876</v>
      </c>
      <c r="E213" s="21" t="s">
        <v>877</v>
      </c>
      <c r="F213" s="81" t="s">
        <v>58</v>
      </c>
      <c r="G213" s="21" t="s">
        <v>878</v>
      </c>
      <c r="H213" s="21" t="s">
        <v>879</v>
      </c>
      <c r="I213" s="74" t="s">
        <v>26</v>
      </c>
      <c r="J213" s="21"/>
      <c r="K213" s="23"/>
    </row>
    <row r="214" spans="1:11" ht="25">
      <c r="A214" s="154"/>
      <c r="B214" s="169" t="s">
        <v>880</v>
      </c>
      <c r="C214" s="166" t="s">
        <v>881</v>
      </c>
      <c r="D214" s="28" t="s">
        <v>882</v>
      </c>
      <c r="E214" s="38" t="s">
        <v>883</v>
      </c>
      <c r="F214" s="27" t="s">
        <v>16</v>
      </c>
      <c r="G214" s="28" t="s">
        <v>884</v>
      </c>
      <c r="H214" s="28" t="s">
        <v>885</v>
      </c>
      <c r="I214" s="86" t="s">
        <v>19</v>
      </c>
      <c r="J214" s="28"/>
      <c r="K214" s="107"/>
    </row>
    <row r="215" spans="1:11" ht="25">
      <c r="A215" s="154"/>
      <c r="B215" s="164"/>
      <c r="C215" s="167"/>
      <c r="D215" s="311" t="s">
        <v>3817</v>
      </c>
      <c r="E215" s="30" t="s">
        <v>886</v>
      </c>
      <c r="F215" s="31" t="s">
        <v>58</v>
      </c>
      <c r="G215" s="32" t="s">
        <v>887</v>
      </c>
      <c r="H215" s="32" t="s">
        <v>888</v>
      </c>
      <c r="I215" s="91" t="s">
        <v>26</v>
      </c>
      <c r="J215" s="32"/>
      <c r="K215" s="108"/>
    </row>
    <row r="216" spans="1:11" ht="25">
      <c r="A216" s="154"/>
      <c r="B216" s="164"/>
      <c r="C216" s="167"/>
      <c r="D216" s="312" t="s">
        <v>3818</v>
      </c>
      <c r="E216" s="30" t="s">
        <v>889</v>
      </c>
      <c r="F216" s="31" t="s">
        <v>16</v>
      </c>
      <c r="G216" s="32" t="s">
        <v>890</v>
      </c>
      <c r="H216" s="32" t="s">
        <v>891</v>
      </c>
      <c r="I216" s="91" t="s">
        <v>19</v>
      </c>
      <c r="J216" s="32"/>
      <c r="K216" s="108"/>
    </row>
    <row r="217" spans="1:11" ht="25">
      <c r="A217" s="154"/>
      <c r="B217" s="164"/>
      <c r="C217" s="167"/>
      <c r="D217" s="313" t="s">
        <v>3819</v>
      </c>
      <c r="E217" s="30" t="s">
        <v>892</v>
      </c>
      <c r="F217" s="31" t="s">
        <v>23</v>
      </c>
      <c r="G217" s="32" t="s">
        <v>893</v>
      </c>
      <c r="H217" s="32" t="s">
        <v>894</v>
      </c>
      <c r="I217" s="91" t="s">
        <v>26</v>
      </c>
      <c r="J217" s="32"/>
      <c r="K217" s="108"/>
    </row>
    <row r="218" spans="1:11" ht="25.5" thickBot="1">
      <c r="A218" s="154"/>
      <c r="B218" s="164"/>
      <c r="C218" s="168"/>
      <c r="D218" s="314" t="s">
        <v>3820</v>
      </c>
      <c r="E218" s="34" t="s">
        <v>895</v>
      </c>
      <c r="F218" s="35" t="s">
        <v>23</v>
      </c>
      <c r="G218" s="36" t="s">
        <v>896</v>
      </c>
      <c r="H218" s="36" t="s">
        <v>897</v>
      </c>
      <c r="I218" s="103" t="s">
        <v>26</v>
      </c>
      <c r="J218" s="36"/>
      <c r="K218" s="109"/>
    </row>
    <row r="219" spans="1:11" ht="25">
      <c r="A219" s="154"/>
      <c r="B219" s="164"/>
      <c r="C219" s="170" t="s">
        <v>898</v>
      </c>
      <c r="D219" s="315" t="s">
        <v>899</v>
      </c>
      <c r="E219" s="317" t="s">
        <v>900</v>
      </c>
      <c r="F219" s="27" t="s">
        <v>16</v>
      </c>
      <c r="G219" s="28" t="s">
        <v>901</v>
      </c>
      <c r="H219" s="28" t="s">
        <v>902</v>
      </c>
      <c r="I219" s="86" t="s">
        <v>19</v>
      </c>
      <c r="J219" s="28"/>
      <c r="K219" s="107"/>
    </row>
    <row r="220" spans="1:11" ht="25">
      <c r="A220" s="154"/>
      <c r="B220" s="164"/>
      <c r="C220" s="171"/>
      <c r="D220" s="311" t="s">
        <v>3821</v>
      </c>
      <c r="E220" s="30" t="s">
        <v>903</v>
      </c>
      <c r="F220" s="31" t="s">
        <v>16</v>
      </c>
      <c r="G220" s="32" t="s">
        <v>904</v>
      </c>
      <c r="H220" s="32" t="s">
        <v>905</v>
      </c>
      <c r="I220" s="91" t="s">
        <v>26</v>
      </c>
      <c r="J220" s="32"/>
      <c r="K220" s="108"/>
    </row>
    <row r="221" spans="1:11" ht="25">
      <c r="A221" s="154"/>
      <c r="B221" s="164"/>
      <c r="C221" s="171"/>
      <c r="D221" s="312" t="s">
        <v>3822</v>
      </c>
      <c r="E221" s="30" t="s">
        <v>906</v>
      </c>
      <c r="F221" s="31" t="s">
        <v>16</v>
      </c>
      <c r="G221" s="32" t="s">
        <v>907</v>
      </c>
      <c r="H221" s="32" t="s">
        <v>908</v>
      </c>
      <c r="I221" s="91" t="s">
        <v>19</v>
      </c>
      <c r="J221" s="32"/>
      <c r="K221" s="108"/>
    </row>
    <row r="222" spans="1:11" ht="25">
      <c r="A222" s="154"/>
      <c r="B222" s="164"/>
      <c r="C222" s="171"/>
      <c r="D222" s="313" t="s">
        <v>3823</v>
      </c>
      <c r="E222" s="30" t="s">
        <v>909</v>
      </c>
      <c r="F222" s="31" t="s">
        <v>16</v>
      </c>
      <c r="G222" s="32" t="s">
        <v>910</v>
      </c>
      <c r="H222" s="32" t="s">
        <v>911</v>
      </c>
      <c r="I222" s="91" t="s">
        <v>19</v>
      </c>
      <c r="J222" s="32"/>
      <c r="K222" s="108"/>
    </row>
    <row r="223" spans="1:11" ht="25.5" thickBot="1">
      <c r="A223" s="154"/>
      <c r="B223" s="164"/>
      <c r="C223" s="172"/>
      <c r="D223" s="314" t="s">
        <v>3824</v>
      </c>
      <c r="E223" s="34" t="s">
        <v>912</v>
      </c>
      <c r="F223" s="35" t="s">
        <v>16</v>
      </c>
      <c r="G223" s="36" t="s">
        <v>913</v>
      </c>
      <c r="H223" s="36" t="s">
        <v>914</v>
      </c>
      <c r="I223" s="103" t="s">
        <v>26</v>
      </c>
      <c r="J223" s="36"/>
      <c r="K223" s="109"/>
    </row>
    <row r="224" spans="1:11" ht="25">
      <c r="A224" s="154"/>
      <c r="B224" s="164"/>
      <c r="C224" s="166" t="s">
        <v>915</v>
      </c>
      <c r="D224" s="316" t="s">
        <v>916</v>
      </c>
      <c r="E224" s="38" t="s">
        <v>917</v>
      </c>
      <c r="F224" s="27" t="s">
        <v>23</v>
      </c>
      <c r="G224" s="28" t="s">
        <v>918</v>
      </c>
      <c r="H224" s="28" t="s">
        <v>919</v>
      </c>
      <c r="I224" s="86" t="s">
        <v>19</v>
      </c>
      <c r="J224" s="28"/>
      <c r="K224" s="107"/>
    </row>
    <row r="225" spans="1:11" ht="25">
      <c r="A225" s="154"/>
      <c r="B225" s="164"/>
      <c r="C225" s="167"/>
      <c r="D225" s="311" t="s">
        <v>3825</v>
      </c>
      <c r="E225" s="30" t="s">
        <v>920</v>
      </c>
      <c r="F225" s="31" t="s">
        <v>58</v>
      </c>
      <c r="G225" s="32" t="s">
        <v>921</v>
      </c>
      <c r="H225" s="32" t="s">
        <v>922</v>
      </c>
      <c r="I225" s="91" t="s">
        <v>19</v>
      </c>
      <c r="J225" s="32"/>
      <c r="K225" s="108"/>
    </row>
    <row r="226" spans="1:11" ht="25">
      <c r="A226" s="154"/>
      <c r="B226" s="164"/>
      <c r="C226" s="167"/>
      <c r="D226" s="312" t="s">
        <v>3826</v>
      </c>
      <c r="E226" s="30" t="s">
        <v>923</v>
      </c>
      <c r="F226" s="31" t="s">
        <v>16</v>
      </c>
      <c r="G226" s="32" t="s">
        <v>924</v>
      </c>
      <c r="H226" s="32" t="s">
        <v>925</v>
      </c>
      <c r="I226" s="91" t="s">
        <v>26</v>
      </c>
      <c r="J226" s="32"/>
      <c r="K226" s="108"/>
    </row>
    <row r="227" spans="1:11" ht="25">
      <c r="A227" s="154"/>
      <c r="B227" s="164"/>
      <c r="C227" s="167"/>
      <c r="D227" s="313" t="s">
        <v>3827</v>
      </c>
      <c r="E227" s="30" t="s">
        <v>926</v>
      </c>
      <c r="F227" s="31" t="s">
        <v>16</v>
      </c>
      <c r="G227" s="32" t="s">
        <v>927</v>
      </c>
      <c r="H227" s="32" t="s">
        <v>928</v>
      </c>
      <c r="I227" s="91" t="s">
        <v>26</v>
      </c>
      <c r="J227" s="32"/>
      <c r="K227" s="108"/>
    </row>
    <row r="228" spans="1:11" ht="25.5" thickBot="1">
      <c r="A228" s="154"/>
      <c r="B228" s="164"/>
      <c r="C228" s="168"/>
      <c r="D228" s="314" t="s">
        <v>3828</v>
      </c>
      <c r="E228" s="34" t="s">
        <v>929</v>
      </c>
      <c r="F228" s="35" t="s">
        <v>23</v>
      </c>
      <c r="G228" s="36" t="s">
        <v>930</v>
      </c>
      <c r="H228" s="36" t="s">
        <v>931</v>
      </c>
      <c r="I228" s="103" t="s">
        <v>26</v>
      </c>
      <c r="J228" s="36"/>
      <c r="K228" s="109"/>
    </row>
    <row r="229" spans="1:11" ht="25">
      <c r="A229" s="154"/>
      <c r="B229" s="164"/>
      <c r="C229" s="166" t="s">
        <v>932</v>
      </c>
      <c r="D229" s="316" t="s">
        <v>933</v>
      </c>
      <c r="E229" s="38" t="s">
        <v>934</v>
      </c>
      <c r="F229" s="27" t="s">
        <v>16</v>
      </c>
      <c r="G229" s="28" t="s">
        <v>935</v>
      </c>
      <c r="H229" s="28" t="s">
        <v>936</v>
      </c>
      <c r="I229" s="86" t="s">
        <v>19</v>
      </c>
      <c r="J229" s="28"/>
      <c r="K229" s="107"/>
    </row>
    <row r="230" spans="1:11" ht="25">
      <c r="A230" s="154"/>
      <c r="B230" s="164"/>
      <c r="C230" s="167"/>
      <c r="D230" s="311" t="s">
        <v>3829</v>
      </c>
      <c r="E230" s="30" t="s">
        <v>937</v>
      </c>
      <c r="F230" s="31" t="s">
        <v>58</v>
      </c>
      <c r="G230" s="32" t="s">
        <v>938</v>
      </c>
      <c r="H230" s="32" t="s">
        <v>939</v>
      </c>
      <c r="I230" s="91" t="s">
        <v>26</v>
      </c>
      <c r="J230" s="32"/>
      <c r="K230" s="108"/>
    </row>
    <row r="231" spans="1:11" ht="25">
      <c r="A231" s="154"/>
      <c r="B231" s="164"/>
      <c r="C231" s="167"/>
      <c r="D231" s="312" t="s">
        <v>3830</v>
      </c>
      <c r="E231" s="30" t="s">
        <v>940</v>
      </c>
      <c r="F231" s="31" t="s">
        <v>16</v>
      </c>
      <c r="G231" s="32" t="s">
        <v>941</v>
      </c>
      <c r="H231" s="32" t="s">
        <v>942</v>
      </c>
      <c r="I231" s="91" t="s">
        <v>26</v>
      </c>
      <c r="J231" s="32"/>
      <c r="K231" s="108"/>
    </row>
    <row r="232" spans="1:11" ht="25">
      <c r="A232" s="154"/>
      <c r="B232" s="164"/>
      <c r="C232" s="167"/>
      <c r="D232" s="313" t="s">
        <v>3831</v>
      </c>
      <c r="E232" s="30" t="s">
        <v>943</v>
      </c>
      <c r="F232" s="31" t="s">
        <v>58</v>
      </c>
      <c r="G232" s="32" t="s">
        <v>944</v>
      </c>
      <c r="H232" s="32" t="s">
        <v>945</v>
      </c>
      <c r="I232" s="91" t="s">
        <v>19</v>
      </c>
      <c r="J232" s="32"/>
      <c r="K232" s="108"/>
    </row>
    <row r="233" spans="1:11" ht="25.5" thickBot="1">
      <c r="A233" s="154"/>
      <c r="B233" s="164"/>
      <c r="C233" s="168"/>
      <c r="D233" s="314" t="s">
        <v>3832</v>
      </c>
      <c r="E233" s="34" t="s">
        <v>946</v>
      </c>
      <c r="F233" s="35" t="s">
        <v>58</v>
      </c>
      <c r="G233" s="36" t="s">
        <v>947</v>
      </c>
      <c r="H233" s="36" t="s">
        <v>948</v>
      </c>
      <c r="I233" s="103" t="s">
        <v>19</v>
      </c>
      <c r="J233" s="36"/>
      <c r="K233" s="109"/>
    </row>
    <row r="234" spans="1:11" ht="25">
      <c r="A234" s="154"/>
      <c r="B234" s="164"/>
      <c r="C234" s="170" t="s">
        <v>949</v>
      </c>
      <c r="D234" s="315" t="s">
        <v>950</v>
      </c>
      <c r="E234" s="317" t="s">
        <v>951</v>
      </c>
      <c r="F234" s="27" t="s">
        <v>16</v>
      </c>
      <c r="G234" s="28" t="s">
        <v>913</v>
      </c>
      <c r="H234" s="28" t="s">
        <v>952</v>
      </c>
      <c r="I234" s="86" t="s">
        <v>26</v>
      </c>
      <c r="J234" s="28"/>
      <c r="K234" s="107"/>
    </row>
    <row r="235" spans="1:11" ht="25">
      <c r="A235" s="154"/>
      <c r="B235" s="164"/>
      <c r="C235" s="171"/>
      <c r="D235" s="312" t="s">
        <v>3833</v>
      </c>
      <c r="E235" s="30" t="s">
        <v>953</v>
      </c>
      <c r="F235" s="31" t="s">
        <v>16</v>
      </c>
      <c r="G235" s="32" t="s">
        <v>954</v>
      </c>
      <c r="H235" s="32" t="s">
        <v>955</v>
      </c>
      <c r="I235" s="91" t="s">
        <v>26</v>
      </c>
      <c r="J235" s="32"/>
      <c r="K235" s="108"/>
    </row>
    <row r="236" spans="1:11" ht="25">
      <c r="A236" s="154"/>
      <c r="B236" s="164"/>
      <c r="C236" s="171"/>
      <c r="D236" s="312" t="s">
        <v>3838</v>
      </c>
      <c r="E236" s="30" t="s">
        <v>956</v>
      </c>
      <c r="F236" s="31" t="s">
        <v>16</v>
      </c>
      <c r="G236" s="32" t="s">
        <v>957</v>
      </c>
      <c r="H236" s="32" t="s">
        <v>958</v>
      </c>
      <c r="I236" s="91" t="s">
        <v>19</v>
      </c>
      <c r="J236" s="32"/>
      <c r="K236" s="108"/>
    </row>
    <row r="237" spans="1:11" ht="25">
      <c r="A237" s="154"/>
      <c r="B237" s="164"/>
      <c r="C237" s="171"/>
      <c r="D237" s="313" t="s">
        <v>3839</v>
      </c>
      <c r="E237" s="30" t="s">
        <v>959</v>
      </c>
      <c r="F237" s="31" t="s">
        <v>16</v>
      </c>
      <c r="G237" s="32" t="s">
        <v>960</v>
      </c>
      <c r="H237" s="32" t="s">
        <v>961</v>
      </c>
      <c r="I237" s="91" t="s">
        <v>26</v>
      </c>
      <c r="J237" s="32"/>
      <c r="K237" s="108"/>
    </row>
    <row r="238" spans="1:11" ht="25.5" thickBot="1">
      <c r="A238" s="154"/>
      <c r="B238" s="164"/>
      <c r="C238" s="172"/>
      <c r="D238" s="314" t="s">
        <v>3840</v>
      </c>
      <c r="E238" s="34" t="s">
        <v>962</v>
      </c>
      <c r="F238" s="35" t="s">
        <v>23</v>
      </c>
      <c r="G238" s="36" t="s">
        <v>963</v>
      </c>
      <c r="H238" s="36" t="s">
        <v>964</v>
      </c>
      <c r="I238" s="103" t="s">
        <v>26</v>
      </c>
      <c r="J238" s="36"/>
      <c r="K238" s="109"/>
    </row>
    <row r="239" spans="1:11" ht="25">
      <c r="A239" s="154"/>
      <c r="B239" s="164"/>
      <c r="C239" s="166" t="s">
        <v>965</v>
      </c>
      <c r="D239" s="316" t="s">
        <v>966</v>
      </c>
      <c r="E239" s="38" t="s">
        <v>967</v>
      </c>
      <c r="F239" s="27" t="s">
        <v>16</v>
      </c>
      <c r="G239" s="28" t="s">
        <v>968</v>
      </c>
      <c r="H239" s="28" t="s">
        <v>969</v>
      </c>
      <c r="I239" s="86" t="s">
        <v>19</v>
      </c>
      <c r="J239" s="28"/>
      <c r="K239" s="107"/>
    </row>
    <row r="240" spans="1:11" ht="25">
      <c r="A240" s="154"/>
      <c r="B240" s="164"/>
      <c r="C240" s="167"/>
      <c r="D240" s="312" t="s">
        <v>3841</v>
      </c>
      <c r="E240" s="30" t="s">
        <v>970</v>
      </c>
      <c r="F240" s="31" t="s">
        <v>16</v>
      </c>
      <c r="G240" s="32" t="s">
        <v>913</v>
      </c>
      <c r="H240" s="32" t="s">
        <v>971</v>
      </c>
      <c r="I240" s="91" t="s">
        <v>26</v>
      </c>
      <c r="J240" s="32"/>
      <c r="K240" s="108"/>
    </row>
    <row r="241" spans="1:11" ht="25">
      <c r="A241" s="154"/>
      <c r="B241" s="164"/>
      <c r="C241" s="167"/>
      <c r="D241" s="312" t="s">
        <v>3842</v>
      </c>
      <c r="E241" s="30" t="s">
        <v>972</v>
      </c>
      <c r="F241" s="31" t="s">
        <v>58</v>
      </c>
      <c r="G241" s="32" t="s">
        <v>973</v>
      </c>
      <c r="H241" s="32" t="s">
        <v>974</v>
      </c>
      <c r="I241" s="91" t="s">
        <v>26</v>
      </c>
      <c r="J241" s="32"/>
      <c r="K241" s="108"/>
    </row>
    <row r="242" spans="1:11" ht="25">
      <c r="A242" s="154"/>
      <c r="B242" s="164"/>
      <c r="C242" s="167"/>
      <c r="D242" s="313" t="s">
        <v>3843</v>
      </c>
      <c r="E242" s="30" t="s">
        <v>975</v>
      </c>
      <c r="F242" s="31" t="s">
        <v>16</v>
      </c>
      <c r="G242" s="32" t="s">
        <v>976</v>
      </c>
      <c r="H242" s="32" t="s">
        <v>977</v>
      </c>
      <c r="I242" s="91" t="s">
        <v>19</v>
      </c>
      <c r="J242" s="32"/>
      <c r="K242" s="108"/>
    </row>
    <row r="243" spans="1:11" ht="25.5" thickBot="1">
      <c r="A243" s="154"/>
      <c r="B243" s="164"/>
      <c r="C243" s="168"/>
      <c r="D243" s="314" t="s">
        <v>3844</v>
      </c>
      <c r="E243" s="34" t="s">
        <v>978</v>
      </c>
      <c r="F243" s="35" t="s">
        <v>16</v>
      </c>
      <c r="G243" s="36" t="s">
        <v>979</v>
      </c>
      <c r="H243" s="36" t="s">
        <v>980</v>
      </c>
      <c r="I243" s="103" t="s">
        <v>26</v>
      </c>
      <c r="J243" s="36"/>
      <c r="K243" s="109"/>
    </row>
    <row r="244" spans="1:11" ht="25">
      <c r="A244" s="154"/>
      <c r="B244" s="164"/>
      <c r="C244" s="166" t="s">
        <v>981</v>
      </c>
      <c r="D244" s="316" t="s">
        <v>982</v>
      </c>
      <c r="E244" s="38" t="s">
        <v>983</v>
      </c>
      <c r="F244" s="27" t="s">
        <v>23</v>
      </c>
      <c r="G244" s="28" t="s">
        <v>984</v>
      </c>
      <c r="H244" s="28" t="s">
        <v>908</v>
      </c>
      <c r="I244" s="86" t="s">
        <v>19</v>
      </c>
      <c r="J244" s="28"/>
      <c r="K244" s="107"/>
    </row>
    <row r="245" spans="1:11" ht="25">
      <c r="A245" s="154"/>
      <c r="B245" s="164"/>
      <c r="C245" s="167"/>
      <c r="D245" s="311" t="s">
        <v>3845</v>
      </c>
      <c r="E245" s="30" t="s">
        <v>985</v>
      </c>
      <c r="F245" s="31" t="s">
        <v>16</v>
      </c>
      <c r="G245" s="32" t="s">
        <v>986</v>
      </c>
      <c r="H245" s="32" t="s">
        <v>987</v>
      </c>
      <c r="I245" s="91" t="s">
        <v>26</v>
      </c>
      <c r="J245" s="32"/>
      <c r="K245" s="108"/>
    </row>
    <row r="246" spans="1:11" ht="25">
      <c r="A246" s="154"/>
      <c r="B246" s="164"/>
      <c r="C246" s="167"/>
      <c r="D246" s="312" t="s">
        <v>3846</v>
      </c>
      <c r="E246" s="30" t="s">
        <v>988</v>
      </c>
      <c r="F246" s="31" t="s">
        <v>16</v>
      </c>
      <c r="G246" s="32" t="s">
        <v>989</v>
      </c>
      <c r="H246" s="32" t="s">
        <v>990</v>
      </c>
      <c r="I246" s="91" t="s">
        <v>26</v>
      </c>
      <c r="J246" s="32"/>
      <c r="K246" s="108"/>
    </row>
    <row r="247" spans="1:11" ht="25">
      <c r="A247" s="154"/>
      <c r="B247" s="164"/>
      <c r="C247" s="167"/>
      <c r="D247" s="313" t="s">
        <v>3847</v>
      </c>
      <c r="E247" s="30" t="s">
        <v>991</v>
      </c>
      <c r="F247" s="31" t="s">
        <v>58</v>
      </c>
      <c r="G247" s="32" t="s">
        <v>992</v>
      </c>
      <c r="H247" s="32" t="s">
        <v>993</v>
      </c>
      <c r="I247" s="91" t="s">
        <v>19</v>
      </c>
      <c r="J247" s="32"/>
      <c r="K247" s="108"/>
    </row>
    <row r="248" spans="1:11" ht="25.5" thickBot="1">
      <c r="A248" s="154"/>
      <c r="B248" s="164"/>
      <c r="C248" s="168"/>
      <c r="D248" s="314" t="s">
        <v>3848</v>
      </c>
      <c r="E248" s="34" t="s">
        <v>994</v>
      </c>
      <c r="F248" s="35" t="s">
        <v>16</v>
      </c>
      <c r="G248" s="36" t="s">
        <v>995</v>
      </c>
      <c r="H248" s="36" t="s">
        <v>996</v>
      </c>
      <c r="I248" s="103" t="s">
        <v>19</v>
      </c>
      <c r="J248" s="36"/>
      <c r="K248" s="109"/>
    </row>
    <row r="249" spans="1:11" ht="25">
      <c r="A249" s="154"/>
      <c r="B249" s="164"/>
      <c r="C249" s="166" t="s">
        <v>997</v>
      </c>
      <c r="D249" s="316" t="s">
        <v>998</v>
      </c>
      <c r="E249" s="38" t="s">
        <v>999</v>
      </c>
      <c r="F249" s="27" t="s">
        <v>23</v>
      </c>
      <c r="G249" s="28" t="s">
        <v>1000</v>
      </c>
      <c r="H249" s="28" t="s">
        <v>1001</v>
      </c>
      <c r="I249" s="86" t="s">
        <v>26</v>
      </c>
      <c r="J249" s="28"/>
      <c r="K249" s="107"/>
    </row>
    <row r="250" spans="1:11" ht="25">
      <c r="A250" s="154"/>
      <c r="B250" s="164"/>
      <c r="C250" s="167"/>
      <c r="D250" s="311" t="s">
        <v>3849</v>
      </c>
      <c r="E250" s="30" t="s">
        <v>1002</v>
      </c>
      <c r="F250" s="31" t="s">
        <v>23</v>
      </c>
      <c r="G250" s="32" t="s">
        <v>1003</v>
      </c>
      <c r="H250" s="32" t="s">
        <v>1004</v>
      </c>
      <c r="I250" s="91" t="s">
        <v>19</v>
      </c>
      <c r="J250" s="32"/>
      <c r="K250" s="108"/>
    </row>
    <row r="251" spans="1:11" ht="25">
      <c r="A251" s="154"/>
      <c r="B251" s="164"/>
      <c r="C251" s="167"/>
      <c r="D251" s="312" t="s">
        <v>3850</v>
      </c>
      <c r="E251" s="30" t="s">
        <v>1005</v>
      </c>
      <c r="F251" s="31" t="s">
        <v>16</v>
      </c>
      <c r="G251" s="32" t="s">
        <v>1006</v>
      </c>
      <c r="H251" s="32" t="s">
        <v>1007</v>
      </c>
      <c r="I251" s="91" t="s">
        <v>26</v>
      </c>
      <c r="J251" s="32"/>
      <c r="K251" s="108"/>
    </row>
    <row r="252" spans="1:11" ht="25">
      <c r="A252" s="154"/>
      <c r="B252" s="164"/>
      <c r="C252" s="167"/>
      <c r="D252" s="313" t="s">
        <v>3851</v>
      </c>
      <c r="E252" s="30" t="s">
        <v>1008</v>
      </c>
      <c r="F252" s="31" t="s">
        <v>16</v>
      </c>
      <c r="G252" s="32" t="s">
        <v>1009</v>
      </c>
      <c r="H252" s="32" t="s">
        <v>1010</v>
      </c>
      <c r="I252" s="91" t="s">
        <v>19</v>
      </c>
      <c r="J252" s="32"/>
      <c r="K252" s="108"/>
    </row>
    <row r="253" spans="1:11" ht="25.5" thickBot="1">
      <c r="A253" s="154"/>
      <c r="B253" s="164"/>
      <c r="C253" s="168"/>
      <c r="D253" s="314" t="s">
        <v>3837</v>
      </c>
      <c r="E253" s="34" t="s">
        <v>1011</v>
      </c>
      <c r="F253" s="35" t="s">
        <v>16</v>
      </c>
      <c r="G253" s="36" t="s">
        <v>1012</v>
      </c>
      <c r="H253" s="36" t="s">
        <v>1013</v>
      </c>
      <c r="I253" s="103" t="s">
        <v>26</v>
      </c>
      <c r="J253" s="36"/>
      <c r="K253" s="109"/>
    </row>
    <row r="254" spans="1:11" ht="25">
      <c r="A254" s="154"/>
      <c r="B254" s="164"/>
      <c r="C254" s="166" t="s">
        <v>1014</v>
      </c>
      <c r="D254" s="316" t="s">
        <v>1015</v>
      </c>
      <c r="E254" s="38" t="s">
        <v>1016</v>
      </c>
      <c r="F254" s="27" t="s">
        <v>16</v>
      </c>
      <c r="G254" s="28" t="s">
        <v>1017</v>
      </c>
      <c r="H254" s="28" t="s">
        <v>1018</v>
      </c>
      <c r="I254" s="86" t="s">
        <v>19</v>
      </c>
      <c r="J254" s="28"/>
      <c r="K254" s="107"/>
    </row>
    <row r="255" spans="1:11" ht="25">
      <c r="A255" s="154"/>
      <c r="B255" s="164"/>
      <c r="C255" s="167"/>
      <c r="D255" s="311" t="s">
        <v>3836</v>
      </c>
      <c r="E255" s="30" t="s">
        <v>1019</v>
      </c>
      <c r="F255" s="31" t="s">
        <v>16</v>
      </c>
      <c r="G255" s="32" t="s">
        <v>1020</v>
      </c>
      <c r="H255" s="32" t="s">
        <v>1021</v>
      </c>
      <c r="I255" s="91" t="s">
        <v>26</v>
      </c>
      <c r="J255" s="32"/>
      <c r="K255" s="108"/>
    </row>
    <row r="256" spans="1:11" ht="25">
      <c r="A256" s="154"/>
      <c r="B256" s="164"/>
      <c r="C256" s="167"/>
      <c r="D256" s="312" t="s">
        <v>3835</v>
      </c>
      <c r="E256" s="30" t="s">
        <v>1022</v>
      </c>
      <c r="F256" s="31" t="s">
        <v>23</v>
      </c>
      <c r="G256" s="32" t="s">
        <v>1023</v>
      </c>
      <c r="H256" s="32" t="s">
        <v>1024</v>
      </c>
      <c r="I256" s="91" t="s">
        <v>19</v>
      </c>
      <c r="J256" s="32"/>
      <c r="K256" s="108"/>
    </row>
    <row r="257" spans="1:11" ht="25">
      <c r="A257" s="154"/>
      <c r="B257" s="164"/>
      <c r="C257" s="167"/>
      <c r="D257" s="313" t="s">
        <v>1025</v>
      </c>
      <c r="E257" s="30" t="s">
        <v>1026</v>
      </c>
      <c r="F257" s="31" t="s">
        <v>58</v>
      </c>
      <c r="G257" s="32" t="s">
        <v>1027</v>
      </c>
      <c r="H257" s="32" t="s">
        <v>1028</v>
      </c>
      <c r="I257" s="91" t="s">
        <v>26</v>
      </c>
      <c r="J257" s="32"/>
      <c r="K257" s="108"/>
    </row>
    <row r="258" spans="1:11" ht="25.5" thickBot="1">
      <c r="A258" s="155"/>
      <c r="B258" s="165"/>
      <c r="C258" s="168"/>
      <c r="D258" s="314" t="s">
        <v>3834</v>
      </c>
      <c r="E258" s="34" t="s">
        <v>1029</v>
      </c>
      <c r="F258" s="35" t="s">
        <v>16</v>
      </c>
      <c r="G258" s="36" t="s">
        <v>1030</v>
      </c>
      <c r="H258" s="36" t="s">
        <v>1031</v>
      </c>
      <c r="I258" s="103" t="s">
        <v>26</v>
      </c>
      <c r="J258" s="36"/>
      <c r="K258" s="109"/>
    </row>
    <row r="259" spans="1:11" ht="23.5">
      <c r="A259" s="1"/>
      <c r="B259" s="1"/>
      <c r="C259" s="1"/>
      <c r="D259" s="1"/>
      <c r="E259" s="1"/>
      <c r="F259" s="5"/>
      <c r="G259" s="1"/>
      <c r="H259" s="1"/>
      <c r="I259" s="1"/>
      <c r="J259" s="6"/>
      <c r="K259" s="1"/>
    </row>
    <row r="260" spans="1:11" ht="23.5">
      <c r="A260" s="1"/>
      <c r="B260" s="1"/>
      <c r="C260" s="1"/>
      <c r="D260" s="1"/>
      <c r="E260" s="1"/>
      <c r="F260" s="5"/>
      <c r="G260" s="1"/>
      <c r="H260" s="1"/>
      <c r="I260" s="1"/>
      <c r="J260" s="6"/>
      <c r="K260" s="1"/>
    </row>
    <row r="261" spans="1:11" ht="23.5">
      <c r="A261" s="1"/>
      <c r="B261" s="1"/>
      <c r="C261" s="1"/>
      <c r="D261" s="1"/>
      <c r="E261" s="1"/>
      <c r="F261" s="5"/>
      <c r="G261" s="1"/>
      <c r="H261" s="1"/>
      <c r="I261" s="1"/>
      <c r="J261" s="6"/>
      <c r="K261" s="1"/>
    </row>
    <row r="262" spans="1:11" ht="23.5">
      <c r="A262" s="1"/>
      <c r="B262" s="1"/>
      <c r="C262" s="1"/>
      <c r="D262" s="1"/>
      <c r="E262" s="1"/>
      <c r="F262" s="5"/>
      <c r="G262" s="1"/>
      <c r="H262" s="1"/>
      <c r="I262" s="1"/>
      <c r="J262" s="6"/>
      <c r="K262" s="1"/>
    </row>
    <row r="263" spans="1:11" ht="23.5">
      <c r="A263" s="1"/>
      <c r="B263" s="1"/>
      <c r="C263" s="1"/>
      <c r="D263" s="1"/>
      <c r="E263" s="1"/>
      <c r="F263" s="5"/>
      <c r="G263" s="1"/>
      <c r="H263" s="1"/>
      <c r="I263" s="1"/>
      <c r="J263" s="6"/>
      <c r="K263" s="1"/>
    </row>
    <row r="264" spans="1:11" ht="23.5">
      <c r="A264" s="1"/>
      <c r="B264" s="1"/>
      <c r="C264" s="1"/>
      <c r="D264" s="1"/>
      <c r="E264" s="1"/>
      <c r="F264" s="5"/>
      <c r="G264" s="1"/>
      <c r="H264" s="1"/>
      <c r="I264" s="1"/>
      <c r="J264" s="6"/>
      <c r="K264" s="1"/>
    </row>
    <row r="265" spans="1:11" ht="23.5">
      <c r="A265" s="1"/>
      <c r="B265" s="1"/>
      <c r="C265" s="1"/>
      <c r="D265" s="1"/>
      <c r="E265" s="1"/>
      <c r="F265" s="5"/>
      <c r="G265" s="1"/>
      <c r="H265" s="1"/>
      <c r="I265" s="1"/>
      <c r="J265" s="6"/>
      <c r="K265" s="1"/>
    </row>
    <row r="266" spans="1:11" ht="23.5">
      <c r="A266" s="1"/>
      <c r="B266" s="1"/>
      <c r="C266" s="1"/>
      <c r="D266" s="1"/>
      <c r="E266" s="1"/>
      <c r="F266" s="5"/>
      <c r="G266" s="1"/>
      <c r="H266" s="1"/>
      <c r="I266" s="1"/>
      <c r="J266" s="6"/>
      <c r="K266" s="1"/>
    </row>
    <row r="267" spans="1:11" ht="23.5">
      <c r="A267" s="1"/>
      <c r="B267" s="1"/>
      <c r="C267" s="1"/>
      <c r="D267" s="1"/>
      <c r="E267" s="1"/>
      <c r="F267" s="5"/>
      <c r="G267" s="1"/>
      <c r="H267" s="1"/>
      <c r="I267" s="1"/>
      <c r="J267" s="6"/>
      <c r="K267" s="1"/>
    </row>
    <row r="268" spans="1:11" ht="23.5">
      <c r="A268" s="1"/>
      <c r="B268" s="1"/>
      <c r="C268" s="1"/>
      <c r="D268" s="1"/>
      <c r="E268" s="1"/>
      <c r="F268" s="5"/>
      <c r="G268" s="1"/>
      <c r="H268" s="1"/>
      <c r="I268" s="1"/>
      <c r="J268" s="6"/>
      <c r="K268" s="1"/>
    </row>
    <row r="269" spans="1:11" ht="23.5">
      <c r="A269" s="1"/>
      <c r="B269" s="1"/>
      <c r="C269" s="1"/>
      <c r="D269" s="1"/>
      <c r="E269" s="1"/>
      <c r="F269" s="5"/>
      <c r="G269" s="1"/>
      <c r="H269" s="1"/>
      <c r="I269" s="1"/>
      <c r="J269" s="6"/>
      <c r="K269" s="1"/>
    </row>
    <row r="270" spans="1:11" ht="23.5">
      <c r="A270" s="1"/>
      <c r="B270" s="1"/>
      <c r="C270" s="1"/>
      <c r="D270" s="1"/>
      <c r="E270" s="1"/>
      <c r="F270" s="5"/>
      <c r="G270" s="1"/>
      <c r="H270" s="1"/>
      <c r="I270" s="1"/>
      <c r="J270" s="6"/>
      <c r="K270" s="1"/>
    </row>
    <row r="271" spans="1:11" ht="23.5">
      <c r="A271" s="1"/>
      <c r="B271" s="1"/>
      <c r="C271" s="1"/>
      <c r="D271" s="1"/>
      <c r="E271" s="1"/>
      <c r="F271" s="5"/>
      <c r="G271" s="1"/>
      <c r="H271" s="1"/>
      <c r="I271" s="1"/>
      <c r="J271" s="6"/>
      <c r="K271" s="1"/>
    </row>
    <row r="272" spans="1:11" ht="23.5">
      <c r="A272" s="1"/>
      <c r="B272" s="1"/>
      <c r="C272" s="1"/>
      <c r="D272" s="1"/>
      <c r="E272" s="1"/>
      <c r="F272" s="5"/>
      <c r="G272" s="1"/>
      <c r="H272" s="1"/>
      <c r="I272" s="1"/>
      <c r="J272" s="6"/>
      <c r="K272" s="1"/>
    </row>
    <row r="273" spans="6:11" ht="23.5">
      <c r="F273" s="5"/>
      <c r="G273" s="1"/>
      <c r="H273" s="1"/>
      <c r="I273" s="1"/>
      <c r="J273" s="6"/>
      <c r="K273" s="1"/>
    </row>
    <row r="274" spans="6:11" ht="23.5">
      <c r="F274" s="5"/>
      <c r="G274" s="1"/>
      <c r="H274" s="1"/>
      <c r="I274" s="1"/>
      <c r="J274" s="6"/>
      <c r="K274" s="1"/>
    </row>
    <row r="275" spans="6:11" ht="23.5">
      <c r="F275" s="5"/>
      <c r="G275" s="1"/>
      <c r="H275" s="1"/>
      <c r="I275" s="1"/>
      <c r="J275" s="6"/>
      <c r="K275" s="1"/>
    </row>
    <row r="276" spans="6:11" ht="23.5">
      <c r="F276" s="5"/>
      <c r="G276" s="1"/>
      <c r="H276" s="1"/>
      <c r="I276" s="1"/>
      <c r="J276" s="6"/>
      <c r="K276" s="1"/>
    </row>
    <row r="277" spans="6:11" ht="23.5">
      <c r="F277" s="5"/>
      <c r="G277" s="1"/>
      <c r="H277" s="1"/>
      <c r="I277" s="1"/>
      <c r="J277" s="6"/>
      <c r="K277" s="1"/>
    </row>
    <row r="278" spans="6:11" ht="23.5">
      <c r="F278" s="5"/>
      <c r="G278" s="1"/>
      <c r="H278" s="1"/>
      <c r="I278" s="1"/>
      <c r="J278" s="6"/>
      <c r="K278" s="1"/>
    </row>
    <row r="279" spans="6:11" ht="23.5">
      <c r="F279" s="5"/>
      <c r="G279" s="1"/>
      <c r="H279" s="1"/>
      <c r="I279" s="1"/>
      <c r="J279" s="6"/>
      <c r="K279" s="1"/>
    </row>
  </sheetData>
  <mergeCells count="58">
    <mergeCell ref="B214:B258"/>
    <mergeCell ref="C214:C218"/>
    <mergeCell ref="C219:C223"/>
    <mergeCell ref="C224:C228"/>
    <mergeCell ref="C229:C233"/>
    <mergeCell ref="C234:C238"/>
    <mergeCell ref="C239:C243"/>
    <mergeCell ref="C244:C248"/>
    <mergeCell ref="C249:C253"/>
    <mergeCell ref="C254:C258"/>
    <mergeCell ref="B169:B213"/>
    <mergeCell ref="C169:C173"/>
    <mergeCell ref="C174:C178"/>
    <mergeCell ref="C179:C183"/>
    <mergeCell ref="C184:C188"/>
    <mergeCell ref="C189:C193"/>
    <mergeCell ref="C194:C198"/>
    <mergeCell ref="C199:C203"/>
    <mergeCell ref="C204:C208"/>
    <mergeCell ref="C209:C213"/>
    <mergeCell ref="B139:B168"/>
    <mergeCell ref="C139:C143"/>
    <mergeCell ref="C144:C148"/>
    <mergeCell ref="C149:C153"/>
    <mergeCell ref="C154:C158"/>
    <mergeCell ref="C159:C163"/>
    <mergeCell ref="C164:C168"/>
    <mergeCell ref="B94:B138"/>
    <mergeCell ref="C94:C98"/>
    <mergeCell ref="C99:C103"/>
    <mergeCell ref="C104:C108"/>
    <mergeCell ref="C109:C113"/>
    <mergeCell ref="C114:C118"/>
    <mergeCell ref="C119:C123"/>
    <mergeCell ref="C124:C128"/>
    <mergeCell ref="C129:C133"/>
    <mergeCell ref="C134:C138"/>
    <mergeCell ref="C69:C73"/>
    <mergeCell ref="C74:C78"/>
    <mergeCell ref="C79:C83"/>
    <mergeCell ref="C84:C88"/>
    <mergeCell ref="C89:C93"/>
    <mergeCell ref="A4:A258"/>
    <mergeCell ref="B4:B48"/>
    <mergeCell ref="C4:C8"/>
    <mergeCell ref="C9:C13"/>
    <mergeCell ref="C14:C18"/>
    <mergeCell ref="C19:C23"/>
    <mergeCell ref="C24:C28"/>
    <mergeCell ref="C29:C33"/>
    <mergeCell ref="C34:C38"/>
    <mergeCell ref="C39:C43"/>
    <mergeCell ref="C44:C48"/>
    <mergeCell ref="B49:B93"/>
    <mergeCell ref="C49:C53"/>
    <mergeCell ref="C54:C58"/>
    <mergeCell ref="C59:C63"/>
    <mergeCell ref="C64:C6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21"/>
  <sheetViews>
    <sheetView topLeftCell="B1" zoomScale="30" zoomScaleNormal="30" workbookViewId="0">
      <selection activeCell="K721" sqref="B2:K721"/>
    </sheetView>
  </sheetViews>
  <sheetFormatPr baseColWidth="10" defaultRowHeight="14.5"/>
  <cols>
    <col min="1" max="1" width="41.6328125" bestFit="1" customWidth="1"/>
    <col min="2" max="2" width="48.08984375" bestFit="1" customWidth="1"/>
    <col min="3" max="3" width="100.90625" bestFit="1" customWidth="1"/>
    <col min="4" max="4" width="123" bestFit="1" customWidth="1"/>
    <col min="5" max="5" width="79.90625" bestFit="1" customWidth="1"/>
    <col min="6" max="6" width="11.36328125" bestFit="1" customWidth="1"/>
    <col min="7" max="7" width="54.08984375" bestFit="1" customWidth="1"/>
    <col min="8" max="8" width="60.90625" bestFit="1" customWidth="1"/>
    <col min="9" max="9" width="10.26953125" bestFit="1" customWidth="1"/>
    <col min="10" max="10" width="55.7265625" bestFit="1" customWidth="1"/>
    <col min="11" max="11" width="12.7265625" bestFit="1" customWidth="1"/>
  </cols>
  <sheetData>
    <row r="1" spans="1:11" ht="16" thickBot="1">
      <c r="A1" s="126" t="s">
        <v>0</v>
      </c>
      <c r="B1" s="127" t="s">
        <v>1</v>
      </c>
      <c r="C1" s="128" t="s">
        <v>2</v>
      </c>
      <c r="D1" s="128" t="s">
        <v>1032</v>
      </c>
      <c r="E1" s="128" t="s">
        <v>4</v>
      </c>
      <c r="F1" s="128" t="s">
        <v>5</v>
      </c>
      <c r="G1" s="128" t="s">
        <v>6</v>
      </c>
      <c r="H1" s="128" t="s">
        <v>7</v>
      </c>
      <c r="I1" s="129" t="s">
        <v>8</v>
      </c>
      <c r="J1" s="128" t="s">
        <v>9</v>
      </c>
      <c r="K1" s="130" t="s">
        <v>1033</v>
      </c>
    </row>
    <row r="2" spans="1:11" ht="15.5">
      <c r="A2" s="187" t="s">
        <v>1034</v>
      </c>
      <c r="B2" s="190" t="s">
        <v>1035</v>
      </c>
      <c r="C2" s="193" t="s">
        <v>1036</v>
      </c>
      <c r="D2" s="141" t="s">
        <v>1037</v>
      </c>
      <c r="E2" s="131"/>
      <c r="F2" s="131" t="s">
        <v>3862</v>
      </c>
      <c r="G2" s="131"/>
      <c r="H2" s="131"/>
      <c r="I2" s="132"/>
      <c r="J2" s="131"/>
      <c r="K2" s="133"/>
    </row>
    <row r="3" spans="1:11" ht="15.5">
      <c r="A3" s="188"/>
      <c r="B3" s="191"/>
      <c r="C3" s="194"/>
      <c r="D3" s="141" t="s">
        <v>1038</v>
      </c>
      <c r="E3" s="131"/>
      <c r="F3" s="131" t="s">
        <v>3862</v>
      </c>
      <c r="G3" s="131"/>
      <c r="H3" s="131"/>
      <c r="I3" s="132"/>
      <c r="J3" s="131"/>
      <c r="K3" s="133"/>
    </row>
    <row r="4" spans="1:11" ht="15.5">
      <c r="A4" s="188"/>
      <c r="B4" s="191"/>
      <c r="C4" s="194"/>
      <c r="D4" s="141" t="s">
        <v>1039</v>
      </c>
      <c r="E4" s="131"/>
      <c r="F4" s="131" t="s">
        <v>6036</v>
      </c>
      <c r="G4" s="131"/>
      <c r="H4" s="131"/>
      <c r="I4" s="132"/>
      <c r="J4" s="131"/>
      <c r="K4" s="133"/>
    </row>
    <row r="5" spans="1:11" ht="15.5">
      <c r="A5" s="188"/>
      <c r="B5" s="191"/>
      <c r="C5" s="194"/>
      <c r="D5" s="141" t="s">
        <v>1040</v>
      </c>
      <c r="E5" s="131"/>
      <c r="F5" s="131" t="s">
        <v>6036</v>
      </c>
      <c r="G5" s="131"/>
      <c r="H5" s="131"/>
      <c r="I5" s="132"/>
      <c r="J5" s="131"/>
      <c r="K5" s="133"/>
    </row>
    <row r="6" spans="1:11" ht="15.5">
      <c r="A6" s="188"/>
      <c r="B6" s="191"/>
      <c r="C6" s="195"/>
      <c r="D6" s="141" t="s">
        <v>1041</v>
      </c>
      <c r="E6" s="131"/>
      <c r="F6" s="131" t="s">
        <v>4598</v>
      </c>
      <c r="G6" s="131"/>
      <c r="H6" s="131"/>
      <c r="I6" s="132"/>
      <c r="J6" s="131"/>
      <c r="K6" s="133"/>
    </row>
    <row r="7" spans="1:11" ht="15.5">
      <c r="A7" s="188"/>
      <c r="B7" s="191"/>
      <c r="C7" s="193" t="s">
        <v>1042</v>
      </c>
      <c r="D7" s="141" t="s">
        <v>1043</v>
      </c>
      <c r="E7" s="131"/>
      <c r="F7" s="131" t="s">
        <v>4494</v>
      </c>
      <c r="G7" s="131"/>
      <c r="H7" s="131"/>
      <c r="I7" s="132"/>
      <c r="J7" s="131"/>
      <c r="K7" s="133"/>
    </row>
    <row r="8" spans="1:11" ht="15.5">
      <c r="A8" s="188"/>
      <c r="B8" s="191"/>
      <c r="C8" s="194"/>
      <c r="D8" s="141" t="s">
        <v>1044</v>
      </c>
      <c r="E8" s="131"/>
      <c r="F8" s="131" t="s">
        <v>4598</v>
      </c>
      <c r="G8" s="131"/>
      <c r="H8" s="131"/>
      <c r="I8" s="132"/>
      <c r="J8" s="131"/>
      <c r="K8" s="133"/>
    </row>
    <row r="9" spans="1:11" ht="15.5">
      <c r="A9" s="188"/>
      <c r="B9" s="191"/>
      <c r="C9" s="194"/>
      <c r="D9" s="141" t="s">
        <v>1045</v>
      </c>
      <c r="E9" s="131"/>
      <c r="F9" s="131" t="s">
        <v>6036</v>
      </c>
      <c r="G9" s="131"/>
      <c r="H9" s="131"/>
      <c r="I9" s="132"/>
      <c r="J9" s="131"/>
      <c r="K9" s="133"/>
    </row>
    <row r="10" spans="1:11" ht="15.5">
      <c r="A10" s="188"/>
      <c r="B10" s="191"/>
      <c r="C10" s="194"/>
      <c r="D10" s="141" t="s">
        <v>1046</v>
      </c>
      <c r="E10" s="131"/>
      <c r="F10" s="131" t="s">
        <v>4598</v>
      </c>
      <c r="G10" s="131"/>
      <c r="H10" s="131"/>
      <c r="I10" s="132"/>
      <c r="J10" s="131"/>
      <c r="K10" s="133"/>
    </row>
    <row r="11" spans="1:11" ht="15.5">
      <c r="A11" s="188"/>
      <c r="B11" s="191"/>
      <c r="C11" s="195"/>
      <c r="D11" s="141" t="s">
        <v>1047</v>
      </c>
      <c r="E11" s="131"/>
      <c r="F11" s="131" t="s">
        <v>3862</v>
      </c>
      <c r="G11" s="131"/>
      <c r="H11" s="131"/>
      <c r="I11" s="132"/>
      <c r="J11" s="131"/>
      <c r="K11" s="133"/>
    </row>
    <row r="12" spans="1:11" ht="15.5">
      <c r="A12" s="188"/>
      <c r="B12" s="191"/>
      <c r="C12" s="193" t="s">
        <v>1048</v>
      </c>
      <c r="D12" s="141" t="s">
        <v>1049</v>
      </c>
      <c r="E12" s="131"/>
      <c r="F12" s="131" t="s">
        <v>3862</v>
      </c>
      <c r="G12" s="131"/>
      <c r="H12" s="131"/>
      <c r="I12" s="132"/>
      <c r="J12" s="131"/>
      <c r="K12" s="133"/>
    </row>
    <row r="13" spans="1:11" ht="15.5">
      <c r="A13" s="188"/>
      <c r="B13" s="191"/>
      <c r="C13" s="194"/>
      <c r="D13" s="141" t="s">
        <v>1050</v>
      </c>
      <c r="E13" s="131"/>
      <c r="F13" s="131" t="s">
        <v>6036</v>
      </c>
      <c r="G13" s="131"/>
      <c r="H13" s="131"/>
      <c r="I13" s="132"/>
      <c r="J13" s="131"/>
      <c r="K13" s="133"/>
    </row>
    <row r="14" spans="1:11" ht="15.5">
      <c r="A14" s="188"/>
      <c r="B14" s="191"/>
      <c r="C14" s="194"/>
      <c r="D14" s="141" t="s">
        <v>1051</v>
      </c>
      <c r="E14" s="131"/>
      <c r="F14" s="131" t="s">
        <v>4598</v>
      </c>
      <c r="G14" s="131"/>
      <c r="H14" s="131"/>
      <c r="I14" s="132"/>
      <c r="J14" s="131"/>
      <c r="K14" s="133"/>
    </row>
    <row r="15" spans="1:11" ht="15.5">
      <c r="A15" s="188"/>
      <c r="B15" s="191"/>
      <c r="C15" s="194"/>
      <c r="D15" s="141" t="s">
        <v>1052</v>
      </c>
      <c r="E15" s="131"/>
      <c r="F15" s="131" t="s">
        <v>6036</v>
      </c>
      <c r="G15" s="131"/>
      <c r="H15" s="131"/>
      <c r="I15" s="132"/>
      <c r="J15" s="131"/>
      <c r="K15" s="133"/>
    </row>
    <row r="16" spans="1:11" ht="15.5">
      <c r="A16" s="188"/>
      <c r="B16" s="191"/>
      <c r="C16" s="195"/>
      <c r="D16" s="141" t="s">
        <v>1053</v>
      </c>
      <c r="E16" s="131"/>
      <c r="F16" s="131" t="s">
        <v>3862</v>
      </c>
      <c r="G16" s="131"/>
      <c r="H16" s="131"/>
      <c r="I16" s="132"/>
      <c r="J16" s="131"/>
      <c r="K16" s="133"/>
    </row>
    <row r="17" spans="1:11" ht="15.5">
      <c r="A17" s="188"/>
      <c r="B17" s="191"/>
      <c r="C17" s="193" t="s">
        <v>1054</v>
      </c>
      <c r="D17" s="141" t="s">
        <v>1055</v>
      </c>
      <c r="E17" s="131"/>
      <c r="F17" s="131" t="s">
        <v>3862</v>
      </c>
      <c r="G17" s="131"/>
      <c r="H17" s="131"/>
      <c r="I17" s="132"/>
      <c r="J17" s="131"/>
      <c r="K17" s="133"/>
    </row>
    <row r="18" spans="1:11" ht="15.5">
      <c r="A18" s="188"/>
      <c r="B18" s="191"/>
      <c r="C18" s="194"/>
      <c r="D18" s="141" t="s">
        <v>1056</v>
      </c>
      <c r="E18" s="131"/>
      <c r="F18" s="131" t="s">
        <v>4598</v>
      </c>
      <c r="G18" s="131"/>
      <c r="H18" s="131"/>
      <c r="I18" s="132"/>
      <c r="J18" s="131"/>
      <c r="K18" s="133"/>
    </row>
    <row r="19" spans="1:11" ht="15.5">
      <c r="A19" s="188"/>
      <c r="B19" s="191"/>
      <c r="C19" s="194"/>
      <c r="D19" s="141" t="s">
        <v>1057</v>
      </c>
      <c r="E19" s="131"/>
      <c r="F19" s="131" t="s">
        <v>4598</v>
      </c>
      <c r="G19" s="131"/>
      <c r="H19" s="131"/>
      <c r="I19" s="132"/>
      <c r="J19" s="131"/>
      <c r="K19" s="133"/>
    </row>
    <row r="20" spans="1:11" ht="15.5">
      <c r="A20" s="188"/>
      <c r="B20" s="191"/>
      <c r="C20" s="194"/>
      <c r="D20" s="142" t="s">
        <v>1058</v>
      </c>
      <c r="E20" s="131"/>
      <c r="F20" s="131" t="s">
        <v>6036</v>
      </c>
      <c r="G20" s="131"/>
      <c r="H20" s="131"/>
      <c r="I20" s="132"/>
      <c r="J20" s="131"/>
      <c r="K20" s="133"/>
    </row>
    <row r="21" spans="1:11" ht="15.5">
      <c r="A21" s="188"/>
      <c r="B21" s="191"/>
      <c r="C21" s="195"/>
      <c r="D21" s="141" t="s">
        <v>1059</v>
      </c>
      <c r="E21" s="131"/>
      <c r="F21" s="131" t="s">
        <v>3862</v>
      </c>
      <c r="G21" s="131"/>
      <c r="H21" s="131"/>
      <c r="I21" s="132"/>
      <c r="J21" s="131"/>
      <c r="K21" s="133"/>
    </row>
    <row r="22" spans="1:11" ht="15.5">
      <c r="A22" s="188"/>
      <c r="B22" s="191"/>
      <c r="C22" s="193" t="s">
        <v>1060</v>
      </c>
      <c r="D22" s="143" t="s">
        <v>1061</v>
      </c>
      <c r="E22" s="131"/>
      <c r="F22" s="131" t="s">
        <v>3862</v>
      </c>
      <c r="G22" s="131"/>
      <c r="H22" s="131"/>
      <c r="I22" s="132"/>
      <c r="J22" s="131"/>
      <c r="K22" s="133"/>
    </row>
    <row r="23" spans="1:11" ht="15.5">
      <c r="A23" s="188"/>
      <c r="B23" s="191"/>
      <c r="C23" s="194"/>
      <c r="D23" s="143" t="s">
        <v>1062</v>
      </c>
      <c r="E23" s="131"/>
      <c r="F23" s="131" t="s">
        <v>6036</v>
      </c>
      <c r="G23" s="131"/>
      <c r="H23" s="131"/>
      <c r="I23" s="132"/>
      <c r="J23" s="131"/>
      <c r="K23" s="133"/>
    </row>
    <row r="24" spans="1:11" ht="15.5">
      <c r="A24" s="188"/>
      <c r="B24" s="191"/>
      <c r="C24" s="194"/>
      <c r="D24" s="143" t="s">
        <v>1063</v>
      </c>
      <c r="E24" s="131"/>
      <c r="F24" s="131" t="s">
        <v>4598</v>
      </c>
      <c r="G24" s="131"/>
      <c r="H24" s="131"/>
      <c r="I24" s="132"/>
      <c r="J24" s="131"/>
      <c r="K24" s="133"/>
    </row>
    <row r="25" spans="1:11" ht="15.5">
      <c r="A25" s="188"/>
      <c r="B25" s="191"/>
      <c r="C25" s="194"/>
      <c r="D25" s="143" t="s">
        <v>1064</v>
      </c>
      <c r="E25" s="131"/>
      <c r="F25" s="131" t="s">
        <v>6036</v>
      </c>
      <c r="G25" s="131"/>
      <c r="H25" s="131"/>
      <c r="I25" s="132"/>
      <c r="J25" s="131"/>
      <c r="K25" s="133"/>
    </row>
    <row r="26" spans="1:11" ht="15.5">
      <c r="A26" s="188"/>
      <c r="B26" s="191"/>
      <c r="C26" s="195"/>
      <c r="D26" s="143" t="s">
        <v>1065</v>
      </c>
      <c r="E26" s="131"/>
      <c r="F26" s="131" t="s">
        <v>4598</v>
      </c>
      <c r="G26" s="131"/>
      <c r="H26" s="131"/>
      <c r="I26" s="132"/>
      <c r="J26" s="131"/>
      <c r="K26" s="133"/>
    </row>
    <row r="27" spans="1:11" ht="15.5">
      <c r="A27" s="188"/>
      <c r="B27" s="191"/>
      <c r="C27" s="196" t="s">
        <v>1066</v>
      </c>
      <c r="D27" s="143" t="s">
        <v>1067</v>
      </c>
      <c r="E27" s="131"/>
      <c r="F27" s="131" t="s">
        <v>6036</v>
      </c>
      <c r="G27" s="131"/>
      <c r="H27" s="131"/>
      <c r="I27" s="132"/>
      <c r="J27" s="131"/>
      <c r="K27" s="133"/>
    </row>
    <row r="28" spans="1:11" ht="15.5">
      <c r="A28" s="188"/>
      <c r="B28" s="191"/>
      <c r="C28" s="197"/>
      <c r="D28" s="143" t="s">
        <v>1068</v>
      </c>
      <c r="E28" s="131"/>
      <c r="F28" s="131" t="s">
        <v>6036</v>
      </c>
      <c r="G28" s="131"/>
      <c r="H28" s="131"/>
      <c r="I28" s="132"/>
      <c r="J28" s="131"/>
      <c r="K28" s="133"/>
    </row>
    <row r="29" spans="1:11" ht="15.5">
      <c r="A29" s="188"/>
      <c r="B29" s="191"/>
      <c r="C29" s="197"/>
      <c r="D29" s="143" t="s">
        <v>1069</v>
      </c>
      <c r="E29" s="131"/>
      <c r="F29" s="131" t="s">
        <v>3862</v>
      </c>
      <c r="G29" s="131"/>
      <c r="H29" s="131"/>
      <c r="I29" s="132"/>
      <c r="J29" s="131"/>
      <c r="K29" s="133"/>
    </row>
    <row r="30" spans="1:11" ht="15.5">
      <c r="A30" s="188"/>
      <c r="B30" s="191"/>
      <c r="C30" s="197"/>
      <c r="D30" s="143" t="s">
        <v>1070</v>
      </c>
      <c r="E30" s="131"/>
      <c r="F30" s="131" t="s">
        <v>3862</v>
      </c>
      <c r="G30" s="131"/>
      <c r="H30" s="131"/>
      <c r="I30" s="132"/>
      <c r="J30" s="131"/>
      <c r="K30" s="133"/>
    </row>
    <row r="31" spans="1:11" ht="16" thickBot="1">
      <c r="A31" s="188"/>
      <c r="B31" s="192"/>
      <c r="C31" s="198"/>
      <c r="D31" s="144" t="s">
        <v>1071</v>
      </c>
      <c r="E31" s="10" t="s">
        <v>1072</v>
      </c>
      <c r="F31" s="8" t="s">
        <v>16</v>
      </c>
      <c r="G31" s="10" t="s">
        <v>1073</v>
      </c>
      <c r="H31" s="10" t="s">
        <v>1074</v>
      </c>
      <c r="I31" s="134" t="s">
        <v>213</v>
      </c>
      <c r="J31" s="10" t="s">
        <v>20</v>
      </c>
      <c r="K31" s="4"/>
    </row>
    <row r="32" spans="1:11" ht="15.5">
      <c r="A32" s="188"/>
      <c r="B32" s="183" t="s">
        <v>1075</v>
      </c>
      <c r="C32" s="174" t="s">
        <v>1076</v>
      </c>
      <c r="D32" s="145" t="s">
        <v>1077</v>
      </c>
      <c r="E32" s="10"/>
      <c r="F32" s="8" t="s">
        <v>16</v>
      </c>
      <c r="G32" s="10"/>
      <c r="H32" s="10"/>
      <c r="I32" s="134"/>
      <c r="J32" s="10"/>
      <c r="K32" s="4"/>
    </row>
    <row r="33" spans="1:11" ht="15.5">
      <c r="A33" s="188"/>
      <c r="B33" s="181"/>
      <c r="C33" s="175"/>
      <c r="D33" s="145" t="s">
        <v>1078</v>
      </c>
      <c r="E33" s="10"/>
      <c r="F33" s="8" t="s">
        <v>16</v>
      </c>
      <c r="G33" s="10"/>
      <c r="H33" s="10"/>
      <c r="I33" s="134"/>
      <c r="J33" s="10"/>
      <c r="K33" s="4"/>
    </row>
    <row r="34" spans="1:11" ht="15.5">
      <c r="A34" s="188"/>
      <c r="B34" s="181"/>
      <c r="C34" s="175"/>
      <c r="D34" s="145" t="s">
        <v>1079</v>
      </c>
      <c r="E34" s="10"/>
      <c r="F34" s="8" t="s">
        <v>16</v>
      </c>
      <c r="G34" s="10"/>
      <c r="H34" s="10"/>
      <c r="I34" s="134"/>
      <c r="J34" s="10"/>
      <c r="K34" s="4"/>
    </row>
    <row r="35" spans="1:11" ht="15.5">
      <c r="A35" s="188"/>
      <c r="B35" s="181"/>
      <c r="C35" s="175"/>
      <c r="D35" s="145" t="s">
        <v>1080</v>
      </c>
      <c r="E35" s="10"/>
      <c r="F35" s="8" t="s">
        <v>16</v>
      </c>
      <c r="G35" s="10"/>
      <c r="H35" s="10"/>
      <c r="I35" s="134"/>
      <c r="J35" s="10"/>
      <c r="K35" s="4"/>
    </row>
    <row r="36" spans="1:11" ht="15.5">
      <c r="A36" s="188"/>
      <c r="B36" s="181"/>
      <c r="C36" s="176"/>
      <c r="D36" s="145" t="s">
        <v>1081</v>
      </c>
      <c r="E36" s="10"/>
      <c r="F36" s="8" t="s">
        <v>16</v>
      </c>
      <c r="G36" s="10"/>
      <c r="H36" s="10"/>
      <c r="I36" s="134"/>
      <c r="J36" s="10"/>
      <c r="K36" s="4"/>
    </row>
    <row r="37" spans="1:11" ht="15.5">
      <c r="A37" s="188"/>
      <c r="B37" s="181"/>
      <c r="C37" s="174" t="s">
        <v>1082</v>
      </c>
      <c r="D37" s="145" t="s">
        <v>1083</v>
      </c>
      <c r="E37" s="10"/>
      <c r="F37" s="8" t="s">
        <v>16</v>
      </c>
      <c r="G37" s="10"/>
      <c r="H37" s="10"/>
      <c r="I37" s="134"/>
      <c r="J37" s="10"/>
      <c r="K37" s="4"/>
    </row>
    <row r="38" spans="1:11" ht="15.5">
      <c r="A38" s="188"/>
      <c r="B38" s="181"/>
      <c r="C38" s="175"/>
      <c r="D38" s="145" t="s">
        <v>1084</v>
      </c>
      <c r="E38" s="10"/>
      <c r="F38" s="8" t="s">
        <v>16</v>
      </c>
      <c r="G38" s="10"/>
      <c r="H38" s="10"/>
      <c r="I38" s="134"/>
      <c r="J38" s="10"/>
      <c r="K38" s="4"/>
    </row>
    <row r="39" spans="1:11" ht="15.5">
      <c r="A39" s="188"/>
      <c r="B39" s="181"/>
      <c r="C39" s="175"/>
      <c r="D39" s="145" t="s">
        <v>1085</v>
      </c>
      <c r="E39" s="10"/>
      <c r="F39" s="8" t="s">
        <v>16</v>
      </c>
      <c r="G39" s="10"/>
      <c r="H39" s="10"/>
      <c r="I39" s="134"/>
      <c r="J39" s="10"/>
      <c r="K39" s="4"/>
    </row>
    <row r="40" spans="1:11" ht="15.5">
      <c r="A40" s="188"/>
      <c r="B40" s="181"/>
      <c r="C40" s="175"/>
      <c r="D40" s="145" t="s">
        <v>1086</v>
      </c>
      <c r="E40" s="10"/>
      <c r="F40" s="8" t="s">
        <v>16</v>
      </c>
      <c r="G40" s="10"/>
      <c r="H40" s="10"/>
      <c r="I40" s="134"/>
      <c r="J40" s="10"/>
      <c r="K40" s="4"/>
    </row>
    <row r="41" spans="1:11" ht="15.5">
      <c r="A41" s="188"/>
      <c r="B41" s="181"/>
      <c r="C41" s="176"/>
      <c r="D41" s="145" t="s">
        <v>1087</v>
      </c>
      <c r="E41" s="10"/>
      <c r="F41" s="8" t="s">
        <v>23</v>
      </c>
      <c r="G41" s="10"/>
      <c r="H41" s="10"/>
      <c r="I41" s="134"/>
      <c r="J41" s="10"/>
      <c r="K41" s="4"/>
    </row>
    <row r="42" spans="1:11" ht="15.5">
      <c r="A42" s="188"/>
      <c r="B42" s="181"/>
      <c r="C42" s="174" t="s">
        <v>1088</v>
      </c>
      <c r="D42" s="145" t="s">
        <v>1089</v>
      </c>
      <c r="E42" s="10"/>
      <c r="F42" s="8" t="s">
        <v>58</v>
      </c>
      <c r="G42" s="10"/>
      <c r="H42" s="10"/>
      <c r="I42" s="134"/>
      <c r="J42" s="10"/>
      <c r="K42" s="4"/>
    </row>
    <row r="43" spans="1:11" ht="15.5">
      <c r="A43" s="188"/>
      <c r="B43" s="181"/>
      <c r="C43" s="175"/>
      <c r="D43" s="145" t="s">
        <v>1090</v>
      </c>
      <c r="E43" s="10"/>
      <c r="F43" s="8" t="s">
        <v>58</v>
      </c>
      <c r="G43" s="10"/>
      <c r="H43" s="10"/>
      <c r="I43" s="134"/>
      <c r="J43" s="10"/>
      <c r="K43" s="4"/>
    </row>
    <row r="44" spans="1:11" ht="15.5">
      <c r="A44" s="188"/>
      <c r="B44" s="181"/>
      <c r="C44" s="175"/>
      <c r="D44" s="145" t="s">
        <v>1091</v>
      </c>
      <c r="E44" s="10"/>
      <c r="F44" s="8" t="s">
        <v>58</v>
      </c>
      <c r="G44" s="10"/>
      <c r="H44" s="10"/>
      <c r="I44" s="134"/>
      <c r="J44" s="10"/>
      <c r="K44" s="4"/>
    </row>
    <row r="45" spans="1:11" ht="15.5">
      <c r="A45" s="188"/>
      <c r="B45" s="181"/>
      <c r="C45" s="175"/>
      <c r="D45" s="145" t="s">
        <v>1092</v>
      </c>
      <c r="E45" s="10"/>
      <c r="F45" s="8" t="s">
        <v>58</v>
      </c>
      <c r="G45" s="10"/>
      <c r="H45" s="10"/>
      <c r="I45" s="134"/>
      <c r="J45" s="10"/>
      <c r="K45" s="4"/>
    </row>
    <row r="46" spans="1:11" ht="15.5">
      <c r="A46" s="188"/>
      <c r="B46" s="181"/>
      <c r="C46" s="176"/>
      <c r="D46" s="145" t="s">
        <v>1093</v>
      </c>
      <c r="E46" s="10"/>
      <c r="F46" s="8" t="s">
        <v>58</v>
      </c>
      <c r="G46" s="10"/>
      <c r="H46" s="10"/>
      <c r="I46" s="134"/>
      <c r="J46" s="10"/>
      <c r="K46" s="4"/>
    </row>
    <row r="47" spans="1:11" ht="15.5">
      <c r="A47" s="188"/>
      <c r="B47" s="181"/>
      <c r="C47" s="174" t="s">
        <v>1094</v>
      </c>
      <c r="D47" s="145" t="s">
        <v>1095</v>
      </c>
      <c r="E47" s="10"/>
      <c r="F47" s="8" t="s">
        <v>23</v>
      </c>
      <c r="G47" s="10"/>
      <c r="H47" s="10"/>
      <c r="I47" s="134"/>
      <c r="J47" s="10"/>
      <c r="K47" s="4"/>
    </row>
    <row r="48" spans="1:11" ht="15.5">
      <c r="A48" s="188"/>
      <c r="B48" s="181"/>
      <c r="C48" s="175"/>
      <c r="D48" s="145" t="s">
        <v>1096</v>
      </c>
      <c r="E48" s="10"/>
      <c r="F48" s="8" t="s">
        <v>23</v>
      </c>
      <c r="G48" s="10"/>
      <c r="H48" s="10"/>
      <c r="I48" s="134"/>
      <c r="J48" s="10"/>
      <c r="K48" s="4"/>
    </row>
    <row r="49" spans="1:11" ht="15.5">
      <c r="A49" s="188"/>
      <c r="B49" s="181"/>
      <c r="C49" s="175"/>
      <c r="D49" s="145" t="s">
        <v>1097</v>
      </c>
      <c r="E49" s="10"/>
      <c r="F49" s="8" t="s">
        <v>16</v>
      </c>
      <c r="G49" s="10"/>
      <c r="H49" s="10"/>
      <c r="I49" s="134"/>
      <c r="J49" s="10"/>
      <c r="K49" s="4"/>
    </row>
    <row r="50" spans="1:11" ht="15.5">
      <c r="A50" s="188"/>
      <c r="B50" s="181"/>
      <c r="C50" s="175"/>
      <c r="D50" s="145" t="s">
        <v>1098</v>
      </c>
      <c r="E50" s="10"/>
      <c r="F50" s="8" t="s">
        <v>16</v>
      </c>
      <c r="G50" s="10"/>
      <c r="H50" s="10"/>
      <c r="I50" s="134"/>
      <c r="J50" s="10"/>
      <c r="K50" s="4"/>
    </row>
    <row r="51" spans="1:11" ht="15.5">
      <c r="A51" s="188"/>
      <c r="B51" s="181"/>
      <c r="C51" s="176"/>
      <c r="D51" s="145" t="s">
        <v>1099</v>
      </c>
      <c r="E51" s="10"/>
      <c r="F51" s="8" t="s">
        <v>16</v>
      </c>
      <c r="G51" s="10"/>
      <c r="H51" s="10"/>
      <c r="I51" s="134"/>
      <c r="J51" s="10"/>
      <c r="K51" s="4"/>
    </row>
    <row r="52" spans="1:11" ht="15.5">
      <c r="A52" s="188"/>
      <c r="B52" s="181"/>
      <c r="C52" s="174" t="s">
        <v>1100</v>
      </c>
      <c r="D52" s="145" t="s">
        <v>1101</v>
      </c>
      <c r="E52" s="10"/>
      <c r="F52" s="8" t="s">
        <v>16</v>
      </c>
      <c r="G52" s="10"/>
      <c r="H52" s="10"/>
      <c r="I52" s="134"/>
      <c r="J52" s="10"/>
      <c r="K52" s="4"/>
    </row>
    <row r="53" spans="1:11" ht="15.5">
      <c r="A53" s="188"/>
      <c r="B53" s="181"/>
      <c r="C53" s="175"/>
      <c r="D53" s="145" t="s">
        <v>1102</v>
      </c>
      <c r="E53" s="10"/>
      <c r="F53" s="8" t="s">
        <v>16</v>
      </c>
      <c r="G53" s="10"/>
      <c r="H53" s="10"/>
      <c r="I53" s="134"/>
      <c r="J53" s="10"/>
      <c r="K53" s="4"/>
    </row>
    <row r="54" spans="1:11" ht="15.5">
      <c r="A54" s="188"/>
      <c r="B54" s="181"/>
      <c r="C54" s="175"/>
      <c r="D54" s="145" t="s">
        <v>1103</v>
      </c>
      <c r="E54" s="10"/>
      <c r="F54" s="8" t="s">
        <v>16</v>
      </c>
      <c r="G54" s="10"/>
      <c r="H54" s="10"/>
      <c r="I54" s="134"/>
      <c r="J54" s="10"/>
      <c r="K54" s="4"/>
    </row>
    <row r="55" spans="1:11" ht="15.5">
      <c r="A55" s="188"/>
      <c r="B55" s="181"/>
      <c r="C55" s="175"/>
      <c r="D55" s="145" t="s">
        <v>1104</v>
      </c>
      <c r="E55" s="10"/>
      <c r="F55" s="8" t="s">
        <v>16</v>
      </c>
      <c r="G55" s="10"/>
      <c r="H55" s="10"/>
      <c r="I55" s="134"/>
      <c r="J55" s="10"/>
      <c r="K55" s="4"/>
    </row>
    <row r="56" spans="1:11" ht="15.5">
      <c r="A56" s="188"/>
      <c r="B56" s="181"/>
      <c r="C56" s="176"/>
      <c r="D56" s="145" t="s">
        <v>1105</v>
      </c>
      <c r="E56" s="10"/>
      <c r="F56" s="8" t="s">
        <v>16</v>
      </c>
      <c r="G56" s="10"/>
      <c r="H56" s="10"/>
      <c r="I56" s="134"/>
      <c r="J56" s="10"/>
      <c r="K56" s="4"/>
    </row>
    <row r="57" spans="1:11" ht="15.5">
      <c r="A57" s="188"/>
      <c r="B57" s="181"/>
      <c r="C57" s="174" t="s">
        <v>1106</v>
      </c>
      <c r="D57" s="145" t="s">
        <v>1107</v>
      </c>
      <c r="E57" s="10"/>
      <c r="F57" s="8" t="s">
        <v>16</v>
      </c>
      <c r="G57" s="10"/>
      <c r="H57" s="10"/>
      <c r="I57" s="134"/>
      <c r="J57" s="10"/>
      <c r="K57" s="4"/>
    </row>
    <row r="58" spans="1:11" ht="15.5">
      <c r="A58" s="188"/>
      <c r="B58" s="181"/>
      <c r="C58" s="175"/>
      <c r="D58" s="145" t="s">
        <v>1108</v>
      </c>
      <c r="E58" s="10"/>
      <c r="F58" s="8" t="s">
        <v>16</v>
      </c>
      <c r="G58" s="10"/>
      <c r="H58" s="10"/>
      <c r="I58" s="134"/>
      <c r="J58" s="10"/>
      <c r="K58" s="4"/>
    </row>
    <row r="59" spans="1:11" ht="15.5">
      <c r="A59" s="188"/>
      <c r="B59" s="181"/>
      <c r="C59" s="175"/>
      <c r="D59" s="145" t="s">
        <v>1109</v>
      </c>
      <c r="E59" s="10"/>
      <c r="F59" s="8" t="s">
        <v>16</v>
      </c>
      <c r="G59" s="10"/>
      <c r="H59" s="10"/>
      <c r="I59" s="134"/>
      <c r="J59" s="10"/>
      <c r="K59" s="4"/>
    </row>
    <row r="60" spans="1:11" ht="15.5">
      <c r="A60" s="188"/>
      <c r="B60" s="181"/>
      <c r="C60" s="175"/>
      <c r="D60" s="145" t="s">
        <v>1110</v>
      </c>
      <c r="E60" s="10"/>
      <c r="F60" s="8" t="s">
        <v>16</v>
      </c>
      <c r="G60" s="10"/>
      <c r="H60" s="10"/>
      <c r="I60" s="134"/>
      <c r="J60" s="10"/>
      <c r="K60" s="4"/>
    </row>
    <row r="61" spans="1:11" ht="16" thickBot="1">
      <c r="A61" s="188"/>
      <c r="B61" s="182"/>
      <c r="C61" s="176"/>
      <c r="D61" s="144" t="s">
        <v>1111</v>
      </c>
      <c r="E61" s="10" t="s">
        <v>1112</v>
      </c>
      <c r="F61" s="8" t="s">
        <v>16</v>
      </c>
      <c r="G61" s="10" t="s">
        <v>1113</v>
      </c>
      <c r="H61" s="10" t="s">
        <v>1114</v>
      </c>
      <c r="I61" s="134" t="s">
        <v>26</v>
      </c>
      <c r="J61" s="10" t="s">
        <v>1115</v>
      </c>
      <c r="K61" s="2"/>
    </row>
    <row r="62" spans="1:11" ht="15.5">
      <c r="A62" s="188"/>
      <c r="B62" s="183" t="s">
        <v>1116</v>
      </c>
      <c r="C62" s="174" t="s">
        <v>1117</v>
      </c>
      <c r="D62" s="145" t="s">
        <v>1118</v>
      </c>
      <c r="E62" s="10"/>
      <c r="F62" s="8" t="s">
        <v>16</v>
      </c>
      <c r="G62" s="10"/>
      <c r="H62" s="10"/>
      <c r="I62" s="134"/>
      <c r="J62" s="10"/>
      <c r="K62" s="2"/>
    </row>
    <row r="63" spans="1:11" ht="15.5">
      <c r="A63" s="188"/>
      <c r="B63" s="181"/>
      <c r="C63" s="175"/>
      <c r="D63" s="145" t="s">
        <v>1119</v>
      </c>
      <c r="E63" s="10"/>
      <c r="F63" s="8" t="s">
        <v>16</v>
      </c>
      <c r="G63" s="10"/>
      <c r="H63" s="10"/>
      <c r="I63" s="134"/>
      <c r="J63" s="10"/>
      <c r="K63" s="2"/>
    </row>
    <row r="64" spans="1:11" ht="15.5">
      <c r="A64" s="188"/>
      <c r="B64" s="181"/>
      <c r="C64" s="175"/>
      <c r="D64" s="145" t="s">
        <v>1120</v>
      </c>
      <c r="E64" s="10"/>
      <c r="F64" s="8" t="s">
        <v>16</v>
      </c>
      <c r="G64" s="10"/>
      <c r="H64" s="10"/>
      <c r="I64" s="134"/>
      <c r="J64" s="10"/>
      <c r="K64" s="2"/>
    </row>
    <row r="65" spans="1:11" ht="15.5">
      <c r="A65" s="188"/>
      <c r="B65" s="181"/>
      <c r="C65" s="175"/>
      <c r="D65" s="145" t="s">
        <v>1121</v>
      </c>
      <c r="E65" s="10"/>
      <c r="F65" s="8" t="s">
        <v>16</v>
      </c>
      <c r="G65" s="10"/>
      <c r="H65" s="10"/>
      <c r="I65" s="134"/>
      <c r="J65" s="10"/>
      <c r="K65" s="2"/>
    </row>
    <row r="66" spans="1:11" ht="15.5">
      <c r="A66" s="188"/>
      <c r="B66" s="181"/>
      <c r="C66" s="176"/>
      <c r="D66" s="145" t="s">
        <v>1122</v>
      </c>
      <c r="E66" s="10"/>
      <c r="F66" s="8" t="s">
        <v>16</v>
      </c>
      <c r="G66" s="10"/>
      <c r="H66" s="10"/>
      <c r="I66" s="134"/>
      <c r="J66" s="10"/>
      <c r="K66" s="2"/>
    </row>
    <row r="67" spans="1:11" ht="15.5">
      <c r="A67" s="188"/>
      <c r="B67" s="181"/>
      <c r="C67" s="174" t="s">
        <v>1123</v>
      </c>
      <c r="D67" s="145" t="s">
        <v>1124</v>
      </c>
      <c r="E67" s="10"/>
      <c r="F67" s="8" t="s">
        <v>16</v>
      </c>
      <c r="G67" s="10"/>
      <c r="H67" s="10"/>
      <c r="I67" s="134"/>
      <c r="J67" s="10"/>
      <c r="K67" s="2"/>
    </row>
    <row r="68" spans="1:11" ht="15.5">
      <c r="A68" s="188"/>
      <c r="B68" s="181"/>
      <c r="C68" s="175"/>
      <c r="D68" s="145" t="s">
        <v>1125</v>
      </c>
      <c r="E68" s="10"/>
      <c r="F68" s="8" t="s">
        <v>16</v>
      </c>
      <c r="G68" s="10"/>
      <c r="H68" s="10"/>
      <c r="I68" s="134"/>
      <c r="J68" s="10"/>
      <c r="K68" s="2"/>
    </row>
    <row r="69" spans="1:11" ht="15.5">
      <c r="A69" s="188"/>
      <c r="B69" s="181"/>
      <c r="C69" s="175"/>
      <c r="D69" s="145" t="s">
        <v>1126</v>
      </c>
      <c r="E69" s="10"/>
      <c r="F69" s="8" t="s">
        <v>16</v>
      </c>
      <c r="G69" s="10"/>
      <c r="H69" s="10"/>
      <c r="I69" s="134"/>
      <c r="J69" s="10"/>
      <c r="K69" s="2"/>
    </row>
    <row r="70" spans="1:11" ht="15.5">
      <c r="A70" s="188"/>
      <c r="B70" s="181"/>
      <c r="C70" s="175"/>
      <c r="D70" s="145" t="s">
        <v>1127</v>
      </c>
      <c r="E70" s="10"/>
      <c r="F70" s="8" t="s">
        <v>16</v>
      </c>
      <c r="G70" s="10"/>
      <c r="H70" s="10"/>
      <c r="I70" s="134"/>
      <c r="J70" s="10"/>
      <c r="K70" s="2"/>
    </row>
    <row r="71" spans="1:11" ht="15.5">
      <c r="A71" s="188"/>
      <c r="B71" s="181"/>
      <c r="C71" s="176"/>
      <c r="D71" s="145" t="s">
        <v>1128</v>
      </c>
      <c r="E71" s="10"/>
      <c r="F71" s="8" t="s">
        <v>16</v>
      </c>
      <c r="G71" s="10"/>
      <c r="H71" s="10"/>
      <c r="I71" s="134"/>
      <c r="J71" s="10"/>
      <c r="K71" s="2"/>
    </row>
    <row r="72" spans="1:11" ht="15.5">
      <c r="A72" s="188"/>
      <c r="B72" s="181"/>
      <c r="C72" s="174" t="s">
        <v>1129</v>
      </c>
      <c r="D72" s="145" t="s">
        <v>1130</v>
      </c>
      <c r="E72" s="10"/>
      <c r="F72" s="8" t="s">
        <v>16</v>
      </c>
      <c r="G72" s="10"/>
      <c r="H72" s="10"/>
      <c r="I72" s="134"/>
      <c r="J72" s="10"/>
      <c r="K72" s="2"/>
    </row>
    <row r="73" spans="1:11" ht="15.5">
      <c r="A73" s="188"/>
      <c r="B73" s="181"/>
      <c r="C73" s="175"/>
      <c r="D73" s="145" t="s">
        <v>1131</v>
      </c>
      <c r="E73" s="10"/>
      <c r="F73" s="8" t="s">
        <v>16</v>
      </c>
      <c r="G73" s="10"/>
      <c r="H73" s="10"/>
      <c r="I73" s="134"/>
      <c r="J73" s="10"/>
      <c r="K73" s="2"/>
    </row>
    <row r="74" spans="1:11" ht="15.5">
      <c r="A74" s="188"/>
      <c r="B74" s="181"/>
      <c r="C74" s="175"/>
      <c r="D74" s="145" t="s">
        <v>1132</v>
      </c>
      <c r="E74" s="10"/>
      <c r="F74" s="8" t="s">
        <v>16</v>
      </c>
      <c r="G74" s="10"/>
      <c r="H74" s="10"/>
      <c r="I74" s="134"/>
      <c r="J74" s="10"/>
      <c r="K74" s="2"/>
    </row>
    <row r="75" spans="1:11" ht="15.5">
      <c r="A75" s="188"/>
      <c r="B75" s="181"/>
      <c r="C75" s="175"/>
      <c r="D75" s="145" t="s">
        <v>1133</v>
      </c>
      <c r="E75" s="10"/>
      <c r="F75" s="8" t="s">
        <v>16</v>
      </c>
      <c r="G75" s="10"/>
      <c r="H75" s="10"/>
      <c r="I75" s="134"/>
      <c r="J75" s="10"/>
      <c r="K75" s="2"/>
    </row>
    <row r="76" spans="1:11" ht="15.5">
      <c r="A76" s="188"/>
      <c r="B76" s="181"/>
      <c r="C76" s="176"/>
      <c r="D76" s="145" t="s">
        <v>1134</v>
      </c>
      <c r="E76" s="10"/>
      <c r="F76" s="8" t="s">
        <v>16</v>
      </c>
      <c r="G76" s="10"/>
      <c r="H76" s="10"/>
      <c r="I76" s="134"/>
      <c r="J76" s="10"/>
      <c r="K76" s="2"/>
    </row>
    <row r="77" spans="1:11" ht="15.5">
      <c r="A77" s="188"/>
      <c r="B77" s="181"/>
      <c r="C77" s="174" t="s">
        <v>1135</v>
      </c>
      <c r="D77" s="145" t="s">
        <v>1136</v>
      </c>
      <c r="E77" s="10"/>
      <c r="F77" s="8" t="s">
        <v>16</v>
      </c>
      <c r="G77" s="10"/>
      <c r="H77" s="10"/>
      <c r="I77" s="134"/>
      <c r="J77" s="10"/>
      <c r="K77" s="2"/>
    </row>
    <row r="78" spans="1:11" ht="15.5">
      <c r="A78" s="188"/>
      <c r="B78" s="181"/>
      <c r="C78" s="175"/>
      <c r="D78" s="145" t="s">
        <v>1137</v>
      </c>
      <c r="E78" s="10"/>
      <c r="F78" s="8" t="s">
        <v>16</v>
      </c>
      <c r="G78" s="10"/>
      <c r="H78" s="10"/>
      <c r="I78" s="134"/>
      <c r="J78" s="10"/>
      <c r="K78" s="2"/>
    </row>
    <row r="79" spans="1:11" ht="15.5">
      <c r="A79" s="188"/>
      <c r="B79" s="181"/>
      <c r="C79" s="175"/>
      <c r="D79" s="145" t="s">
        <v>1138</v>
      </c>
      <c r="E79" s="10"/>
      <c r="F79" s="8" t="s">
        <v>16</v>
      </c>
      <c r="G79" s="10"/>
      <c r="H79" s="10"/>
      <c r="I79" s="134"/>
      <c r="J79" s="10"/>
      <c r="K79" s="2"/>
    </row>
    <row r="80" spans="1:11" ht="15.5">
      <c r="A80" s="188"/>
      <c r="B80" s="181"/>
      <c r="C80" s="175"/>
      <c r="D80" s="145" t="s">
        <v>1139</v>
      </c>
      <c r="E80" s="10"/>
      <c r="F80" s="8" t="s">
        <v>16</v>
      </c>
      <c r="G80" s="10"/>
      <c r="H80" s="10"/>
      <c r="I80" s="134"/>
      <c r="J80" s="10"/>
      <c r="K80" s="2"/>
    </row>
    <row r="81" spans="1:11" ht="15.5">
      <c r="A81" s="188"/>
      <c r="B81" s="181"/>
      <c r="C81" s="176"/>
      <c r="D81" s="145" t="s">
        <v>1140</v>
      </c>
      <c r="E81" s="10"/>
      <c r="F81" s="8" t="s">
        <v>16</v>
      </c>
      <c r="G81" s="10"/>
      <c r="H81" s="10"/>
      <c r="I81" s="134"/>
      <c r="J81" s="10"/>
      <c r="K81" s="2"/>
    </row>
    <row r="82" spans="1:11" ht="15.5">
      <c r="A82" s="188"/>
      <c r="B82" s="181"/>
      <c r="C82" s="174" t="s">
        <v>1141</v>
      </c>
      <c r="D82" s="145" t="s">
        <v>1142</v>
      </c>
      <c r="E82" s="10"/>
      <c r="F82" s="8" t="s">
        <v>16</v>
      </c>
      <c r="G82" s="10"/>
      <c r="H82" s="10"/>
      <c r="I82" s="134"/>
      <c r="J82" s="10"/>
      <c r="K82" s="2"/>
    </row>
    <row r="83" spans="1:11" ht="15.5">
      <c r="A83" s="188"/>
      <c r="B83" s="181"/>
      <c r="C83" s="175"/>
      <c r="D83" s="145" t="s">
        <v>1143</v>
      </c>
      <c r="E83" s="10"/>
      <c r="F83" s="8" t="s">
        <v>16</v>
      </c>
      <c r="G83" s="10"/>
      <c r="H83" s="10"/>
      <c r="I83" s="134"/>
      <c r="J83" s="10"/>
      <c r="K83" s="2"/>
    </row>
    <row r="84" spans="1:11" ht="15.5">
      <c r="A84" s="188"/>
      <c r="B84" s="181"/>
      <c r="C84" s="175"/>
      <c r="D84" s="145" t="s">
        <v>1144</v>
      </c>
      <c r="E84" s="10"/>
      <c r="F84" s="8" t="s">
        <v>16</v>
      </c>
      <c r="G84" s="10"/>
      <c r="H84" s="10"/>
      <c r="I84" s="134"/>
      <c r="J84" s="10"/>
      <c r="K84" s="2"/>
    </row>
    <row r="85" spans="1:11" ht="15.5">
      <c r="A85" s="188"/>
      <c r="B85" s="181"/>
      <c r="C85" s="175"/>
      <c r="D85" s="145" t="s">
        <v>1145</v>
      </c>
      <c r="E85" s="10"/>
      <c r="F85" s="8" t="s">
        <v>16</v>
      </c>
      <c r="G85" s="10"/>
      <c r="H85" s="10"/>
      <c r="I85" s="134"/>
      <c r="J85" s="10"/>
      <c r="K85" s="2"/>
    </row>
    <row r="86" spans="1:11" ht="15.5">
      <c r="A86" s="188"/>
      <c r="B86" s="181"/>
      <c r="C86" s="176"/>
      <c r="D86" s="145" t="s">
        <v>1146</v>
      </c>
      <c r="E86" s="10"/>
      <c r="F86" s="8" t="s">
        <v>16</v>
      </c>
      <c r="G86" s="10"/>
      <c r="H86" s="10"/>
      <c r="I86" s="134"/>
      <c r="J86" s="10"/>
      <c r="K86" s="2"/>
    </row>
    <row r="87" spans="1:11" ht="15.5">
      <c r="A87" s="188"/>
      <c r="B87" s="181"/>
      <c r="C87" s="174" t="s">
        <v>1147</v>
      </c>
      <c r="D87" s="145" t="s">
        <v>1148</v>
      </c>
      <c r="E87" s="10"/>
      <c r="F87" s="8" t="s">
        <v>16</v>
      </c>
      <c r="G87" s="10"/>
      <c r="H87" s="10"/>
      <c r="I87" s="134"/>
      <c r="J87" s="10"/>
      <c r="K87" s="2"/>
    </row>
    <row r="88" spans="1:11" ht="15.5">
      <c r="A88" s="188"/>
      <c r="B88" s="181"/>
      <c r="C88" s="175"/>
      <c r="D88" s="145" t="s">
        <v>1149</v>
      </c>
      <c r="E88" s="10"/>
      <c r="F88" s="8" t="s">
        <v>16</v>
      </c>
      <c r="G88" s="10"/>
      <c r="H88" s="10"/>
      <c r="I88" s="134"/>
      <c r="J88" s="10"/>
      <c r="K88" s="2"/>
    </row>
    <row r="89" spans="1:11" ht="15.5">
      <c r="A89" s="188"/>
      <c r="B89" s="181"/>
      <c r="C89" s="175"/>
      <c r="D89" s="145" t="s">
        <v>1150</v>
      </c>
      <c r="E89" s="10"/>
      <c r="F89" s="8" t="s">
        <v>16</v>
      </c>
      <c r="G89" s="10"/>
      <c r="H89" s="10"/>
      <c r="I89" s="134"/>
      <c r="J89" s="10"/>
      <c r="K89" s="2"/>
    </row>
    <row r="90" spans="1:11" ht="15.5">
      <c r="A90" s="188"/>
      <c r="B90" s="181"/>
      <c r="C90" s="175"/>
      <c r="D90" s="145" t="s">
        <v>1151</v>
      </c>
      <c r="E90" s="10"/>
      <c r="F90" s="8" t="s">
        <v>16</v>
      </c>
      <c r="G90" s="10"/>
      <c r="H90" s="10"/>
      <c r="I90" s="134"/>
      <c r="J90" s="10"/>
      <c r="K90" s="2"/>
    </row>
    <row r="91" spans="1:11" ht="16" thickBot="1">
      <c r="A91" s="189"/>
      <c r="B91" s="182"/>
      <c r="C91" s="176"/>
      <c r="D91" s="144" t="s">
        <v>1152</v>
      </c>
      <c r="E91" s="10" t="s">
        <v>1153</v>
      </c>
      <c r="F91" s="8" t="s">
        <v>16</v>
      </c>
      <c r="G91" s="10" t="s">
        <v>1154</v>
      </c>
      <c r="H91" s="10" t="s">
        <v>1155</v>
      </c>
      <c r="I91" s="134" t="s">
        <v>26</v>
      </c>
      <c r="J91" s="10" t="s">
        <v>1156</v>
      </c>
      <c r="K91" s="2"/>
    </row>
    <row r="92" spans="1:11" ht="15.5">
      <c r="A92" s="179" t="s">
        <v>1157</v>
      </c>
      <c r="B92" s="183" t="s">
        <v>1158</v>
      </c>
      <c r="C92" s="174" t="s">
        <v>1159</v>
      </c>
      <c r="D92" s="145" t="s">
        <v>1160</v>
      </c>
      <c r="E92" s="10"/>
      <c r="F92" s="8" t="s">
        <v>58</v>
      </c>
      <c r="G92" s="10"/>
      <c r="H92" s="10"/>
      <c r="I92" s="134"/>
      <c r="J92" s="10"/>
      <c r="K92" s="2"/>
    </row>
    <row r="93" spans="1:11" ht="15.5">
      <c r="A93" s="185"/>
      <c r="B93" s="181"/>
      <c r="C93" s="175"/>
      <c r="D93" s="145" t="s">
        <v>1161</v>
      </c>
      <c r="E93" s="10"/>
      <c r="F93" s="8" t="s">
        <v>58</v>
      </c>
      <c r="G93" s="10"/>
      <c r="H93" s="10"/>
      <c r="I93" s="134"/>
      <c r="J93" s="10"/>
      <c r="K93" s="2"/>
    </row>
    <row r="94" spans="1:11" ht="15.5">
      <c r="A94" s="185"/>
      <c r="B94" s="181"/>
      <c r="C94" s="175"/>
      <c r="D94" s="145" t="s">
        <v>1162</v>
      </c>
      <c r="E94" s="10"/>
      <c r="F94" s="8" t="s">
        <v>58</v>
      </c>
      <c r="G94" s="10"/>
      <c r="H94" s="10"/>
      <c r="I94" s="134"/>
      <c r="J94" s="10"/>
      <c r="K94" s="2"/>
    </row>
    <row r="95" spans="1:11" ht="15.5">
      <c r="A95" s="185"/>
      <c r="B95" s="181"/>
      <c r="C95" s="175"/>
      <c r="D95" s="145" t="s">
        <v>1163</v>
      </c>
      <c r="E95" s="10"/>
      <c r="F95" s="8" t="s">
        <v>58</v>
      </c>
      <c r="G95" s="10"/>
      <c r="H95" s="10"/>
      <c r="I95" s="134"/>
      <c r="J95" s="10"/>
      <c r="K95" s="2"/>
    </row>
    <row r="96" spans="1:11" ht="15.5">
      <c r="A96" s="185"/>
      <c r="B96" s="181"/>
      <c r="C96" s="176"/>
      <c r="D96" s="145" t="s">
        <v>1164</v>
      </c>
      <c r="E96" s="10"/>
      <c r="F96" s="8" t="s">
        <v>58</v>
      </c>
      <c r="G96" s="10"/>
      <c r="H96" s="10"/>
      <c r="I96" s="134"/>
      <c r="J96" s="10"/>
      <c r="K96" s="2"/>
    </row>
    <row r="97" spans="1:11" ht="15.5">
      <c r="A97" s="185"/>
      <c r="B97" s="181"/>
      <c r="C97" s="174" t="s">
        <v>1165</v>
      </c>
      <c r="D97" s="145" t="s">
        <v>1166</v>
      </c>
      <c r="E97" s="10"/>
      <c r="F97" s="8" t="s">
        <v>58</v>
      </c>
      <c r="G97" s="10"/>
      <c r="H97" s="10"/>
      <c r="I97" s="134"/>
      <c r="J97" s="10"/>
      <c r="K97" s="2"/>
    </row>
    <row r="98" spans="1:11" ht="15.5">
      <c r="A98" s="185"/>
      <c r="B98" s="181"/>
      <c r="C98" s="175"/>
      <c r="D98" s="145" t="s">
        <v>1167</v>
      </c>
      <c r="E98" s="10"/>
      <c r="F98" s="8" t="s">
        <v>58</v>
      </c>
      <c r="G98" s="10"/>
      <c r="H98" s="10"/>
      <c r="I98" s="134"/>
      <c r="J98" s="10"/>
      <c r="K98" s="2"/>
    </row>
    <row r="99" spans="1:11" ht="15.5">
      <c r="A99" s="185"/>
      <c r="B99" s="181"/>
      <c r="C99" s="175"/>
      <c r="D99" s="145" t="s">
        <v>1168</v>
      </c>
      <c r="E99" s="10"/>
      <c r="F99" s="8" t="s">
        <v>58</v>
      </c>
      <c r="G99" s="10"/>
      <c r="H99" s="10"/>
      <c r="I99" s="134"/>
      <c r="J99" s="10"/>
      <c r="K99" s="2"/>
    </row>
    <row r="100" spans="1:11" ht="15.5">
      <c r="A100" s="185"/>
      <c r="B100" s="181"/>
      <c r="C100" s="175"/>
      <c r="D100" s="145" t="s">
        <v>1169</v>
      </c>
      <c r="E100" s="10"/>
      <c r="F100" s="8" t="s">
        <v>16</v>
      </c>
      <c r="G100" s="10"/>
      <c r="H100" s="10"/>
      <c r="I100" s="134"/>
      <c r="J100" s="10"/>
      <c r="K100" s="2"/>
    </row>
    <row r="101" spans="1:11" ht="15.5">
      <c r="A101" s="185"/>
      <c r="B101" s="181"/>
      <c r="C101" s="176"/>
      <c r="D101" s="145" t="s">
        <v>1170</v>
      </c>
      <c r="E101" s="10"/>
      <c r="F101" s="8" t="s">
        <v>16</v>
      </c>
      <c r="G101" s="10"/>
      <c r="H101" s="10"/>
      <c r="I101" s="134"/>
      <c r="J101" s="10"/>
      <c r="K101" s="2"/>
    </row>
    <row r="102" spans="1:11" ht="15.5">
      <c r="A102" s="185"/>
      <c r="B102" s="181"/>
      <c r="C102" s="174" t="s">
        <v>1171</v>
      </c>
      <c r="D102" s="145" t="s">
        <v>1172</v>
      </c>
      <c r="E102" s="10"/>
      <c r="F102" s="8" t="s">
        <v>16</v>
      </c>
      <c r="G102" s="10"/>
      <c r="H102" s="10"/>
      <c r="I102" s="134"/>
      <c r="J102" s="10"/>
      <c r="K102" s="2"/>
    </row>
    <row r="103" spans="1:11" ht="15.5">
      <c r="A103" s="185"/>
      <c r="B103" s="181"/>
      <c r="C103" s="175"/>
      <c r="D103" s="145" t="s">
        <v>1173</v>
      </c>
      <c r="E103" s="10"/>
      <c r="F103" s="8" t="s">
        <v>16</v>
      </c>
      <c r="G103" s="10"/>
      <c r="H103" s="10"/>
      <c r="I103" s="134"/>
      <c r="J103" s="10"/>
      <c r="K103" s="2"/>
    </row>
    <row r="104" spans="1:11" ht="15.5">
      <c r="A104" s="185"/>
      <c r="B104" s="181"/>
      <c r="C104" s="175"/>
      <c r="D104" s="145" t="s">
        <v>1174</v>
      </c>
      <c r="E104" s="10"/>
      <c r="F104" s="8" t="s">
        <v>16</v>
      </c>
      <c r="G104" s="10"/>
      <c r="H104" s="10"/>
      <c r="I104" s="134"/>
      <c r="J104" s="10"/>
      <c r="K104" s="2"/>
    </row>
    <row r="105" spans="1:11" ht="15.5">
      <c r="A105" s="185"/>
      <c r="B105" s="181"/>
      <c r="C105" s="175"/>
      <c r="D105" s="145" t="s">
        <v>1175</v>
      </c>
      <c r="E105" s="10"/>
      <c r="F105" s="8" t="s">
        <v>16</v>
      </c>
      <c r="G105" s="10"/>
      <c r="H105" s="10"/>
      <c r="I105" s="134"/>
      <c r="J105" s="10"/>
      <c r="K105" s="2"/>
    </row>
    <row r="106" spans="1:11" ht="15.5">
      <c r="A106" s="185"/>
      <c r="B106" s="181"/>
      <c r="C106" s="176"/>
      <c r="D106" s="145" t="s">
        <v>1176</v>
      </c>
      <c r="E106" s="10"/>
      <c r="F106" s="8" t="s">
        <v>16</v>
      </c>
      <c r="G106" s="10"/>
      <c r="H106" s="10"/>
      <c r="I106" s="134"/>
      <c r="J106" s="10"/>
      <c r="K106" s="2"/>
    </row>
    <row r="107" spans="1:11" ht="15.5">
      <c r="A107" s="185"/>
      <c r="B107" s="181"/>
      <c r="C107" s="174" t="s">
        <v>1177</v>
      </c>
      <c r="D107" s="145" t="s">
        <v>1178</v>
      </c>
      <c r="E107" s="10"/>
      <c r="F107" s="8" t="s">
        <v>16</v>
      </c>
      <c r="G107" s="10"/>
      <c r="H107" s="10"/>
      <c r="I107" s="134"/>
      <c r="J107" s="10"/>
      <c r="K107" s="2"/>
    </row>
    <row r="108" spans="1:11" ht="15.5">
      <c r="A108" s="185"/>
      <c r="B108" s="181"/>
      <c r="C108" s="175"/>
      <c r="D108" s="145" t="s">
        <v>1179</v>
      </c>
      <c r="E108" s="10"/>
      <c r="F108" s="8" t="s">
        <v>16</v>
      </c>
      <c r="G108" s="10"/>
      <c r="H108" s="10"/>
      <c r="I108" s="134"/>
      <c r="J108" s="10"/>
      <c r="K108" s="2"/>
    </row>
    <row r="109" spans="1:11" ht="15.5">
      <c r="A109" s="185"/>
      <c r="B109" s="181"/>
      <c r="C109" s="175"/>
      <c r="D109" s="145" t="s">
        <v>1180</v>
      </c>
      <c r="E109" s="10"/>
      <c r="F109" s="8" t="s">
        <v>16</v>
      </c>
      <c r="G109" s="10"/>
      <c r="H109" s="10"/>
      <c r="I109" s="134"/>
      <c r="J109" s="10"/>
      <c r="K109" s="2"/>
    </row>
    <row r="110" spans="1:11" ht="15.5">
      <c r="A110" s="185"/>
      <c r="B110" s="181"/>
      <c r="C110" s="175"/>
      <c r="D110" s="145" t="s">
        <v>1181</v>
      </c>
      <c r="E110" s="10"/>
      <c r="F110" s="8" t="s">
        <v>16</v>
      </c>
      <c r="G110" s="10"/>
      <c r="H110" s="10"/>
      <c r="I110" s="134"/>
      <c r="J110" s="10"/>
      <c r="K110" s="2"/>
    </row>
    <row r="111" spans="1:11" ht="15.5">
      <c r="A111" s="185"/>
      <c r="B111" s="181"/>
      <c r="C111" s="176"/>
      <c r="D111" s="145" t="s">
        <v>1182</v>
      </c>
      <c r="E111" s="10"/>
      <c r="F111" s="8" t="s">
        <v>16</v>
      </c>
      <c r="G111" s="10"/>
      <c r="H111" s="10"/>
      <c r="I111" s="134"/>
      <c r="J111" s="10"/>
      <c r="K111" s="2"/>
    </row>
    <row r="112" spans="1:11" ht="15.5">
      <c r="A112" s="185"/>
      <c r="B112" s="181"/>
      <c r="C112" s="174" t="s">
        <v>1183</v>
      </c>
      <c r="D112" s="145" t="s">
        <v>1184</v>
      </c>
      <c r="E112" s="10"/>
      <c r="F112" s="8" t="s">
        <v>16</v>
      </c>
      <c r="G112" s="10"/>
      <c r="H112" s="10"/>
      <c r="I112" s="134"/>
      <c r="J112" s="10"/>
      <c r="K112" s="2"/>
    </row>
    <row r="113" spans="1:11" ht="15.5">
      <c r="A113" s="185"/>
      <c r="B113" s="181"/>
      <c r="C113" s="175"/>
      <c r="D113" s="145" t="s">
        <v>1185</v>
      </c>
      <c r="E113" s="10"/>
      <c r="F113" s="8" t="s">
        <v>16</v>
      </c>
      <c r="G113" s="10"/>
      <c r="H113" s="10"/>
      <c r="I113" s="134"/>
      <c r="J113" s="10"/>
      <c r="K113" s="2"/>
    </row>
    <row r="114" spans="1:11" ht="15.5">
      <c r="A114" s="185"/>
      <c r="B114" s="181"/>
      <c r="C114" s="175"/>
      <c r="D114" s="145" t="s">
        <v>1186</v>
      </c>
      <c r="E114" s="10"/>
      <c r="F114" s="8" t="s">
        <v>16</v>
      </c>
      <c r="G114" s="10"/>
      <c r="H114" s="10"/>
      <c r="I114" s="134"/>
      <c r="J114" s="10"/>
      <c r="K114" s="2"/>
    </row>
    <row r="115" spans="1:11" ht="15.5">
      <c r="A115" s="185"/>
      <c r="B115" s="181"/>
      <c r="C115" s="175"/>
      <c r="D115" s="145" t="s">
        <v>1187</v>
      </c>
      <c r="E115" s="10"/>
      <c r="F115" s="8" t="s">
        <v>16</v>
      </c>
      <c r="G115" s="10"/>
      <c r="H115" s="10"/>
      <c r="I115" s="134"/>
      <c r="J115" s="10"/>
      <c r="K115" s="2"/>
    </row>
    <row r="116" spans="1:11" ht="15.5">
      <c r="A116" s="185"/>
      <c r="B116" s="181"/>
      <c r="C116" s="176"/>
      <c r="D116" s="145" t="s">
        <v>1188</v>
      </c>
      <c r="E116" s="10"/>
      <c r="F116" s="8" t="s">
        <v>16</v>
      </c>
      <c r="G116" s="10"/>
      <c r="H116" s="10"/>
      <c r="I116" s="134"/>
      <c r="J116" s="10"/>
      <c r="K116" s="2"/>
    </row>
    <row r="117" spans="1:11" ht="15.5">
      <c r="A117" s="185"/>
      <c r="B117" s="181"/>
      <c r="C117" s="174" t="s">
        <v>1189</v>
      </c>
      <c r="D117" s="145" t="s">
        <v>1190</v>
      </c>
      <c r="E117" s="10"/>
      <c r="F117" s="8" t="s">
        <v>16</v>
      </c>
      <c r="G117" s="10"/>
      <c r="H117" s="10"/>
      <c r="I117" s="134"/>
      <c r="J117" s="10"/>
      <c r="K117" s="2"/>
    </row>
    <row r="118" spans="1:11" ht="15.5">
      <c r="A118" s="185"/>
      <c r="B118" s="181"/>
      <c r="C118" s="175"/>
      <c r="D118" s="145" t="s">
        <v>1191</v>
      </c>
      <c r="E118" s="10"/>
      <c r="F118" s="8" t="s">
        <v>16</v>
      </c>
      <c r="G118" s="10"/>
      <c r="H118" s="10"/>
      <c r="I118" s="134"/>
      <c r="J118" s="10"/>
      <c r="K118" s="2"/>
    </row>
    <row r="119" spans="1:11" ht="15.5">
      <c r="A119" s="185"/>
      <c r="B119" s="181"/>
      <c r="C119" s="175"/>
      <c r="D119" s="145" t="s">
        <v>1192</v>
      </c>
      <c r="E119" s="10"/>
      <c r="F119" s="8" t="s">
        <v>16</v>
      </c>
      <c r="G119" s="10"/>
      <c r="H119" s="10"/>
      <c r="I119" s="134"/>
      <c r="J119" s="10"/>
      <c r="K119" s="2"/>
    </row>
    <row r="120" spans="1:11" ht="15.5">
      <c r="A120" s="185"/>
      <c r="B120" s="181"/>
      <c r="C120" s="175"/>
      <c r="D120" s="145" t="s">
        <v>1193</v>
      </c>
      <c r="E120" s="10"/>
      <c r="F120" s="8" t="s">
        <v>16</v>
      </c>
      <c r="G120" s="10"/>
      <c r="H120" s="10"/>
      <c r="I120" s="134"/>
      <c r="J120" s="10"/>
      <c r="K120" s="2"/>
    </row>
    <row r="121" spans="1:11" ht="16" thickBot="1">
      <c r="A121" s="185"/>
      <c r="B121" s="182"/>
      <c r="C121" s="176"/>
      <c r="D121" s="144" t="s">
        <v>1194</v>
      </c>
      <c r="E121" s="10" t="s">
        <v>1195</v>
      </c>
      <c r="F121" s="8" t="s">
        <v>23</v>
      </c>
      <c r="G121" s="135" t="s">
        <v>1196</v>
      </c>
      <c r="H121" s="135" t="s">
        <v>1197</v>
      </c>
      <c r="I121" s="134" t="s">
        <v>213</v>
      </c>
      <c r="J121" s="135" t="s">
        <v>1198</v>
      </c>
      <c r="K121" s="2"/>
    </row>
    <row r="122" spans="1:11" ht="15.5">
      <c r="A122" s="185"/>
      <c r="B122" s="181" t="s">
        <v>1199</v>
      </c>
      <c r="C122" s="174" t="s">
        <v>1200</v>
      </c>
      <c r="D122" s="145" t="s">
        <v>1201</v>
      </c>
      <c r="E122" s="10"/>
      <c r="F122" s="8" t="s">
        <v>58</v>
      </c>
      <c r="G122" s="135"/>
      <c r="H122" s="135"/>
      <c r="I122" s="134"/>
      <c r="J122" s="135"/>
      <c r="K122" s="2"/>
    </row>
    <row r="123" spans="1:11" ht="15.5">
      <c r="A123" s="185"/>
      <c r="B123" s="181"/>
      <c r="C123" s="175"/>
      <c r="D123" s="145" t="s">
        <v>1202</v>
      </c>
      <c r="E123" s="10"/>
      <c r="F123" s="8" t="s">
        <v>23</v>
      </c>
      <c r="G123" s="135"/>
      <c r="H123" s="135"/>
      <c r="I123" s="134"/>
      <c r="J123" s="135"/>
      <c r="K123" s="2"/>
    </row>
    <row r="124" spans="1:11" ht="15.5">
      <c r="A124" s="185"/>
      <c r="B124" s="181"/>
      <c r="C124" s="175"/>
      <c r="D124" s="145" t="s">
        <v>1203</v>
      </c>
      <c r="E124" s="10"/>
      <c r="F124" s="8" t="s">
        <v>16</v>
      </c>
      <c r="G124" s="135"/>
      <c r="H124" s="135"/>
      <c r="I124" s="134"/>
      <c r="J124" s="135"/>
      <c r="K124" s="2"/>
    </row>
    <row r="125" spans="1:11" ht="15.5">
      <c r="A125" s="185"/>
      <c r="B125" s="181"/>
      <c r="C125" s="175"/>
      <c r="D125" s="145" t="s">
        <v>1204</v>
      </c>
      <c r="E125" s="10"/>
      <c r="F125" s="8" t="s">
        <v>16</v>
      </c>
      <c r="G125" s="135"/>
      <c r="H125" s="135"/>
      <c r="I125" s="134"/>
      <c r="J125" s="135"/>
      <c r="K125" s="2"/>
    </row>
    <row r="126" spans="1:11" ht="15.5">
      <c r="A126" s="185"/>
      <c r="B126" s="181"/>
      <c r="C126" s="176"/>
      <c r="D126" s="145" t="s">
        <v>1205</v>
      </c>
      <c r="E126" s="10"/>
      <c r="F126" s="8" t="s">
        <v>16</v>
      </c>
      <c r="G126" s="135"/>
      <c r="H126" s="135"/>
      <c r="I126" s="134"/>
      <c r="J126" s="135"/>
      <c r="K126" s="2"/>
    </row>
    <row r="127" spans="1:11" ht="15.5">
      <c r="A127" s="185"/>
      <c r="B127" s="181"/>
      <c r="C127" s="174" t="s">
        <v>1206</v>
      </c>
      <c r="D127" s="145" t="s">
        <v>1207</v>
      </c>
      <c r="E127" s="10"/>
      <c r="F127" s="8" t="s">
        <v>58</v>
      </c>
      <c r="G127" s="135"/>
      <c r="H127" s="135"/>
      <c r="I127" s="134"/>
      <c r="J127" s="135"/>
      <c r="K127" s="2"/>
    </row>
    <row r="128" spans="1:11" ht="15.5">
      <c r="A128" s="185"/>
      <c r="B128" s="181"/>
      <c r="C128" s="175"/>
      <c r="D128" s="145" t="s">
        <v>1208</v>
      </c>
      <c r="E128" s="10"/>
      <c r="F128" s="8" t="s">
        <v>58</v>
      </c>
      <c r="G128" s="135"/>
      <c r="H128" s="135"/>
      <c r="I128" s="134"/>
      <c r="J128" s="135"/>
      <c r="K128" s="2"/>
    </row>
    <row r="129" spans="1:11" ht="15.5">
      <c r="A129" s="185"/>
      <c r="B129" s="181"/>
      <c r="C129" s="175"/>
      <c r="D129" s="145" t="s">
        <v>1209</v>
      </c>
      <c r="E129" s="10"/>
      <c r="F129" s="8" t="s">
        <v>23</v>
      </c>
      <c r="G129" s="135"/>
      <c r="H129" s="135"/>
      <c r="I129" s="134"/>
      <c r="J129" s="135"/>
      <c r="K129" s="2"/>
    </row>
    <row r="130" spans="1:11" ht="15.5">
      <c r="A130" s="185"/>
      <c r="B130" s="181"/>
      <c r="C130" s="175"/>
      <c r="D130" s="145" t="s">
        <v>1210</v>
      </c>
      <c r="E130" s="10"/>
      <c r="F130" s="8" t="s">
        <v>16</v>
      </c>
      <c r="G130" s="135"/>
      <c r="H130" s="135"/>
      <c r="I130" s="134"/>
      <c r="J130" s="135"/>
      <c r="K130" s="2"/>
    </row>
    <row r="131" spans="1:11" ht="15.5">
      <c r="A131" s="185"/>
      <c r="B131" s="181"/>
      <c r="C131" s="176"/>
      <c r="D131" s="145" t="s">
        <v>1211</v>
      </c>
      <c r="E131" s="10"/>
      <c r="F131" s="8" t="s">
        <v>16</v>
      </c>
      <c r="G131" s="135"/>
      <c r="H131" s="135"/>
      <c r="I131" s="134"/>
      <c r="J131" s="135"/>
      <c r="K131" s="2"/>
    </row>
    <row r="132" spans="1:11" ht="15.5">
      <c r="A132" s="185"/>
      <c r="B132" s="181"/>
      <c r="C132" s="174" t="s">
        <v>1212</v>
      </c>
      <c r="D132" s="145" t="s">
        <v>1213</v>
      </c>
      <c r="E132" s="10"/>
      <c r="F132" s="8" t="s">
        <v>16</v>
      </c>
      <c r="G132" s="135"/>
      <c r="H132" s="135"/>
      <c r="I132" s="134"/>
      <c r="J132" s="135"/>
      <c r="K132" s="2"/>
    </row>
    <row r="133" spans="1:11" ht="15.5">
      <c r="A133" s="185"/>
      <c r="B133" s="181"/>
      <c r="C133" s="175"/>
      <c r="D133" s="145" t="s">
        <v>1214</v>
      </c>
      <c r="E133" s="10"/>
      <c r="F133" s="8" t="s">
        <v>23</v>
      </c>
      <c r="G133" s="135"/>
      <c r="H133" s="135"/>
      <c r="I133" s="134"/>
      <c r="J133" s="135"/>
      <c r="K133" s="2"/>
    </row>
    <row r="134" spans="1:11" ht="15.5">
      <c r="A134" s="185"/>
      <c r="B134" s="181"/>
      <c r="C134" s="175"/>
      <c r="D134" s="145" t="s">
        <v>1215</v>
      </c>
      <c r="E134" s="10"/>
      <c r="F134" s="8" t="s">
        <v>16</v>
      </c>
      <c r="G134" s="135"/>
      <c r="H134" s="135"/>
      <c r="I134" s="134"/>
      <c r="J134" s="135"/>
      <c r="K134" s="2"/>
    </row>
    <row r="135" spans="1:11" ht="15.5">
      <c r="A135" s="185"/>
      <c r="B135" s="181"/>
      <c r="C135" s="175"/>
      <c r="D135" s="145" t="s">
        <v>1216</v>
      </c>
      <c r="E135" s="10"/>
      <c r="F135" s="8" t="s">
        <v>16</v>
      </c>
      <c r="G135" s="135"/>
      <c r="H135" s="135"/>
      <c r="I135" s="134"/>
      <c r="J135" s="135"/>
      <c r="K135" s="2"/>
    </row>
    <row r="136" spans="1:11" ht="15.5">
      <c r="A136" s="185"/>
      <c r="B136" s="181"/>
      <c r="C136" s="176"/>
      <c r="D136" s="145" t="s">
        <v>1217</v>
      </c>
      <c r="E136" s="10"/>
      <c r="F136" s="8" t="s">
        <v>16</v>
      </c>
      <c r="G136" s="135"/>
      <c r="H136" s="135"/>
      <c r="I136" s="134"/>
      <c r="J136" s="135"/>
      <c r="K136" s="2"/>
    </row>
    <row r="137" spans="1:11" ht="15.5">
      <c r="A137" s="185"/>
      <c r="B137" s="181"/>
      <c r="C137" s="174" t="s">
        <v>1218</v>
      </c>
      <c r="D137" s="145" t="s">
        <v>1219</v>
      </c>
      <c r="E137" s="10"/>
      <c r="F137" s="8" t="s">
        <v>16</v>
      </c>
      <c r="G137" s="135"/>
      <c r="H137" s="135"/>
      <c r="I137" s="134"/>
      <c r="J137" s="135"/>
      <c r="K137" s="2"/>
    </row>
    <row r="138" spans="1:11" ht="15.5">
      <c r="A138" s="185"/>
      <c r="B138" s="181"/>
      <c r="C138" s="175"/>
      <c r="D138" s="145" t="s">
        <v>1220</v>
      </c>
      <c r="E138" s="10"/>
      <c r="F138" s="8" t="s">
        <v>16</v>
      </c>
      <c r="G138" s="135"/>
      <c r="H138" s="135"/>
      <c r="I138" s="134"/>
      <c r="J138" s="135"/>
      <c r="K138" s="2"/>
    </row>
    <row r="139" spans="1:11" ht="15.5">
      <c r="A139" s="185"/>
      <c r="B139" s="181"/>
      <c r="C139" s="175"/>
      <c r="D139" s="145" t="s">
        <v>1221</v>
      </c>
      <c r="E139" s="10"/>
      <c r="F139" s="8" t="s">
        <v>16</v>
      </c>
      <c r="G139" s="135"/>
      <c r="H139" s="135"/>
      <c r="I139" s="134"/>
      <c r="J139" s="135"/>
      <c r="K139" s="2"/>
    </row>
    <row r="140" spans="1:11" ht="15.5">
      <c r="A140" s="185"/>
      <c r="B140" s="181"/>
      <c r="C140" s="175"/>
      <c r="D140" s="145" t="s">
        <v>1222</v>
      </c>
      <c r="E140" s="10"/>
      <c r="F140" s="8" t="s">
        <v>16</v>
      </c>
      <c r="G140" s="135"/>
      <c r="H140" s="135"/>
      <c r="I140" s="134"/>
      <c r="J140" s="135"/>
      <c r="K140" s="2"/>
    </row>
    <row r="141" spans="1:11" ht="15.5">
      <c r="A141" s="185"/>
      <c r="B141" s="181"/>
      <c r="C141" s="176"/>
      <c r="D141" s="145" t="s">
        <v>1223</v>
      </c>
      <c r="E141" s="10"/>
      <c r="F141" s="8" t="s">
        <v>58</v>
      </c>
      <c r="G141" s="135"/>
      <c r="H141" s="135"/>
      <c r="I141" s="134"/>
      <c r="J141" s="135"/>
      <c r="K141" s="2"/>
    </row>
    <row r="142" spans="1:11" ht="15.5">
      <c r="A142" s="185"/>
      <c r="B142" s="181"/>
      <c r="C142" s="174" t="s">
        <v>1224</v>
      </c>
      <c r="D142" s="145" t="s">
        <v>1225</v>
      </c>
      <c r="E142" s="10"/>
      <c r="F142" s="8" t="s">
        <v>16</v>
      </c>
      <c r="G142" s="135"/>
      <c r="H142" s="135"/>
      <c r="I142" s="134"/>
      <c r="J142" s="135"/>
      <c r="K142" s="2"/>
    </row>
    <row r="143" spans="1:11" ht="15.5">
      <c r="A143" s="185"/>
      <c r="B143" s="181"/>
      <c r="C143" s="175"/>
      <c r="D143" s="145" t="s">
        <v>1226</v>
      </c>
      <c r="E143" s="10"/>
      <c r="F143" s="8" t="s">
        <v>16</v>
      </c>
      <c r="G143" s="135"/>
      <c r="H143" s="135"/>
      <c r="I143" s="134"/>
      <c r="J143" s="135"/>
      <c r="K143" s="2"/>
    </row>
    <row r="144" spans="1:11" ht="15.5">
      <c r="A144" s="185"/>
      <c r="B144" s="181"/>
      <c r="C144" s="175"/>
      <c r="D144" s="145" t="s">
        <v>1227</v>
      </c>
      <c r="E144" s="10"/>
      <c r="F144" s="8" t="s">
        <v>16</v>
      </c>
      <c r="G144" s="135"/>
      <c r="H144" s="135"/>
      <c r="I144" s="134"/>
      <c r="J144" s="135"/>
      <c r="K144" s="2"/>
    </row>
    <row r="145" spans="1:11" ht="15.5">
      <c r="A145" s="185"/>
      <c r="B145" s="181"/>
      <c r="C145" s="175"/>
      <c r="D145" s="145" t="s">
        <v>1228</v>
      </c>
      <c r="E145" s="10"/>
      <c r="F145" s="8" t="s">
        <v>16</v>
      </c>
      <c r="G145" s="135"/>
      <c r="H145" s="135"/>
      <c r="I145" s="134"/>
      <c r="J145" s="135"/>
      <c r="K145" s="2"/>
    </row>
    <row r="146" spans="1:11" ht="15.5">
      <c r="A146" s="185"/>
      <c r="B146" s="181"/>
      <c r="C146" s="176"/>
      <c r="D146" s="145" t="s">
        <v>1229</v>
      </c>
      <c r="E146" s="10"/>
      <c r="F146" s="8" t="s">
        <v>23</v>
      </c>
      <c r="G146" s="135"/>
      <c r="H146" s="135"/>
      <c r="I146" s="134"/>
      <c r="J146" s="135"/>
      <c r="K146" s="2"/>
    </row>
    <row r="147" spans="1:11" ht="15.5">
      <c r="A147" s="185"/>
      <c r="B147" s="181"/>
      <c r="C147" s="174" t="s">
        <v>1230</v>
      </c>
      <c r="D147" s="145" t="s">
        <v>1231</v>
      </c>
      <c r="E147" s="10"/>
      <c r="F147" s="8" t="s">
        <v>16</v>
      </c>
      <c r="G147" s="135"/>
      <c r="H147" s="135"/>
      <c r="I147" s="134"/>
      <c r="J147" s="135"/>
      <c r="K147" s="2"/>
    </row>
    <row r="148" spans="1:11" ht="15.5">
      <c r="A148" s="185"/>
      <c r="B148" s="181"/>
      <c r="C148" s="175"/>
      <c r="D148" s="145" t="s">
        <v>1232</v>
      </c>
      <c r="E148" s="10"/>
      <c r="F148" s="8" t="s">
        <v>16</v>
      </c>
      <c r="G148" s="135"/>
      <c r="H148" s="135"/>
      <c r="I148" s="134"/>
      <c r="J148" s="135"/>
      <c r="K148" s="2"/>
    </row>
    <row r="149" spans="1:11" ht="15.5">
      <c r="A149" s="185"/>
      <c r="B149" s="181"/>
      <c r="C149" s="175"/>
      <c r="D149" s="145" t="s">
        <v>1233</v>
      </c>
      <c r="E149" s="10"/>
      <c r="F149" s="8" t="s">
        <v>16</v>
      </c>
      <c r="G149" s="135"/>
      <c r="H149" s="135"/>
      <c r="I149" s="134"/>
      <c r="J149" s="135"/>
      <c r="K149" s="2"/>
    </row>
    <row r="150" spans="1:11" ht="15.5">
      <c r="A150" s="185"/>
      <c r="B150" s="181"/>
      <c r="C150" s="175"/>
      <c r="D150" s="145" t="s">
        <v>1234</v>
      </c>
      <c r="E150" s="10"/>
      <c r="F150" s="8" t="s">
        <v>16</v>
      </c>
      <c r="G150" s="135"/>
      <c r="H150" s="135"/>
      <c r="I150" s="134"/>
      <c r="J150" s="135"/>
      <c r="K150" s="2"/>
    </row>
    <row r="151" spans="1:11" ht="16" thickBot="1">
      <c r="A151" s="185"/>
      <c r="B151" s="181"/>
      <c r="C151" s="176"/>
      <c r="D151" s="146" t="s">
        <v>1235</v>
      </c>
      <c r="E151" s="10" t="s">
        <v>1236</v>
      </c>
      <c r="F151" s="8" t="s">
        <v>16</v>
      </c>
      <c r="G151" s="135"/>
      <c r="H151" s="135"/>
      <c r="I151" s="134"/>
      <c r="J151" s="135"/>
      <c r="K151" s="2"/>
    </row>
    <row r="152" spans="1:11" ht="15.5">
      <c r="A152" s="185"/>
      <c r="B152" s="183" t="s">
        <v>1116</v>
      </c>
      <c r="C152" s="174" t="s">
        <v>1237</v>
      </c>
      <c r="D152" s="147" t="s">
        <v>1238</v>
      </c>
      <c r="E152" s="10"/>
      <c r="F152" s="8" t="s">
        <v>16</v>
      </c>
      <c r="G152" s="135" t="s">
        <v>1239</v>
      </c>
      <c r="H152" s="135" t="s">
        <v>1240</v>
      </c>
      <c r="I152" s="134" t="s">
        <v>26</v>
      </c>
      <c r="J152" s="135" t="s">
        <v>1241</v>
      </c>
      <c r="K152" s="2"/>
    </row>
    <row r="153" spans="1:11" ht="15.5">
      <c r="A153" s="185"/>
      <c r="B153" s="181"/>
      <c r="C153" s="175"/>
      <c r="D153" s="147" t="s">
        <v>1242</v>
      </c>
      <c r="E153" s="10"/>
      <c r="F153" s="8" t="s">
        <v>16</v>
      </c>
      <c r="G153" s="135"/>
      <c r="H153" s="135"/>
      <c r="I153" s="134"/>
      <c r="J153" s="135"/>
      <c r="K153" s="2"/>
    </row>
    <row r="154" spans="1:11" ht="15.5">
      <c r="A154" s="185"/>
      <c r="B154" s="181"/>
      <c r="C154" s="175"/>
      <c r="D154" s="147" t="s">
        <v>1243</v>
      </c>
      <c r="E154" s="10"/>
      <c r="F154" s="8" t="s">
        <v>16</v>
      </c>
      <c r="G154" s="135"/>
      <c r="H154" s="135"/>
      <c r="I154" s="134"/>
      <c r="J154" s="135"/>
      <c r="K154" s="2"/>
    </row>
    <row r="155" spans="1:11" ht="15.5">
      <c r="A155" s="185"/>
      <c r="B155" s="181"/>
      <c r="C155" s="175"/>
      <c r="D155" s="147" t="s">
        <v>1244</v>
      </c>
      <c r="E155" s="10"/>
      <c r="F155" s="8" t="s">
        <v>16</v>
      </c>
      <c r="G155" s="135"/>
      <c r="H155" s="135"/>
      <c r="I155" s="134"/>
      <c r="J155" s="135"/>
      <c r="K155" s="2"/>
    </row>
    <row r="156" spans="1:11" ht="15.5">
      <c r="A156" s="185"/>
      <c r="B156" s="181"/>
      <c r="C156" s="176"/>
      <c r="D156" s="148" t="s">
        <v>1245</v>
      </c>
      <c r="E156" s="10"/>
      <c r="F156" s="8" t="s">
        <v>16</v>
      </c>
      <c r="G156" s="135"/>
      <c r="H156" s="135"/>
      <c r="I156" s="134"/>
      <c r="J156" s="135"/>
      <c r="K156" s="2"/>
    </row>
    <row r="157" spans="1:11" ht="15.5">
      <c r="A157" s="185"/>
      <c r="B157" s="181"/>
      <c r="C157" s="174" t="s">
        <v>1246</v>
      </c>
      <c r="D157" s="147" t="s">
        <v>1247</v>
      </c>
      <c r="E157" s="10"/>
      <c r="F157" s="8" t="s">
        <v>16</v>
      </c>
      <c r="G157" s="135"/>
      <c r="H157" s="135"/>
      <c r="I157" s="134"/>
      <c r="J157" s="135"/>
      <c r="K157" s="2"/>
    </row>
    <row r="158" spans="1:11" ht="15.5">
      <c r="A158" s="185"/>
      <c r="B158" s="181"/>
      <c r="C158" s="175"/>
      <c r="D158" s="147" t="s">
        <v>1248</v>
      </c>
      <c r="E158" s="10"/>
      <c r="F158" s="8" t="s">
        <v>16</v>
      </c>
      <c r="G158" s="135"/>
      <c r="H158" s="135"/>
      <c r="I158" s="134"/>
      <c r="J158" s="135"/>
      <c r="K158" s="2"/>
    </row>
    <row r="159" spans="1:11" ht="15.5">
      <c r="A159" s="185"/>
      <c r="B159" s="181"/>
      <c r="C159" s="175"/>
      <c r="D159" s="147" t="s">
        <v>1249</v>
      </c>
      <c r="E159" s="10"/>
      <c r="F159" s="8" t="s">
        <v>16</v>
      </c>
      <c r="G159" s="135"/>
      <c r="H159" s="135"/>
      <c r="I159" s="134"/>
      <c r="J159" s="135"/>
      <c r="K159" s="2"/>
    </row>
    <row r="160" spans="1:11" ht="15.5">
      <c r="A160" s="185"/>
      <c r="B160" s="181"/>
      <c r="C160" s="175"/>
      <c r="D160" s="147" t="s">
        <v>1250</v>
      </c>
      <c r="E160" s="10"/>
      <c r="F160" s="8" t="s">
        <v>16</v>
      </c>
      <c r="G160" s="135"/>
      <c r="H160" s="135"/>
      <c r="I160" s="134"/>
      <c r="J160" s="135"/>
      <c r="K160" s="2"/>
    </row>
    <row r="161" spans="1:11" ht="15.5">
      <c r="A161" s="185"/>
      <c r="B161" s="181"/>
      <c r="C161" s="176"/>
      <c r="D161" s="148" t="s">
        <v>1251</v>
      </c>
      <c r="E161" s="10"/>
      <c r="F161" s="8" t="s">
        <v>16</v>
      </c>
      <c r="G161" s="135"/>
      <c r="H161" s="135"/>
      <c r="I161" s="134"/>
      <c r="J161" s="135"/>
      <c r="K161" s="2"/>
    </row>
    <row r="162" spans="1:11" ht="15.5">
      <c r="A162" s="185"/>
      <c r="B162" s="181"/>
      <c r="C162" s="174" t="s">
        <v>1252</v>
      </c>
      <c r="D162" s="147" t="s">
        <v>1253</v>
      </c>
      <c r="E162" s="10"/>
      <c r="F162" s="8" t="s">
        <v>16</v>
      </c>
      <c r="G162" s="135"/>
      <c r="H162" s="135"/>
      <c r="I162" s="134"/>
      <c r="J162" s="135"/>
      <c r="K162" s="2"/>
    </row>
    <row r="163" spans="1:11" ht="15.5">
      <c r="A163" s="185"/>
      <c r="B163" s="181"/>
      <c r="C163" s="175"/>
      <c r="D163" s="147" t="s">
        <v>1254</v>
      </c>
      <c r="E163" s="10"/>
      <c r="F163" s="8" t="s">
        <v>16</v>
      </c>
      <c r="G163" s="135"/>
      <c r="H163" s="135"/>
      <c r="I163" s="134"/>
      <c r="J163" s="135"/>
      <c r="K163" s="2"/>
    </row>
    <row r="164" spans="1:11" ht="15.5">
      <c r="A164" s="185"/>
      <c r="B164" s="181"/>
      <c r="C164" s="175"/>
      <c r="D164" s="147" t="s">
        <v>1255</v>
      </c>
      <c r="E164" s="10"/>
      <c r="F164" s="8" t="s">
        <v>16</v>
      </c>
      <c r="G164" s="135"/>
      <c r="H164" s="135"/>
      <c r="I164" s="134"/>
      <c r="J164" s="135"/>
      <c r="K164" s="2"/>
    </row>
    <row r="165" spans="1:11" ht="15.5">
      <c r="A165" s="185"/>
      <c r="B165" s="181"/>
      <c r="C165" s="175"/>
      <c r="D165" s="147" t="s">
        <v>1256</v>
      </c>
      <c r="E165" s="10"/>
      <c r="F165" s="8" t="s">
        <v>16</v>
      </c>
      <c r="G165" s="135"/>
      <c r="H165" s="135"/>
      <c r="I165" s="134"/>
      <c r="J165" s="135"/>
      <c r="K165" s="2"/>
    </row>
    <row r="166" spans="1:11" ht="15.5">
      <c r="A166" s="185"/>
      <c r="B166" s="181"/>
      <c r="C166" s="176"/>
      <c r="D166" s="147" t="s">
        <v>1257</v>
      </c>
      <c r="E166" s="10"/>
      <c r="F166" s="8" t="s">
        <v>16</v>
      </c>
      <c r="G166" s="135"/>
      <c r="H166" s="135"/>
      <c r="I166" s="134"/>
      <c r="J166" s="135"/>
      <c r="K166" s="2"/>
    </row>
    <row r="167" spans="1:11" ht="15.5">
      <c r="A167" s="185"/>
      <c r="B167" s="181"/>
      <c r="C167" s="174" t="s">
        <v>1258</v>
      </c>
      <c r="D167" s="147" t="s">
        <v>1259</v>
      </c>
      <c r="E167" s="10"/>
      <c r="F167" s="8" t="s">
        <v>16</v>
      </c>
      <c r="G167" s="135"/>
      <c r="H167" s="135"/>
      <c r="I167" s="134"/>
      <c r="J167" s="135"/>
      <c r="K167" s="2"/>
    </row>
    <row r="168" spans="1:11" ht="15.5">
      <c r="A168" s="185"/>
      <c r="B168" s="181"/>
      <c r="C168" s="175"/>
      <c r="D168" s="147" t="s">
        <v>1260</v>
      </c>
      <c r="E168" s="10"/>
      <c r="F168" s="8" t="s">
        <v>16</v>
      </c>
      <c r="G168" s="135"/>
      <c r="H168" s="135"/>
      <c r="I168" s="134"/>
      <c r="J168" s="135"/>
      <c r="K168" s="2"/>
    </row>
    <row r="169" spans="1:11" ht="15.5">
      <c r="A169" s="185"/>
      <c r="B169" s="181"/>
      <c r="C169" s="175"/>
      <c r="D169" s="147" t="s">
        <v>1261</v>
      </c>
      <c r="E169" s="10"/>
      <c r="F169" s="8" t="s">
        <v>16</v>
      </c>
      <c r="G169" s="135"/>
      <c r="H169" s="135"/>
      <c r="I169" s="134"/>
      <c r="J169" s="135"/>
      <c r="K169" s="2"/>
    </row>
    <row r="170" spans="1:11" ht="15.5">
      <c r="A170" s="185"/>
      <c r="B170" s="181"/>
      <c r="C170" s="175"/>
      <c r="D170" s="147" t="s">
        <v>1262</v>
      </c>
      <c r="E170" s="10"/>
      <c r="F170" s="8" t="s">
        <v>16</v>
      </c>
      <c r="G170" s="135"/>
      <c r="H170" s="135"/>
      <c r="I170" s="134"/>
      <c r="J170" s="135"/>
      <c r="K170" s="2"/>
    </row>
    <row r="171" spans="1:11" ht="15.5">
      <c r="A171" s="185"/>
      <c r="B171" s="181"/>
      <c r="C171" s="176"/>
      <c r="D171" s="147" t="s">
        <v>1263</v>
      </c>
      <c r="E171" s="10"/>
      <c r="F171" s="8" t="s">
        <v>16</v>
      </c>
      <c r="G171" s="135"/>
      <c r="H171" s="135"/>
      <c r="I171" s="134"/>
      <c r="J171" s="135"/>
      <c r="K171" s="2"/>
    </row>
    <row r="172" spans="1:11" ht="15.5">
      <c r="A172" s="185"/>
      <c r="B172" s="181"/>
      <c r="C172" s="174" t="s">
        <v>1264</v>
      </c>
      <c r="D172" s="147" t="s">
        <v>1265</v>
      </c>
      <c r="E172" s="10"/>
      <c r="F172" s="8" t="s">
        <v>16</v>
      </c>
      <c r="G172" s="135"/>
      <c r="H172" s="135"/>
      <c r="I172" s="134"/>
      <c r="J172" s="135"/>
      <c r="K172" s="2"/>
    </row>
    <row r="173" spans="1:11" ht="15.5">
      <c r="A173" s="185"/>
      <c r="B173" s="181"/>
      <c r="C173" s="175"/>
      <c r="D173" s="147" t="s">
        <v>1266</v>
      </c>
      <c r="E173" s="10"/>
      <c r="F173" s="8" t="s">
        <v>16</v>
      </c>
      <c r="G173" s="135"/>
      <c r="H173" s="135"/>
      <c r="I173" s="134"/>
      <c r="J173" s="135"/>
      <c r="K173" s="2"/>
    </row>
    <row r="174" spans="1:11" ht="15.5">
      <c r="A174" s="185"/>
      <c r="B174" s="181"/>
      <c r="C174" s="175"/>
      <c r="D174" s="147" t="s">
        <v>1267</v>
      </c>
      <c r="E174" s="10"/>
      <c r="F174" s="8" t="s">
        <v>16</v>
      </c>
      <c r="G174" s="135"/>
      <c r="H174" s="135"/>
      <c r="I174" s="134"/>
      <c r="J174" s="135"/>
      <c r="K174" s="2"/>
    </row>
    <row r="175" spans="1:11" ht="15.5">
      <c r="A175" s="185"/>
      <c r="B175" s="181"/>
      <c r="C175" s="175"/>
      <c r="D175" s="147" t="s">
        <v>1268</v>
      </c>
      <c r="E175" s="10"/>
      <c r="F175" s="8" t="s">
        <v>16</v>
      </c>
      <c r="G175" s="135"/>
      <c r="H175" s="135"/>
      <c r="I175" s="134"/>
      <c r="J175" s="135"/>
      <c r="K175" s="2"/>
    </row>
    <row r="176" spans="1:11" ht="15.5">
      <c r="A176" s="185"/>
      <c r="B176" s="181"/>
      <c r="C176" s="176"/>
      <c r="D176" s="147" t="s">
        <v>1269</v>
      </c>
      <c r="E176" s="10"/>
      <c r="F176" s="8" t="s">
        <v>16</v>
      </c>
      <c r="G176" s="135"/>
      <c r="H176" s="135"/>
      <c r="I176" s="134"/>
      <c r="J176" s="135"/>
      <c r="K176" s="2"/>
    </row>
    <row r="177" spans="1:11" ht="15.5">
      <c r="A177" s="185"/>
      <c r="B177" s="181"/>
      <c r="C177" s="174" t="s">
        <v>1270</v>
      </c>
      <c r="D177" s="147" t="s">
        <v>1271</v>
      </c>
      <c r="E177" s="10"/>
      <c r="F177" s="8" t="s">
        <v>16</v>
      </c>
      <c r="G177" s="135"/>
      <c r="H177" s="135"/>
      <c r="I177" s="134"/>
      <c r="J177" s="135"/>
      <c r="K177" s="2"/>
    </row>
    <row r="178" spans="1:11" ht="15.5">
      <c r="A178" s="185"/>
      <c r="B178" s="181"/>
      <c r="C178" s="175"/>
      <c r="D178" s="147" t="s">
        <v>1272</v>
      </c>
      <c r="E178" s="10"/>
      <c r="F178" s="8" t="s">
        <v>16</v>
      </c>
      <c r="G178" s="135"/>
      <c r="H178" s="135"/>
      <c r="I178" s="134"/>
      <c r="J178" s="135"/>
      <c r="K178" s="2"/>
    </row>
    <row r="179" spans="1:11" ht="15.5">
      <c r="A179" s="185"/>
      <c r="B179" s="181"/>
      <c r="C179" s="175"/>
      <c r="D179" s="147" t="s">
        <v>1273</v>
      </c>
      <c r="E179" s="10"/>
      <c r="F179" s="8" t="s">
        <v>16</v>
      </c>
      <c r="G179" s="135"/>
      <c r="H179" s="135"/>
      <c r="I179" s="134"/>
      <c r="J179" s="135"/>
      <c r="K179" s="2"/>
    </row>
    <row r="180" spans="1:11" ht="15.5">
      <c r="A180" s="185"/>
      <c r="B180" s="181"/>
      <c r="C180" s="175"/>
      <c r="D180" s="147" t="s">
        <v>1274</v>
      </c>
      <c r="E180" s="10"/>
      <c r="F180" s="8" t="s">
        <v>16</v>
      </c>
      <c r="G180" s="135"/>
      <c r="H180" s="135"/>
      <c r="I180" s="134"/>
      <c r="J180" s="135"/>
      <c r="K180" s="2"/>
    </row>
    <row r="181" spans="1:11" ht="16" thickBot="1">
      <c r="A181" s="185"/>
      <c r="B181" s="182"/>
      <c r="C181" s="176"/>
      <c r="D181" s="146" t="s">
        <v>1275</v>
      </c>
      <c r="E181" s="10" t="s">
        <v>1276</v>
      </c>
      <c r="F181" s="8" t="s">
        <v>23</v>
      </c>
      <c r="G181" s="135"/>
      <c r="H181" s="135"/>
      <c r="I181" s="134"/>
      <c r="J181" s="135"/>
      <c r="K181" s="2"/>
    </row>
    <row r="182" spans="1:11" ht="15.5">
      <c r="A182" s="186"/>
      <c r="B182" s="183" t="s">
        <v>1277</v>
      </c>
      <c r="C182" s="174" t="s">
        <v>1278</v>
      </c>
      <c r="D182" s="147" t="s">
        <v>1279</v>
      </c>
      <c r="E182" s="10"/>
      <c r="F182" s="8" t="s">
        <v>58</v>
      </c>
      <c r="G182" s="135" t="s">
        <v>1280</v>
      </c>
      <c r="H182" s="135" t="s">
        <v>1281</v>
      </c>
      <c r="I182" s="134" t="s">
        <v>213</v>
      </c>
      <c r="J182" s="135" t="s">
        <v>1282</v>
      </c>
      <c r="K182" s="2"/>
    </row>
    <row r="183" spans="1:11" ht="15.5">
      <c r="A183" s="179" t="s">
        <v>1283</v>
      </c>
      <c r="B183" s="181"/>
      <c r="C183" s="175"/>
      <c r="D183" s="147" t="s">
        <v>1284</v>
      </c>
      <c r="E183" s="10"/>
      <c r="F183" s="8" t="s">
        <v>58</v>
      </c>
      <c r="G183" s="135"/>
      <c r="H183" s="135"/>
      <c r="I183" s="134"/>
      <c r="J183" s="135"/>
      <c r="K183" s="2"/>
    </row>
    <row r="184" spans="1:11" ht="15.5">
      <c r="A184" s="185"/>
      <c r="B184" s="181"/>
      <c r="C184" s="175"/>
      <c r="D184" s="147" t="s">
        <v>1285</v>
      </c>
      <c r="E184" s="10"/>
      <c r="F184" s="8" t="s">
        <v>58</v>
      </c>
      <c r="G184" s="135"/>
      <c r="H184" s="135"/>
      <c r="I184" s="134"/>
      <c r="J184" s="135"/>
      <c r="K184" s="2"/>
    </row>
    <row r="185" spans="1:11" ht="15.5">
      <c r="A185" s="185"/>
      <c r="B185" s="181"/>
      <c r="C185" s="175"/>
      <c r="D185" s="147" t="s">
        <v>1286</v>
      </c>
      <c r="E185" s="10"/>
      <c r="F185" s="8" t="s">
        <v>58</v>
      </c>
      <c r="G185" s="135"/>
      <c r="H185" s="135"/>
      <c r="I185" s="134"/>
      <c r="J185" s="135"/>
      <c r="K185" s="2"/>
    </row>
    <row r="186" spans="1:11" ht="15.5">
      <c r="A186" s="185"/>
      <c r="B186" s="181"/>
      <c r="C186" s="176"/>
      <c r="D186" s="147" t="s">
        <v>1287</v>
      </c>
      <c r="E186" s="10"/>
      <c r="F186" s="8" t="s">
        <v>58</v>
      </c>
      <c r="G186" s="135"/>
      <c r="H186" s="135"/>
      <c r="I186" s="134"/>
      <c r="J186" s="135"/>
      <c r="K186" s="2"/>
    </row>
    <row r="187" spans="1:11" ht="15.5">
      <c r="A187" s="185"/>
      <c r="B187" s="181"/>
      <c r="C187" s="174" t="s">
        <v>1288</v>
      </c>
      <c r="D187" s="147" t="s">
        <v>1289</v>
      </c>
      <c r="E187" s="10"/>
      <c r="F187" s="8" t="s">
        <v>16</v>
      </c>
      <c r="G187" s="135"/>
      <c r="H187" s="135"/>
      <c r="I187" s="134"/>
      <c r="J187" s="135"/>
      <c r="K187" s="2"/>
    </row>
    <row r="188" spans="1:11" ht="15.5">
      <c r="A188" s="185"/>
      <c r="B188" s="181"/>
      <c r="C188" s="175"/>
      <c r="D188" s="147" t="s">
        <v>1290</v>
      </c>
      <c r="E188" s="10"/>
      <c r="F188" s="8" t="s">
        <v>16</v>
      </c>
      <c r="G188" s="135"/>
      <c r="H188" s="135"/>
      <c r="I188" s="134"/>
      <c r="J188" s="135"/>
      <c r="K188" s="2"/>
    </row>
    <row r="189" spans="1:11" ht="15.5">
      <c r="A189" s="185"/>
      <c r="B189" s="181"/>
      <c r="C189" s="175"/>
      <c r="D189" s="147" t="s">
        <v>1291</v>
      </c>
      <c r="E189" s="10"/>
      <c r="F189" s="8" t="s">
        <v>16</v>
      </c>
      <c r="G189" s="135"/>
      <c r="H189" s="135"/>
      <c r="I189" s="134"/>
      <c r="J189" s="135"/>
      <c r="K189" s="2"/>
    </row>
    <row r="190" spans="1:11" ht="15.5">
      <c r="A190" s="185"/>
      <c r="B190" s="181"/>
      <c r="C190" s="175"/>
      <c r="D190" s="147" t="s">
        <v>1292</v>
      </c>
      <c r="E190" s="10"/>
      <c r="F190" s="8" t="s">
        <v>23</v>
      </c>
      <c r="G190" s="135"/>
      <c r="H190" s="135"/>
      <c r="I190" s="134"/>
      <c r="J190" s="135"/>
      <c r="K190" s="2"/>
    </row>
    <row r="191" spans="1:11" ht="15.5">
      <c r="A191" s="185"/>
      <c r="B191" s="181"/>
      <c r="C191" s="176"/>
      <c r="D191" s="147" t="s">
        <v>1293</v>
      </c>
      <c r="E191" s="10"/>
      <c r="F191" s="8" t="s">
        <v>23</v>
      </c>
      <c r="G191" s="135"/>
      <c r="H191" s="135"/>
      <c r="I191" s="134"/>
      <c r="J191" s="135"/>
      <c r="K191" s="2"/>
    </row>
    <row r="192" spans="1:11" ht="15.5">
      <c r="A192" s="185"/>
      <c r="B192" s="181"/>
      <c r="C192" s="174" t="s">
        <v>1294</v>
      </c>
      <c r="D192" s="147" t="s">
        <v>1295</v>
      </c>
      <c r="E192" s="10"/>
      <c r="F192" s="8" t="s">
        <v>16</v>
      </c>
      <c r="G192" s="135"/>
      <c r="H192" s="135"/>
      <c r="I192" s="134"/>
      <c r="J192" s="135"/>
      <c r="K192" s="2"/>
    </row>
    <row r="193" spans="1:11" ht="15.5">
      <c r="A193" s="185"/>
      <c r="B193" s="181"/>
      <c r="C193" s="175"/>
      <c r="D193" s="147" t="s">
        <v>1296</v>
      </c>
      <c r="E193" s="10"/>
      <c r="F193" s="8" t="s">
        <v>58</v>
      </c>
      <c r="G193" s="135"/>
      <c r="H193" s="135"/>
      <c r="I193" s="134"/>
      <c r="J193" s="135"/>
      <c r="K193" s="2"/>
    </row>
    <row r="194" spans="1:11" ht="15.5">
      <c r="A194" s="185"/>
      <c r="B194" s="181"/>
      <c r="C194" s="175"/>
      <c r="D194" s="147" t="s">
        <v>1297</v>
      </c>
      <c r="E194" s="10"/>
      <c r="F194" s="8" t="s">
        <v>16</v>
      </c>
      <c r="G194" s="135"/>
      <c r="H194" s="135"/>
      <c r="I194" s="134"/>
      <c r="J194" s="135"/>
      <c r="K194" s="2"/>
    </row>
    <row r="195" spans="1:11" ht="15.5">
      <c r="A195" s="185"/>
      <c r="B195" s="181"/>
      <c r="C195" s="175"/>
      <c r="D195" s="147" t="s">
        <v>1298</v>
      </c>
      <c r="E195" s="10"/>
      <c r="F195" s="8" t="s">
        <v>58</v>
      </c>
      <c r="G195" s="135"/>
      <c r="H195" s="135"/>
      <c r="I195" s="134"/>
      <c r="J195" s="135"/>
      <c r="K195" s="2"/>
    </row>
    <row r="196" spans="1:11" ht="15.5">
      <c r="A196" s="185"/>
      <c r="B196" s="181"/>
      <c r="C196" s="176"/>
      <c r="D196" s="147" t="s">
        <v>1299</v>
      </c>
      <c r="E196" s="10"/>
      <c r="F196" s="8" t="s">
        <v>16</v>
      </c>
      <c r="G196" s="135"/>
      <c r="H196" s="135"/>
      <c r="I196" s="134"/>
      <c r="J196" s="135"/>
      <c r="K196" s="2"/>
    </row>
    <row r="197" spans="1:11" ht="15.5">
      <c r="A197" s="185"/>
      <c r="B197" s="181"/>
      <c r="C197" s="174" t="s">
        <v>1300</v>
      </c>
      <c r="D197" s="147" t="s">
        <v>1301</v>
      </c>
      <c r="E197" s="10"/>
      <c r="F197" s="8" t="s">
        <v>16</v>
      </c>
      <c r="G197" s="135"/>
      <c r="H197" s="135"/>
      <c r="I197" s="134"/>
      <c r="J197" s="135"/>
      <c r="K197" s="2"/>
    </row>
    <row r="198" spans="1:11" ht="15.5">
      <c r="A198" s="185"/>
      <c r="B198" s="181"/>
      <c r="C198" s="175"/>
      <c r="D198" s="147" t="s">
        <v>1302</v>
      </c>
      <c r="E198" s="10"/>
      <c r="F198" s="8" t="s">
        <v>16</v>
      </c>
      <c r="G198" s="135"/>
      <c r="H198" s="135"/>
      <c r="I198" s="134"/>
      <c r="J198" s="135"/>
      <c r="K198" s="2"/>
    </row>
    <row r="199" spans="1:11" ht="15.5">
      <c r="A199" s="185"/>
      <c r="B199" s="181"/>
      <c r="C199" s="175"/>
      <c r="D199" s="147" t="s">
        <v>1303</v>
      </c>
      <c r="E199" s="10"/>
      <c r="F199" s="8" t="s">
        <v>58</v>
      </c>
      <c r="G199" s="135"/>
      <c r="H199" s="135"/>
      <c r="I199" s="134"/>
      <c r="J199" s="135"/>
      <c r="K199" s="2"/>
    </row>
    <row r="200" spans="1:11" ht="15.5">
      <c r="A200" s="185"/>
      <c r="B200" s="181"/>
      <c r="C200" s="175"/>
      <c r="D200" s="147" t="s">
        <v>1304</v>
      </c>
      <c r="E200" s="10"/>
      <c r="F200" s="8" t="s">
        <v>23</v>
      </c>
      <c r="G200" s="135"/>
      <c r="H200" s="135"/>
      <c r="I200" s="134"/>
      <c r="J200" s="135"/>
      <c r="K200" s="2"/>
    </row>
    <row r="201" spans="1:11" ht="15.5">
      <c r="A201" s="185"/>
      <c r="B201" s="181"/>
      <c r="C201" s="176"/>
      <c r="D201" s="147" t="s">
        <v>1305</v>
      </c>
      <c r="E201" s="10"/>
      <c r="F201" s="8" t="s">
        <v>23</v>
      </c>
      <c r="G201" s="135"/>
      <c r="H201" s="135"/>
      <c r="I201" s="134"/>
      <c r="J201" s="135"/>
      <c r="K201" s="2"/>
    </row>
    <row r="202" spans="1:11" ht="15.5">
      <c r="A202" s="185"/>
      <c r="B202" s="181"/>
      <c r="C202" s="174" t="s">
        <v>1306</v>
      </c>
      <c r="D202" s="147" t="s">
        <v>1307</v>
      </c>
      <c r="E202" s="10"/>
      <c r="F202" s="8" t="s">
        <v>58</v>
      </c>
      <c r="G202" s="135"/>
      <c r="H202" s="135"/>
      <c r="I202" s="134"/>
      <c r="J202" s="135"/>
      <c r="K202" s="2"/>
    </row>
    <row r="203" spans="1:11" ht="15.5">
      <c r="A203" s="185"/>
      <c r="B203" s="181"/>
      <c r="C203" s="175"/>
      <c r="D203" s="147" t="s">
        <v>1308</v>
      </c>
      <c r="E203" s="10"/>
      <c r="F203" s="8" t="s">
        <v>23</v>
      </c>
      <c r="G203" s="135"/>
      <c r="H203" s="135"/>
      <c r="I203" s="134"/>
      <c r="J203" s="135"/>
      <c r="K203" s="2"/>
    </row>
    <row r="204" spans="1:11" ht="15.5">
      <c r="A204" s="185"/>
      <c r="B204" s="181"/>
      <c r="C204" s="175"/>
      <c r="D204" s="147" t="s">
        <v>1309</v>
      </c>
      <c r="E204" s="10"/>
      <c r="F204" s="8" t="s">
        <v>16</v>
      </c>
      <c r="G204" s="135"/>
      <c r="H204" s="135"/>
      <c r="I204" s="134"/>
      <c r="J204" s="135"/>
      <c r="K204" s="2"/>
    </row>
    <row r="205" spans="1:11" ht="15.5">
      <c r="A205" s="185"/>
      <c r="B205" s="181"/>
      <c r="C205" s="175"/>
      <c r="D205" s="147" t="s">
        <v>1310</v>
      </c>
      <c r="E205" s="10"/>
      <c r="F205" s="8" t="s">
        <v>16</v>
      </c>
      <c r="G205" s="135"/>
      <c r="H205" s="135"/>
      <c r="I205" s="134"/>
      <c r="J205" s="135"/>
      <c r="K205" s="2"/>
    </row>
    <row r="206" spans="1:11" ht="15.5">
      <c r="A206" s="185"/>
      <c r="B206" s="181"/>
      <c r="C206" s="176"/>
      <c r="D206" s="147" t="s">
        <v>1311</v>
      </c>
      <c r="E206" s="10"/>
      <c r="F206" s="8" t="s">
        <v>16</v>
      </c>
      <c r="G206" s="135"/>
      <c r="H206" s="135"/>
      <c r="I206" s="134"/>
      <c r="J206" s="135"/>
      <c r="K206" s="2"/>
    </row>
    <row r="207" spans="1:11" ht="15.5">
      <c r="A207" s="185"/>
      <c r="B207" s="181"/>
      <c r="C207" s="174" t="s">
        <v>1312</v>
      </c>
      <c r="D207" s="147" t="s">
        <v>1313</v>
      </c>
      <c r="E207" s="10"/>
      <c r="F207" s="8" t="s">
        <v>16</v>
      </c>
      <c r="G207" s="135"/>
      <c r="H207" s="135"/>
      <c r="I207" s="134"/>
      <c r="J207" s="135"/>
      <c r="K207" s="2"/>
    </row>
    <row r="208" spans="1:11" ht="15.5">
      <c r="A208" s="185"/>
      <c r="B208" s="181"/>
      <c r="C208" s="175"/>
      <c r="D208" s="147" t="s">
        <v>1314</v>
      </c>
      <c r="E208" s="10"/>
      <c r="F208" s="8" t="s">
        <v>16</v>
      </c>
      <c r="G208" s="135"/>
      <c r="H208" s="135"/>
      <c r="I208" s="134"/>
      <c r="J208" s="135"/>
      <c r="K208" s="2"/>
    </row>
    <row r="209" spans="1:11" ht="15.5">
      <c r="A209" s="185"/>
      <c r="B209" s="181"/>
      <c r="C209" s="175"/>
      <c r="D209" s="147" t="s">
        <v>1315</v>
      </c>
      <c r="E209" s="10"/>
      <c r="F209" s="8" t="s">
        <v>16</v>
      </c>
      <c r="G209" s="135"/>
      <c r="H209" s="135"/>
      <c r="I209" s="134"/>
      <c r="J209" s="135"/>
      <c r="K209" s="2"/>
    </row>
    <row r="210" spans="1:11" ht="15.5">
      <c r="A210" s="185"/>
      <c r="B210" s="181"/>
      <c r="C210" s="175"/>
      <c r="D210" s="147" t="s">
        <v>1316</v>
      </c>
      <c r="E210" s="10"/>
      <c r="F210" s="8" t="s">
        <v>16</v>
      </c>
      <c r="G210" s="135"/>
      <c r="H210" s="135"/>
      <c r="I210" s="134"/>
      <c r="J210" s="135"/>
      <c r="K210" s="2"/>
    </row>
    <row r="211" spans="1:11" ht="16" thickBot="1">
      <c r="A211" s="185"/>
      <c r="B211" s="182"/>
      <c r="C211" s="176"/>
      <c r="D211" s="146" t="s">
        <v>1317</v>
      </c>
      <c r="E211" s="10" t="s">
        <v>1318</v>
      </c>
      <c r="F211" s="8" t="s">
        <v>16</v>
      </c>
      <c r="G211" s="135"/>
      <c r="H211" s="135"/>
      <c r="I211" s="134"/>
      <c r="J211" s="135"/>
      <c r="K211" s="2"/>
    </row>
    <row r="212" spans="1:11" ht="15.5">
      <c r="A212" s="185"/>
      <c r="B212" s="181" t="s">
        <v>1319</v>
      </c>
      <c r="C212" s="174" t="s">
        <v>1320</v>
      </c>
      <c r="D212" s="147" t="s">
        <v>1321</v>
      </c>
      <c r="E212" s="10"/>
      <c r="F212" s="8" t="s">
        <v>16</v>
      </c>
      <c r="G212" s="135" t="s">
        <v>1322</v>
      </c>
      <c r="H212" s="135" t="s">
        <v>1323</v>
      </c>
      <c r="I212" s="134" t="s">
        <v>26</v>
      </c>
      <c r="J212" s="135" t="s">
        <v>1324</v>
      </c>
      <c r="K212" s="2"/>
    </row>
    <row r="213" spans="1:11" ht="15.5">
      <c r="A213" s="185"/>
      <c r="B213" s="181"/>
      <c r="C213" s="175"/>
      <c r="D213" s="147" t="s">
        <v>1325</v>
      </c>
      <c r="E213" s="10"/>
      <c r="F213" s="8" t="s">
        <v>16</v>
      </c>
      <c r="G213" s="135"/>
      <c r="H213" s="135"/>
      <c r="I213" s="134"/>
      <c r="J213" s="135"/>
      <c r="K213" s="2"/>
    </row>
    <row r="214" spans="1:11" ht="15.5">
      <c r="A214" s="185"/>
      <c r="B214" s="181"/>
      <c r="C214" s="175"/>
      <c r="D214" s="147" t="s">
        <v>1326</v>
      </c>
      <c r="E214" s="10"/>
      <c r="F214" s="8" t="s">
        <v>16</v>
      </c>
      <c r="G214" s="135"/>
      <c r="H214" s="135"/>
      <c r="I214" s="134"/>
      <c r="J214" s="135"/>
      <c r="K214" s="2"/>
    </row>
    <row r="215" spans="1:11" ht="15.5">
      <c r="A215" s="185"/>
      <c r="B215" s="181"/>
      <c r="C215" s="175"/>
      <c r="D215" s="147" t="s">
        <v>1327</v>
      </c>
      <c r="E215" s="10"/>
      <c r="F215" s="8" t="s">
        <v>16</v>
      </c>
      <c r="G215" s="135"/>
      <c r="H215" s="135"/>
      <c r="I215" s="134"/>
      <c r="J215" s="135"/>
      <c r="K215" s="2"/>
    </row>
    <row r="216" spans="1:11" ht="15.5">
      <c r="A216" s="185"/>
      <c r="B216" s="181"/>
      <c r="C216" s="176"/>
      <c r="D216" s="147" t="s">
        <v>1328</v>
      </c>
      <c r="E216" s="10"/>
      <c r="F216" s="8" t="s">
        <v>16</v>
      </c>
      <c r="G216" s="135"/>
      <c r="H216" s="135"/>
      <c r="I216" s="134"/>
      <c r="J216" s="135"/>
      <c r="K216" s="2"/>
    </row>
    <row r="217" spans="1:11" ht="15.5">
      <c r="A217" s="185"/>
      <c r="B217" s="181"/>
      <c r="C217" s="174" t="s">
        <v>1329</v>
      </c>
      <c r="D217" s="147" t="s">
        <v>1330</v>
      </c>
      <c r="E217" s="10"/>
      <c r="F217" s="8" t="s">
        <v>16</v>
      </c>
      <c r="G217" s="135"/>
      <c r="H217" s="135"/>
      <c r="I217" s="134"/>
      <c r="J217" s="135"/>
      <c r="K217" s="2"/>
    </row>
    <row r="218" spans="1:11" ht="15.5">
      <c r="A218" s="185"/>
      <c r="B218" s="181"/>
      <c r="C218" s="175"/>
      <c r="D218" s="147" t="s">
        <v>1331</v>
      </c>
      <c r="E218" s="10"/>
      <c r="F218" s="8" t="s">
        <v>16</v>
      </c>
      <c r="G218" s="135"/>
      <c r="H218" s="135"/>
      <c r="I218" s="134"/>
      <c r="J218" s="135"/>
      <c r="K218" s="2"/>
    </row>
    <row r="219" spans="1:11" ht="15.5">
      <c r="A219" s="185"/>
      <c r="B219" s="181"/>
      <c r="C219" s="175"/>
      <c r="D219" s="147" t="s">
        <v>1332</v>
      </c>
      <c r="E219" s="10"/>
      <c r="F219" s="8" t="s">
        <v>16</v>
      </c>
      <c r="G219" s="135"/>
      <c r="H219" s="135"/>
      <c r="I219" s="134"/>
      <c r="J219" s="135"/>
      <c r="K219" s="2"/>
    </row>
    <row r="220" spans="1:11" ht="15.5">
      <c r="A220" s="185"/>
      <c r="B220" s="181"/>
      <c r="C220" s="175"/>
      <c r="D220" s="147" t="s">
        <v>1333</v>
      </c>
      <c r="E220" s="10"/>
      <c r="F220" s="8" t="s">
        <v>16</v>
      </c>
      <c r="G220" s="135"/>
      <c r="H220" s="135"/>
      <c r="I220" s="134"/>
      <c r="J220" s="135"/>
      <c r="K220" s="2"/>
    </row>
    <row r="221" spans="1:11" ht="15.5">
      <c r="A221" s="185"/>
      <c r="B221" s="181"/>
      <c r="C221" s="176"/>
      <c r="D221" s="147" t="s">
        <v>1334</v>
      </c>
      <c r="E221" s="10"/>
      <c r="F221" s="8" t="s">
        <v>16</v>
      </c>
      <c r="G221" s="135"/>
      <c r="H221" s="135"/>
      <c r="I221" s="134"/>
      <c r="J221" s="135"/>
      <c r="K221" s="2"/>
    </row>
    <row r="222" spans="1:11" ht="15.5">
      <c r="A222" s="185"/>
      <c r="B222" s="181"/>
      <c r="C222" s="174" t="s">
        <v>1335</v>
      </c>
      <c r="D222" s="147" t="s">
        <v>1336</v>
      </c>
      <c r="E222" s="10"/>
      <c r="F222" s="8" t="s">
        <v>16</v>
      </c>
      <c r="G222" s="135"/>
      <c r="H222" s="135"/>
      <c r="I222" s="134"/>
      <c r="J222" s="135"/>
      <c r="K222" s="2"/>
    </row>
    <row r="223" spans="1:11" ht="15.5">
      <c r="A223" s="185"/>
      <c r="B223" s="181"/>
      <c r="C223" s="175"/>
      <c r="D223" s="147" t="s">
        <v>1337</v>
      </c>
      <c r="E223" s="10"/>
      <c r="F223" s="8" t="s">
        <v>16</v>
      </c>
      <c r="G223" s="135"/>
      <c r="H223" s="135"/>
      <c r="I223" s="134"/>
      <c r="J223" s="135"/>
      <c r="K223" s="2"/>
    </row>
    <row r="224" spans="1:11" ht="15.5">
      <c r="A224" s="185"/>
      <c r="B224" s="181"/>
      <c r="C224" s="175"/>
      <c r="D224" s="147" t="s">
        <v>1338</v>
      </c>
      <c r="E224" s="10"/>
      <c r="F224" s="8" t="s">
        <v>16</v>
      </c>
      <c r="G224" s="135"/>
      <c r="H224" s="135"/>
      <c r="I224" s="134"/>
      <c r="J224" s="135"/>
      <c r="K224" s="2"/>
    </row>
    <row r="225" spans="1:11" ht="15.5">
      <c r="A225" s="185"/>
      <c r="B225" s="181"/>
      <c r="C225" s="175"/>
      <c r="D225" s="147" t="s">
        <v>1339</v>
      </c>
      <c r="E225" s="10"/>
      <c r="F225" s="8" t="s">
        <v>16</v>
      </c>
      <c r="G225" s="135"/>
      <c r="H225" s="135"/>
      <c r="I225" s="134"/>
      <c r="J225" s="135"/>
      <c r="K225" s="2"/>
    </row>
    <row r="226" spans="1:11" ht="15.5">
      <c r="A226" s="185"/>
      <c r="B226" s="181"/>
      <c r="C226" s="176"/>
      <c r="D226" s="147" t="s">
        <v>1340</v>
      </c>
      <c r="E226" s="10"/>
      <c r="F226" s="8" t="s">
        <v>16</v>
      </c>
      <c r="G226" s="135"/>
      <c r="H226" s="135"/>
      <c r="I226" s="134"/>
      <c r="J226" s="135"/>
      <c r="K226" s="2"/>
    </row>
    <row r="227" spans="1:11" ht="15.5">
      <c r="A227" s="185"/>
      <c r="B227" s="181"/>
      <c r="C227" s="174" t="s">
        <v>1341</v>
      </c>
      <c r="D227" s="147" t="s">
        <v>1342</v>
      </c>
      <c r="E227" s="10"/>
      <c r="F227" s="8" t="s">
        <v>16</v>
      </c>
      <c r="G227" s="135"/>
      <c r="H227" s="135"/>
      <c r="I227" s="134"/>
      <c r="J227" s="135"/>
      <c r="K227" s="2"/>
    </row>
    <row r="228" spans="1:11" ht="15.5">
      <c r="A228" s="185"/>
      <c r="B228" s="181"/>
      <c r="C228" s="175"/>
      <c r="D228" s="147" t="s">
        <v>1343</v>
      </c>
      <c r="E228" s="10"/>
      <c r="F228" s="8" t="s">
        <v>16</v>
      </c>
      <c r="G228" s="135"/>
      <c r="H228" s="135"/>
      <c r="I228" s="134"/>
      <c r="J228" s="135"/>
      <c r="K228" s="2"/>
    </row>
    <row r="229" spans="1:11" ht="15.5">
      <c r="A229" s="185"/>
      <c r="B229" s="181"/>
      <c r="C229" s="175"/>
      <c r="D229" s="147" t="s">
        <v>1344</v>
      </c>
      <c r="E229" s="10"/>
      <c r="F229" s="8" t="s">
        <v>16</v>
      </c>
      <c r="G229" s="135"/>
      <c r="H229" s="135"/>
      <c r="I229" s="134"/>
      <c r="J229" s="135"/>
      <c r="K229" s="2"/>
    </row>
    <row r="230" spans="1:11" ht="15.5">
      <c r="A230" s="185"/>
      <c r="B230" s="181"/>
      <c r="C230" s="175"/>
      <c r="D230" s="147" t="s">
        <v>1345</v>
      </c>
      <c r="E230" s="10"/>
      <c r="F230" s="8" t="s">
        <v>16</v>
      </c>
      <c r="G230" s="135"/>
      <c r="H230" s="135"/>
      <c r="I230" s="134"/>
      <c r="J230" s="135"/>
      <c r="K230" s="2"/>
    </row>
    <row r="231" spans="1:11" ht="15.5">
      <c r="A231" s="185"/>
      <c r="B231" s="181"/>
      <c r="C231" s="176"/>
      <c r="D231" s="147" t="s">
        <v>1346</v>
      </c>
      <c r="E231" s="10"/>
      <c r="F231" s="8" t="s">
        <v>16</v>
      </c>
      <c r="G231" s="135"/>
      <c r="H231" s="135"/>
      <c r="I231" s="134"/>
      <c r="J231" s="135"/>
      <c r="K231" s="2"/>
    </row>
    <row r="232" spans="1:11" ht="15.5">
      <c r="A232" s="185"/>
      <c r="B232" s="181"/>
      <c r="C232" s="174" t="s">
        <v>1347</v>
      </c>
      <c r="D232" s="147" t="s">
        <v>1348</v>
      </c>
      <c r="E232" s="10"/>
      <c r="F232" s="8" t="s">
        <v>16</v>
      </c>
      <c r="G232" s="135"/>
      <c r="H232" s="135"/>
      <c r="I232" s="134"/>
      <c r="J232" s="135"/>
      <c r="K232" s="2"/>
    </row>
    <row r="233" spans="1:11" ht="15.5">
      <c r="A233" s="185"/>
      <c r="B233" s="181"/>
      <c r="C233" s="175"/>
      <c r="D233" s="147" t="s">
        <v>1349</v>
      </c>
      <c r="E233" s="10"/>
      <c r="F233" s="8" t="s">
        <v>16</v>
      </c>
      <c r="G233" s="135"/>
      <c r="H233" s="135"/>
      <c r="I233" s="134"/>
      <c r="J233" s="135"/>
      <c r="K233" s="2"/>
    </row>
    <row r="234" spans="1:11" ht="15.5">
      <c r="A234" s="185"/>
      <c r="B234" s="181"/>
      <c r="C234" s="175"/>
      <c r="D234" s="147" t="s">
        <v>1350</v>
      </c>
      <c r="E234" s="10"/>
      <c r="F234" s="8" t="s">
        <v>16</v>
      </c>
      <c r="G234" s="135"/>
      <c r="H234" s="135"/>
      <c r="I234" s="134"/>
      <c r="J234" s="135"/>
      <c r="K234" s="2"/>
    </row>
    <row r="235" spans="1:11" ht="15.5">
      <c r="A235" s="185"/>
      <c r="B235" s="181"/>
      <c r="C235" s="175"/>
      <c r="D235" s="147" t="s">
        <v>1351</v>
      </c>
      <c r="E235" s="10"/>
      <c r="F235" s="8" t="s">
        <v>16</v>
      </c>
      <c r="G235" s="135"/>
      <c r="H235" s="135"/>
      <c r="I235" s="134"/>
      <c r="J235" s="135"/>
      <c r="K235" s="2"/>
    </row>
    <row r="236" spans="1:11" ht="15.5">
      <c r="A236" s="185"/>
      <c r="B236" s="181"/>
      <c r="C236" s="176"/>
      <c r="D236" s="147" t="s">
        <v>1352</v>
      </c>
      <c r="E236" s="10"/>
      <c r="F236" s="8" t="s">
        <v>23</v>
      </c>
      <c r="G236" s="135"/>
      <c r="H236" s="135"/>
      <c r="I236" s="134"/>
      <c r="J236" s="135"/>
      <c r="K236" s="2"/>
    </row>
    <row r="237" spans="1:11" ht="15.5">
      <c r="A237" s="185"/>
      <c r="B237" s="181"/>
      <c r="C237" s="174" t="s">
        <v>1353</v>
      </c>
      <c r="D237" s="149" t="s">
        <v>1354</v>
      </c>
      <c r="E237" s="10"/>
      <c r="F237" s="8" t="s">
        <v>23</v>
      </c>
      <c r="G237" s="135"/>
      <c r="H237" s="135"/>
      <c r="I237" s="134"/>
      <c r="J237" s="135"/>
      <c r="K237" s="2"/>
    </row>
    <row r="238" spans="1:11" ht="15.5">
      <c r="A238" s="185"/>
      <c r="B238" s="181"/>
      <c r="C238" s="175"/>
      <c r="D238" s="149" t="s">
        <v>1355</v>
      </c>
      <c r="E238" s="10"/>
      <c r="F238" s="8" t="s">
        <v>58</v>
      </c>
      <c r="G238" s="135"/>
      <c r="H238" s="135"/>
      <c r="I238" s="134"/>
      <c r="J238" s="135"/>
      <c r="K238" s="2"/>
    </row>
    <row r="239" spans="1:11" ht="15.5">
      <c r="A239" s="185"/>
      <c r="B239" s="181"/>
      <c r="C239" s="175"/>
      <c r="D239" s="149" t="s">
        <v>1356</v>
      </c>
      <c r="E239" s="10"/>
      <c r="F239" s="8" t="s">
        <v>16</v>
      </c>
      <c r="G239" s="135"/>
      <c r="H239" s="135"/>
      <c r="I239" s="134"/>
      <c r="J239" s="135"/>
      <c r="K239" s="2"/>
    </row>
    <row r="240" spans="1:11" ht="15.5">
      <c r="A240" s="185"/>
      <c r="B240" s="181"/>
      <c r="C240" s="175"/>
      <c r="D240" s="150" t="s">
        <v>1357</v>
      </c>
      <c r="E240" s="10"/>
      <c r="F240" s="8" t="s">
        <v>16</v>
      </c>
      <c r="G240" s="135"/>
      <c r="H240" s="135"/>
      <c r="I240" s="134"/>
      <c r="J240" s="135"/>
      <c r="K240" s="2"/>
    </row>
    <row r="241" spans="1:11" ht="16" thickBot="1">
      <c r="A241" s="185"/>
      <c r="B241" s="181"/>
      <c r="C241" s="176"/>
      <c r="D241" s="146" t="s">
        <v>1358</v>
      </c>
      <c r="E241" s="10"/>
      <c r="F241" s="8" t="s">
        <v>23</v>
      </c>
      <c r="G241" s="135"/>
      <c r="H241" s="135"/>
      <c r="I241" s="134"/>
      <c r="J241" s="135"/>
      <c r="K241" s="2"/>
    </row>
    <row r="242" spans="1:11" ht="15.5">
      <c r="A242" s="185"/>
      <c r="B242" s="183" t="s">
        <v>1359</v>
      </c>
      <c r="C242" s="174" t="s">
        <v>1360</v>
      </c>
      <c r="D242" s="147" t="s">
        <v>1361</v>
      </c>
      <c r="E242" s="10"/>
      <c r="F242" s="8" t="s">
        <v>58</v>
      </c>
      <c r="G242" s="135"/>
      <c r="H242" s="135"/>
      <c r="I242" s="134"/>
      <c r="J242" s="135"/>
      <c r="K242" s="2"/>
    </row>
    <row r="243" spans="1:11" ht="15.5">
      <c r="A243" s="185"/>
      <c r="B243" s="181"/>
      <c r="C243" s="175"/>
      <c r="D243" s="147" t="s">
        <v>1362</v>
      </c>
      <c r="E243" s="10"/>
      <c r="F243" s="8" t="s">
        <v>58</v>
      </c>
      <c r="G243" s="135"/>
      <c r="H243" s="135"/>
      <c r="I243" s="134"/>
      <c r="J243" s="135"/>
      <c r="K243" s="2"/>
    </row>
    <row r="244" spans="1:11" ht="15.5">
      <c r="A244" s="185"/>
      <c r="B244" s="181"/>
      <c r="C244" s="175"/>
      <c r="D244" s="147" t="s">
        <v>1363</v>
      </c>
      <c r="E244" s="10"/>
      <c r="F244" s="8" t="s">
        <v>58</v>
      </c>
      <c r="G244" s="135"/>
      <c r="H244" s="135"/>
      <c r="I244" s="134"/>
      <c r="J244" s="135"/>
      <c r="K244" s="2"/>
    </row>
    <row r="245" spans="1:11" ht="15.5">
      <c r="A245" s="185"/>
      <c r="B245" s="181"/>
      <c r="C245" s="175"/>
      <c r="D245" s="147" t="s">
        <v>1364</v>
      </c>
      <c r="E245" s="10"/>
      <c r="F245" s="8" t="s">
        <v>58</v>
      </c>
      <c r="G245" s="135"/>
      <c r="H245" s="135"/>
      <c r="I245" s="134"/>
      <c r="J245" s="135"/>
      <c r="K245" s="2"/>
    </row>
    <row r="246" spans="1:11" ht="15.5">
      <c r="A246" s="185"/>
      <c r="B246" s="181"/>
      <c r="C246" s="176"/>
      <c r="D246" s="151" t="s">
        <v>1365</v>
      </c>
      <c r="E246" s="10" t="s">
        <v>1366</v>
      </c>
      <c r="F246" s="8" t="s">
        <v>58</v>
      </c>
      <c r="G246" s="135"/>
      <c r="H246" s="135"/>
      <c r="I246" s="134"/>
      <c r="J246" s="135"/>
      <c r="K246" s="2"/>
    </row>
    <row r="247" spans="1:11" ht="15.5">
      <c r="A247" s="185"/>
      <c r="B247" s="181"/>
      <c r="C247" s="174" t="s">
        <v>1367</v>
      </c>
      <c r="D247" s="147" t="s">
        <v>1368</v>
      </c>
      <c r="E247" s="10"/>
      <c r="F247" s="8" t="s">
        <v>58</v>
      </c>
      <c r="G247" s="135" t="s">
        <v>1369</v>
      </c>
      <c r="H247" s="135" t="s">
        <v>1370</v>
      </c>
      <c r="I247" s="134" t="s">
        <v>26</v>
      </c>
      <c r="J247" s="135" t="s">
        <v>1324</v>
      </c>
      <c r="K247" s="2"/>
    </row>
    <row r="248" spans="1:11" ht="15.5">
      <c r="A248" s="185"/>
      <c r="B248" s="181"/>
      <c r="C248" s="175"/>
      <c r="D248" s="147" t="s">
        <v>1371</v>
      </c>
      <c r="E248" s="10"/>
      <c r="F248" s="8" t="s">
        <v>16</v>
      </c>
      <c r="G248" s="135"/>
      <c r="H248" s="135"/>
      <c r="I248" s="134"/>
      <c r="J248" s="135"/>
      <c r="K248" s="2"/>
    </row>
    <row r="249" spans="1:11" ht="15.5">
      <c r="A249" s="185"/>
      <c r="B249" s="181"/>
      <c r="C249" s="175"/>
      <c r="D249" s="147" t="s">
        <v>1372</v>
      </c>
      <c r="E249" s="10"/>
      <c r="F249" s="8" t="s">
        <v>16</v>
      </c>
      <c r="G249" s="135"/>
      <c r="H249" s="135"/>
      <c r="I249" s="134"/>
      <c r="J249" s="135"/>
      <c r="K249" s="2"/>
    </row>
    <row r="250" spans="1:11" ht="15.5">
      <c r="A250" s="185"/>
      <c r="B250" s="181"/>
      <c r="C250" s="175"/>
      <c r="D250" s="147" t="s">
        <v>1373</v>
      </c>
      <c r="E250" s="10"/>
      <c r="F250" s="8" t="s">
        <v>16</v>
      </c>
      <c r="G250" s="135"/>
      <c r="H250" s="135"/>
      <c r="I250" s="134"/>
      <c r="J250" s="135"/>
      <c r="K250" s="2"/>
    </row>
    <row r="251" spans="1:11" ht="15.5">
      <c r="A251" s="185"/>
      <c r="B251" s="181"/>
      <c r="C251" s="176"/>
      <c r="D251" s="151" t="s">
        <v>1374</v>
      </c>
      <c r="E251" s="10"/>
      <c r="F251" s="8" t="s">
        <v>16</v>
      </c>
      <c r="G251" s="135"/>
      <c r="H251" s="135"/>
      <c r="I251" s="134"/>
      <c r="J251" s="135"/>
      <c r="K251" s="2"/>
    </row>
    <row r="252" spans="1:11" ht="15.5">
      <c r="A252" s="185"/>
      <c r="B252" s="181"/>
      <c r="C252" s="174" t="s">
        <v>1375</v>
      </c>
      <c r="D252" s="147" t="s">
        <v>1376</v>
      </c>
      <c r="E252" s="10"/>
      <c r="F252" s="8" t="s">
        <v>16</v>
      </c>
      <c r="G252" s="135"/>
      <c r="H252" s="135"/>
      <c r="I252" s="134"/>
      <c r="J252" s="135"/>
      <c r="K252" s="2"/>
    </row>
    <row r="253" spans="1:11" ht="15.5">
      <c r="A253" s="185"/>
      <c r="B253" s="181"/>
      <c r="C253" s="175"/>
      <c r="D253" s="147" t="s">
        <v>1377</v>
      </c>
      <c r="E253" s="10"/>
      <c r="F253" s="8" t="s">
        <v>16</v>
      </c>
      <c r="G253" s="135"/>
      <c r="H253" s="135"/>
      <c r="I253" s="134"/>
      <c r="J253" s="135"/>
      <c r="K253" s="2"/>
    </row>
    <row r="254" spans="1:11" ht="15.5">
      <c r="A254" s="185"/>
      <c r="B254" s="181"/>
      <c r="C254" s="175"/>
      <c r="D254" s="147" t="s">
        <v>1378</v>
      </c>
      <c r="E254" s="10"/>
      <c r="F254" s="8" t="s">
        <v>16</v>
      </c>
      <c r="G254" s="135"/>
      <c r="H254" s="135"/>
      <c r="I254" s="134"/>
      <c r="J254" s="135"/>
      <c r="K254" s="2"/>
    </row>
    <row r="255" spans="1:11" ht="15.5">
      <c r="A255" s="185"/>
      <c r="B255" s="181"/>
      <c r="C255" s="175"/>
      <c r="D255" s="147" t="s">
        <v>1379</v>
      </c>
      <c r="E255" s="10"/>
      <c r="F255" s="8" t="s">
        <v>16</v>
      </c>
      <c r="G255" s="135"/>
      <c r="H255" s="135"/>
      <c r="I255" s="134"/>
      <c r="J255" s="135"/>
      <c r="K255" s="2"/>
    </row>
    <row r="256" spans="1:11" ht="15.5">
      <c r="A256" s="185"/>
      <c r="B256" s="181"/>
      <c r="C256" s="176"/>
      <c r="D256" s="147" t="s">
        <v>1380</v>
      </c>
      <c r="E256" s="10"/>
      <c r="F256" s="8" t="s">
        <v>16</v>
      </c>
      <c r="G256" s="135"/>
      <c r="H256" s="135"/>
      <c r="I256" s="134"/>
      <c r="J256" s="135"/>
      <c r="K256" s="2"/>
    </row>
    <row r="257" spans="1:11" ht="15.5">
      <c r="A257" s="185"/>
      <c r="B257" s="181"/>
      <c r="C257" s="174" t="s">
        <v>1381</v>
      </c>
      <c r="D257" s="147" t="s">
        <v>1382</v>
      </c>
      <c r="E257" s="10"/>
      <c r="F257" s="8" t="s">
        <v>16</v>
      </c>
      <c r="G257" s="135"/>
      <c r="H257" s="135"/>
      <c r="I257" s="134"/>
      <c r="J257" s="135"/>
      <c r="K257" s="2"/>
    </row>
    <row r="258" spans="1:11" ht="15.5">
      <c r="A258" s="185"/>
      <c r="B258" s="181"/>
      <c r="C258" s="175"/>
      <c r="D258" s="147" t="s">
        <v>1383</v>
      </c>
      <c r="E258" s="10"/>
      <c r="F258" s="8" t="s">
        <v>16</v>
      </c>
      <c r="G258" s="135"/>
      <c r="H258" s="135"/>
      <c r="I258" s="134"/>
      <c r="J258" s="135"/>
      <c r="K258" s="2"/>
    </row>
    <row r="259" spans="1:11" ht="15.5">
      <c r="A259" s="185"/>
      <c r="B259" s="181"/>
      <c r="C259" s="175"/>
      <c r="D259" s="147" t="s">
        <v>1384</v>
      </c>
      <c r="E259" s="10"/>
      <c r="F259" s="8" t="s">
        <v>16</v>
      </c>
      <c r="G259" s="135"/>
      <c r="H259" s="135"/>
      <c r="I259" s="134"/>
      <c r="J259" s="135"/>
      <c r="K259" s="2"/>
    </row>
    <row r="260" spans="1:11" ht="15.5">
      <c r="A260" s="185"/>
      <c r="B260" s="181"/>
      <c r="C260" s="175"/>
      <c r="D260" s="147" t="s">
        <v>1385</v>
      </c>
      <c r="E260" s="10"/>
      <c r="F260" s="8" t="s">
        <v>16</v>
      </c>
      <c r="G260" s="135"/>
      <c r="H260" s="135"/>
      <c r="I260" s="134"/>
      <c r="J260" s="135"/>
      <c r="K260" s="2"/>
    </row>
    <row r="261" spans="1:11" ht="15.5">
      <c r="A261" s="185"/>
      <c r="B261" s="181"/>
      <c r="C261" s="176"/>
      <c r="D261" s="147" t="s">
        <v>1386</v>
      </c>
      <c r="E261" s="10"/>
      <c r="F261" s="8" t="s">
        <v>16</v>
      </c>
      <c r="G261" s="135"/>
      <c r="H261" s="135"/>
      <c r="I261" s="134"/>
      <c r="J261" s="135"/>
      <c r="K261" s="2"/>
    </row>
    <row r="262" spans="1:11" ht="15.5">
      <c r="A262" s="185"/>
      <c r="B262" s="181"/>
      <c r="C262" s="174" t="s">
        <v>1387</v>
      </c>
      <c r="D262" s="147" t="s">
        <v>1388</v>
      </c>
      <c r="E262" s="10"/>
      <c r="F262" s="8" t="s">
        <v>16</v>
      </c>
      <c r="G262" s="135"/>
      <c r="H262" s="135"/>
      <c r="I262" s="134"/>
      <c r="J262" s="135"/>
      <c r="K262" s="2"/>
    </row>
    <row r="263" spans="1:11" ht="15.5">
      <c r="A263" s="185"/>
      <c r="B263" s="181"/>
      <c r="C263" s="175"/>
      <c r="D263" s="147" t="s">
        <v>1389</v>
      </c>
      <c r="E263" s="10"/>
      <c r="F263" s="8" t="s">
        <v>16</v>
      </c>
      <c r="G263" s="135"/>
      <c r="H263" s="135"/>
      <c r="I263" s="134"/>
      <c r="J263" s="135"/>
      <c r="K263" s="2"/>
    </row>
    <row r="264" spans="1:11" ht="15.5">
      <c r="A264" s="185"/>
      <c r="B264" s="181"/>
      <c r="C264" s="175"/>
      <c r="D264" s="147" t="s">
        <v>1390</v>
      </c>
      <c r="E264" s="10"/>
      <c r="F264" s="8" t="s">
        <v>16</v>
      </c>
      <c r="G264" s="135"/>
      <c r="H264" s="135"/>
      <c r="I264" s="134"/>
      <c r="J264" s="135"/>
      <c r="K264" s="2"/>
    </row>
    <row r="265" spans="1:11" ht="15.5">
      <c r="A265" s="185"/>
      <c r="B265" s="181"/>
      <c r="C265" s="175"/>
      <c r="D265" s="147" t="s">
        <v>1391</v>
      </c>
      <c r="E265" s="10"/>
      <c r="F265" s="8" t="s">
        <v>16</v>
      </c>
      <c r="G265" s="135"/>
      <c r="H265" s="135"/>
      <c r="I265" s="134"/>
      <c r="J265" s="135"/>
      <c r="K265" s="2"/>
    </row>
    <row r="266" spans="1:11" ht="15.5">
      <c r="A266" s="185"/>
      <c r="B266" s="181"/>
      <c r="C266" s="176"/>
      <c r="D266" s="147" t="s">
        <v>1392</v>
      </c>
      <c r="E266" s="10"/>
      <c r="F266" s="8" t="s">
        <v>16</v>
      </c>
      <c r="G266" s="135"/>
      <c r="H266" s="135"/>
      <c r="I266" s="134"/>
      <c r="J266" s="135"/>
      <c r="K266" s="2"/>
    </row>
    <row r="267" spans="1:11" ht="15.5">
      <c r="A267" s="185"/>
      <c r="B267" s="181"/>
      <c r="C267" s="174" t="s">
        <v>1393</v>
      </c>
      <c r="D267" s="147" t="s">
        <v>1394</v>
      </c>
      <c r="E267" s="10"/>
      <c r="F267" s="8" t="s">
        <v>16</v>
      </c>
      <c r="G267" s="135"/>
      <c r="H267" s="135"/>
      <c r="I267" s="134"/>
      <c r="J267" s="135"/>
      <c r="K267" s="2"/>
    </row>
    <row r="268" spans="1:11" ht="15.5">
      <c r="A268" s="185"/>
      <c r="B268" s="181"/>
      <c r="C268" s="175"/>
      <c r="D268" s="147" t="s">
        <v>1395</v>
      </c>
      <c r="E268" s="10"/>
      <c r="F268" s="8" t="s">
        <v>16</v>
      </c>
      <c r="G268" s="135"/>
      <c r="H268" s="135"/>
      <c r="I268" s="134"/>
      <c r="J268" s="135"/>
      <c r="K268" s="2"/>
    </row>
    <row r="269" spans="1:11" ht="15.5">
      <c r="A269" s="185"/>
      <c r="B269" s="181"/>
      <c r="C269" s="175"/>
      <c r="D269" s="147" t="s">
        <v>1396</v>
      </c>
      <c r="E269" s="10"/>
      <c r="F269" s="8" t="s">
        <v>16</v>
      </c>
      <c r="G269" s="135"/>
      <c r="H269" s="135"/>
      <c r="I269" s="134"/>
      <c r="J269" s="135"/>
      <c r="K269" s="2"/>
    </row>
    <row r="270" spans="1:11" ht="15.5">
      <c r="A270" s="185"/>
      <c r="B270" s="181"/>
      <c r="C270" s="175"/>
      <c r="D270" s="147" t="s">
        <v>1397</v>
      </c>
      <c r="E270" s="10"/>
      <c r="F270" s="8" t="s">
        <v>16</v>
      </c>
      <c r="G270" s="135"/>
      <c r="H270" s="135"/>
      <c r="I270" s="134"/>
      <c r="J270" s="135"/>
      <c r="K270" s="2"/>
    </row>
    <row r="271" spans="1:11" ht="16" thickBot="1">
      <c r="A271" s="185"/>
      <c r="B271" s="182"/>
      <c r="C271" s="176"/>
      <c r="D271" s="146" t="s">
        <v>1398</v>
      </c>
      <c r="E271" s="10"/>
      <c r="F271" s="8" t="s">
        <v>16</v>
      </c>
      <c r="G271" s="135"/>
      <c r="H271" s="135"/>
      <c r="I271" s="134"/>
      <c r="J271" s="135"/>
      <c r="K271" s="2"/>
    </row>
    <row r="272" spans="1:11" ht="15.5">
      <c r="A272" s="185"/>
      <c r="B272" s="183" t="s">
        <v>1399</v>
      </c>
      <c r="C272" s="174" t="s">
        <v>1400</v>
      </c>
      <c r="D272" s="147" t="s">
        <v>1401</v>
      </c>
      <c r="E272" s="10"/>
      <c r="F272" s="8" t="s">
        <v>16</v>
      </c>
      <c r="G272" s="135"/>
      <c r="H272" s="135"/>
      <c r="I272" s="134"/>
      <c r="J272" s="135"/>
      <c r="K272" s="2"/>
    </row>
    <row r="273" spans="1:11" ht="15.5">
      <c r="A273" s="185"/>
      <c r="B273" s="181"/>
      <c r="C273" s="175"/>
      <c r="D273" s="147" t="s">
        <v>1402</v>
      </c>
      <c r="E273" s="10"/>
      <c r="F273" s="8" t="s">
        <v>16</v>
      </c>
      <c r="G273" s="135"/>
      <c r="H273" s="135"/>
      <c r="I273" s="134"/>
      <c r="J273" s="135"/>
      <c r="K273" s="2"/>
    </row>
    <row r="274" spans="1:11" ht="15.5">
      <c r="A274" s="185"/>
      <c r="B274" s="181"/>
      <c r="C274" s="175"/>
      <c r="D274" s="147" t="s">
        <v>1403</v>
      </c>
      <c r="E274" s="10"/>
      <c r="F274" s="8" t="s">
        <v>16</v>
      </c>
      <c r="G274" s="135"/>
      <c r="H274" s="135"/>
      <c r="I274" s="134"/>
      <c r="J274" s="135"/>
      <c r="K274" s="2"/>
    </row>
    <row r="275" spans="1:11" ht="15.5">
      <c r="A275" s="185"/>
      <c r="B275" s="181"/>
      <c r="C275" s="175"/>
      <c r="D275" s="147" t="s">
        <v>1404</v>
      </c>
      <c r="E275" s="10"/>
      <c r="F275" s="8" t="s">
        <v>16</v>
      </c>
      <c r="G275" s="135"/>
      <c r="H275" s="135"/>
      <c r="I275" s="134"/>
      <c r="J275" s="135"/>
      <c r="K275" s="2"/>
    </row>
    <row r="276" spans="1:11" ht="15.5">
      <c r="A276" s="185"/>
      <c r="B276" s="181"/>
      <c r="C276" s="176"/>
      <c r="D276" s="147" t="s">
        <v>1405</v>
      </c>
      <c r="E276" s="10" t="s">
        <v>1406</v>
      </c>
      <c r="F276" s="8" t="s">
        <v>16</v>
      </c>
      <c r="G276" s="135"/>
      <c r="H276" s="135"/>
      <c r="I276" s="134"/>
      <c r="J276" s="135"/>
      <c r="K276" s="2"/>
    </row>
    <row r="277" spans="1:11" ht="15.5">
      <c r="A277" s="185"/>
      <c r="B277" s="181"/>
      <c r="C277" s="174" t="s">
        <v>1407</v>
      </c>
      <c r="D277" s="147" t="s">
        <v>1408</v>
      </c>
      <c r="E277" s="10"/>
      <c r="F277" s="8" t="s">
        <v>16</v>
      </c>
      <c r="G277" s="135" t="s">
        <v>1409</v>
      </c>
      <c r="H277" s="135" t="s">
        <v>1410</v>
      </c>
      <c r="I277" s="134" t="s">
        <v>213</v>
      </c>
      <c r="J277" s="135" t="s">
        <v>1411</v>
      </c>
      <c r="K277" s="2"/>
    </row>
    <row r="278" spans="1:11" ht="15.5">
      <c r="A278" s="185"/>
      <c r="B278" s="181"/>
      <c r="C278" s="175"/>
      <c r="D278" s="147" t="s">
        <v>1412</v>
      </c>
      <c r="E278" s="10"/>
      <c r="F278" s="8" t="s">
        <v>16</v>
      </c>
      <c r="G278" s="135"/>
      <c r="H278" s="135"/>
      <c r="I278" s="134"/>
      <c r="J278" s="135"/>
      <c r="K278" s="2"/>
    </row>
    <row r="279" spans="1:11" ht="15.5">
      <c r="A279" s="185"/>
      <c r="B279" s="181"/>
      <c r="C279" s="175"/>
      <c r="D279" s="147" t="s">
        <v>1413</v>
      </c>
      <c r="E279" s="10"/>
      <c r="F279" s="8" t="s">
        <v>16</v>
      </c>
      <c r="G279" s="135"/>
      <c r="H279" s="135"/>
      <c r="I279" s="134"/>
      <c r="J279" s="135"/>
      <c r="K279" s="2"/>
    </row>
    <row r="280" spans="1:11" ht="15.5">
      <c r="A280" s="185"/>
      <c r="B280" s="181"/>
      <c r="C280" s="175"/>
      <c r="D280" s="147" t="s">
        <v>1414</v>
      </c>
      <c r="E280" s="10"/>
      <c r="F280" s="8" t="s">
        <v>16</v>
      </c>
      <c r="G280" s="135"/>
      <c r="H280" s="135"/>
      <c r="I280" s="134"/>
      <c r="J280" s="135"/>
      <c r="K280" s="2"/>
    </row>
    <row r="281" spans="1:11" ht="15.5">
      <c r="A281" s="185"/>
      <c r="B281" s="181"/>
      <c r="C281" s="176"/>
      <c r="D281" s="147" t="s">
        <v>1415</v>
      </c>
      <c r="E281" s="10"/>
      <c r="F281" s="8" t="s">
        <v>16</v>
      </c>
      <c r="G281" s="135"/>
      <c r="H281" s="135"/>
      <c r="I281" s="134"/>
      <c r="J281" s="135"/>
      <c r="K281" s="2"/>
    </row>
    <row r="282" spans="1:11" ht="15.5">
      <c r="A282" s="185"/>
      <c r="B282" s="181"/>
      <c r="C282" s="174" t="s">
        <v>1416</v>
      </c>
      <c r="D282" s="147" t="s">
        <v>1417</v>
      </c>
      <c r="E282" s="10"/>
      <c r="F282" s="8" t="s">
        <v>16</v>
      </c>
      <c r="G282" s="135"/>
      <c r="H282" s="135"/>
      <c r="I282" s="134"/>
      <c r="J282" s="135"/>
      <c r="K282" s="2"/>
    </row>
    <row r="283" spans="1:11" ht="15.5">
      <c r="A283" s="185"/>
      <c r="B283" s="181"/>
      <c r="C283" s="175"/>
      <c r="D283" s="147" t="s">
        <v>1418</v>
      </c>
      <c r="E283" s="10"/>
      <c r="F283" s="8" t="s">
        <v>16</v>
      </c>
      <c r="G283" s="135"/>
      <c r="H283" s="135"/>
      <c r="I283" s="134"/>
      <c r="J283" s="135"/>
      <c r="K283" s="2"/>
    </row>
    <row r="284" spans="1:11" ht="15.5">
      <c r="A284" s="185"/>
      <c r="B284" s="181"/>
      <c r="C284" s="175"/>
      <c r="D284" s="147" t="s">
        <v>1419</v>
      </c>
      <c r="E284" s="10"/>
      <c r="F284" s="8" t="s">
        <v>16</v>
      </c>
      <c r="G284" s="135"/>
      <c r="H284" s="135"/>
      <c r="I284" s="134"/>
      <c r="J284" s="135"/>
      <c r="K284" s="2"/>
    </row>
    <row r="285" spans="1:11" ht="15.5">
      <c r="A285" s="185"/>
      <c r="B285" s="181"/>
      <c r="C285" s="175"/>
      <c r="D285" s="147" t="s">
        <v>1420</v>
      </c>
      <c r="E285" s="10"/>
      <c r="F285" s="8" t="s">
        <v>16</v>
      </c>
      <c r="G285" s="135"/>
      <c r="H285" s="135"/>
      <c r="I285" s="134"/>
      <c r="J285" s="135"/>
      <c r="K285" s="2"/>
    </row>
    <row r="286" spans="1:11" ht="15.5">
      <c r="A286" s="185"/>
      <c r="B286" s="181"/>
      <c r="C286" s="176"/>
      <c r="D286" s="147" t="s">
        <v>1421</v>
      </c>
      <c r="E286" s="10"/>
      <c r="F286" s="8" t="s">
        <v>16</v>
      </c>
      <c r="G286" s="135"/>
      <c r="H286" s="135"/>
      <c r="I286" s="134"/>
      <c r="J286" s="135"/>
      <c r="K286" s="2"/>
    </row>
    <row r="287" spans="1:11" ht="15.5">
      <c r="A287" s="185"/>
      <c r="B287" s="181"/>
      <c r="C287" s="174" t="s">
        <v>1422</v>
      </c>
      <c r="D287" s="147" t="s">
        <v>1423</v>
      </c>
      <c r="E287" s="10"/>
      <c r="F287" s="8" t="s">
        <v>16</v>
      </c>
      <c r="G287" s="135"/>
      <c r="H287" s="135"/>
      <c r="I287" s="134"/>
      <c r="J287" s="135"/>
      <c r="K287" s="2"/>
    </row>
    <row r="288" spans="1:11" ht="15.5">
      <c r="A288" s="185"/>
      <c r="B288" s="181"/>
      <c r="C288" s="175"/>
      <c r="D288" s="147" t="s">
        <v>1424</v>
      </c>
      <c r="E288" s="10"/>
      <c r="F288" s="8" t="s">
        <v>16</v>
      </c>
      <c r="G288" s="135"/>
      <c r="H288" s="135"/>
      <c r="I288" s="134"/>
      <c r="J288" s="135"/>
      <c r="K288" s="2"/>
    </row>
    <row r="289" spans="1:11" ht="15.5">
      <c r="A289" s="185"/>
      <c r="B289" s="181"/>
      <c r="C289" s="175"/>
      <c r="D289" s="147" t="s">
        <v>1425</v>
      </c>
      <c r="E289" s="10"/>
      <c r="F289" s="8" t="s">
        <v>16</v>
      </c>
      <c r="G289" s="135"/>
      <c r="H289" s="135"/>
      <c r="I289" s="134"/>
      <c r="J289" s="135"/>
      <c r="K289" s="2"/>
    </row>
    <row r="290" spans="1:11" ht="15.5">
      <c r="A290" s="185"/>
      <c r="B290" s="181"/>
      <c r="C290" s="175"/>
      <c r="D290" s="147" t="s">
        <v>1426</v>
      </c>
      <c r="E290" s="10"/>
      <c r="F290" s="8" t="s">
        <v>16</v>
      </c>
      <c r="G290" s="135"/>
      <c r="H290" s="135"/>
      <c r="I290" s="134"/>
      <c r="J290" s="135"/>
      <c r="K290" s="2"/>
    </row>
    <row r="291" spans="1:11" ht="15.5">
      <c r="A291" s="185"/>
      <c r="B291" s="181"/>
      <c r="C291" s="176"/>
      <c r="D291" s="147" t="s">
        <v>1427</v>
      </c>
      <c r="E291" s="10"/>
      <c r="F291" s="8" t="s">
        <v>16</v>
      </c>
      <c r="G291" s="135"/>
      <c r="H291" s="135"/>
      <c r="I291" s="134"/>
      <c r="J291" s="135"/>
      <c r="K291" s="2"/>
    </row>
    <row r="292" spans="1:11" ht="15.5">
      <c r="A292" s="185"/>
      <c r="B292" s="181"/>
      <c r="C292" s="174" t="s">
        <v>1428</v>
      </c>
      <c r="D292" s="147" t="s">
        <v>1429</v>
      </c>
      <c r="E292" s="10"/>
      <c r="F292" s="8" t="s">
        <v>16</v>
      </c>
      <c r="G292" s="135"/>
      <c r="H292" s="135"/>
      <c r="I292" s="134"/>
      <c r="J292" s="135"/>
      <c r="K292" s="2"/>
    </row>
    <row r="293" spans="1:11" ht="15.5">
      <c r="A293" s="185"/>
      <c r="B293" s="181"/>
      <c r="C293" s="175"/>
      <c r="D293" s="147" t="s">
        <v>1430</v>
      </c>
      <c r="E293" s="10"/>
      <c r="F293" s="8" t="s">
        <v>16</v>
      </c>
      <c r="G293" s="135"/>
      <c r="H293" s="135"/>
      <c r="I293" s="134"/>
      <c r="J293" s="135"/>
      <c r="K293" s="2"/>
    </row>
    <row r="294" spans="1:11" ht="15.5">
      <c r="A294" s="185"/>
      <c r="B294" s="181"/>
      <c r="C294" s="175"/>
      <c r="D294" s="147" t="s">
        <v>1431</v>
      </c>
      <c r="E294" s="10"/>
      <c r="F294" s="8" t="s">
        <v>16</v>
      </c>
      <c r="G294" s="135"/>
      <c r="H294" s="135"/>
      <c r="I294" s="134"/>
      <c r="J294" s="135"/>
      <c r="K294" s="2"/>
    </row>
    <row r="295" spans="1:11" ht="15.5">
      <c r="A295" s="185"/>
      <c r="B295" s="181"/>
      <c r="C295" s="175"/>
      <c r="D295" s="147" t="s">
        <v>1432</v>
      </c>
      <c r="E295" s="10"/>
      <c r="F295" s="8" t="s">
        <v>16</v>
      </c>
      <c r="G295" s="135"/>
      <c r="H295" s="135"/>
      <c r="I295" s="134"/>
      <c r="J295" s="135"/>
      <c r="K295" s="2"/>
    </row>
    <row r="296" spans="1:11" ht="15.5">
      <c r="A296" s="185"/>
      <c r="B296" s="181"/>
      <c r="C296" s="176"/>
      <c r="D296" s="147" t="s">
        <v>1433</v>
      </c>
      <c r="E296" s="10"/>
      <c r="F296" s="8" t="s">
        <v>16</v>
      </c>
      <c r="G296" s="135"/>
      <c r="H296" s="135"/>
      <c r="I296" s="134"/>
      <c r="J296" s="135"/>
      <c r="K296" s="2"/>
    </row>
    <row r="297" spans="1:11" ht="15.5">
      <c r="A297" s="185"/>
      <c r="B297" s="181"/>
      <c r="C297" s="174" t="s">
        <v>1434</v>
      </c>
      <c r="D297" s="147" t="s">
        <v>1435</v>
      </c>
      <c r="E297" s="10"/>
      <c r="F297" s="8" t="s">
        <v>16</v>
      </c>
      <c r="G297" s="135"/>
      <c r="H297" s="135"/>
      <c r="I297" s="134"/>
      <c r="J297" s="135"/>
      <c r="K297" s="2"/>
    </row>
    <row r="298" spans="1:11" ht="15.5">
      <c r="A298" s="185"/>
      <c r="B298" s="181"/>
      <c r="C298" s="175"/>
      <c r="D298" s="147" t="s">
        <v>1436</v>
      </c>
      <c r="E298" s="10"/>
      <c r="F298" s="8" t="s">
        <v>16</v>
      </c>
      <c r="G298" s="135"/>
      <c r="H298" s="135"/>
      <c r="I298" s="134"/>
      <c r="J298" s="135"/>
      <c r="K298" s="2"/>
    </row>
    <row r="299" spans="1:11" ht="15.5">
      <c r="A299" s="185"/>
      <c r="B299" s="181"/>
      <c r="C299" s="175"/>
      <c r="D299" s="147" t="s">
        <v>1437</v>
      </c>
      <c r="E299" s="10"/>
      <c r="F299" s="8" t="s">
        <v>16</v>
      </c>
      <c r="G299" s="135"/>
      <c r="H299" s="135"/>
      <c r="I299" s="134"/>
      <c r="J299" s="135"/>
      <c r="K299" s="2"/>
    </row>
    <row r="300" spans="1:11" ht="15.5">
      <c r="A300" s="185"/>
      <c r="B300" s="181"/>
      <c r="C300" s="175"/>
      <c r="D300" s="151" t="s">
        <v>1438</v>
      </c>
      <c r="E300" s="10"/>
      <c r="F300" s="8" t="s">
        <v>16</v>
      </c>
      <c r="G300" s="135"/>
      <c r="H300" s="135"/>
      <c r="I300" s="134"/>
      <c r="J300" s="135"/>
      <c r="K300" s="2"/>
    </row>
    <row r="301" spans="1:11" ht="16" thickBot="1">
      <c r="A301" s="185"/>
      <c r="B301" s="182"/>
      <c r="C301" s="176"/>
      <c r="D301" s="146" t="s">
        <v>1439</v>
      </c>
      <c r="E301" s="10" t="s">
        <v>1440</v>
      </c>
      <c r="F301" s="8" t="s">
        <v>16</v>
      </c>
      <c r="G301" s="135" t="s">
        <v>1441</v>
      </c>
      <c r="H301" s="135" t="s">
        <v>1442</v>
      </c>
      <c r="I301" s="134" t="s">
        <v>26</v>
      </c>
      <c r="J301" s="135" t="s">
        <v>1443</v>
      </c>
      <c r="K301" s="2"/>
    </row>
    <row r="302" spans="1:11" ht="15.5">
      <c r="A302" s="185"/>
      <c r="B302" s="183" t="s">
        <v>1444</v>
      </c>
      <c r="C302" s="174" t="s">
        <v>1445</v>
      </c>
      <c r="D302" s="147" t="s">
        <v>1446</v>
      </c>
      <c r="E302" s="10"/>
      <c r="F302" s="8" t="s">
        <v>16</v>
      </c>
      <c r="G302" s="135"/>
      <c r="H302" s="135"/>
      <c r="I302" s="134"/>
      <c r="J302" s="135"/>
      <c r="K302" s="2"/>
    </row>
    <row r="303" spans="1:11" ht="15.5">
      <c r="A303" s="185"/>
      <c r="B303" s="181"/>
      <c r="C303" s="175"/>
      <c r="D303" s="147" t="s">
        <v>1447</v>
      </c>
      <c r="E303" s="10"/>
      <c r="F303" s="8" t="s">
        <v>16</v>
      </c>
      <c r="G303" s="135"/>
      <c r="H303" s="135"/>
      <c r="I303" s="134"/>
      <c r="J303" s="135"/>
      <c r="K303" s="2"/>
    </row>
    <row r="304" spans="1:11" ht="15.5">
      <c r="A304" s="185"/>
      <c r="B304" s="181"/>
      <c r="C304" s="175"/>
      <c r="D304" s="147" t="s">
        <v>1448</v>
      </c>
      <c r="E304" s="10"/>
      <c r="F304" s="8" t="s">
        <v>16</v>
      </c>
      <c r="G304" s="135"/>
      <c r="H304" s="135"/>
      <c r="I304" s="134"/>
      <c r="J304" s="135"/>
      <c r="K304" s="2"/>
    </row>
    <row r="305" spans="1:11" ht="15.5">
      <c r="A305" s="185"/>
      <c r="B305" s="181"/>
      <c r="C305" s="175"/>
      <c r="D305" s="147" t="s">
        <v>1449</v>
      </c>
      <c r="E305" s="10"/>
      <c r="F305" s="8" t="s">
        <v>16</v>
      </c>
      <c r="G305" s="135"/>
      <c r="H305" s="135"/>
      <c r="I305" s="134"/>
      <c r="J305" s="135"/>
      <c r="K305" s="2"/>
    </row>
    <row r="306" spans="1:11" ht="15.5">
      <c r="A306" s="185"/>
      <c r="B306" s="181"/>
      <c r="C306" s="176"/>
      <c r="D306" s="147" t="s">
        <v>1450</v>
      </c>
      <c r="E306" s="10"/>
      <c r="F306" s="8" t="s">
        <v>16</v>
      </c>
      <c r="G306" s="135"/>
      <c r="H306" s="135"/>
      <c r="I306" s="134"/>
      <c r="J306" s="135"/>
      <c r="K306" s="2"/>
    </row>
    <row r="307" spans="1:11" ht="15.5">
      <c r="A307" s="186"/>
      <c r="B307" s="181"/>
      <c r="C307" s="174" t="s">
        <v>1451</v>
      </c>
      <c r="D307" s="147" t="s">
        <v>1452</v>
      </c>
      <c r="E307" s="10"/>
      <c r="F307" s="8" t="s">
        <v>16</v>
      </c>
      <c r="G307" s="135"/>
      <c r="H307" s="135"/>
      <c r="I307" s="134"/>
      <c r="J307" s="135"/>
      <c r="K307" s="2"/>
    </row>
    <row r="308" spans="1:11" ht="15.5">
      <c r="A308" s="179" t="s">
        <v>1453</v>
      </c>
      <c r="B308" s="181"/>
      <c r="C308" s="175"/>
      <c r="D308" s="147" t="s">
        <v>1454</v>
      </c>
      <c r="E308" s="10"/>
      <c r="F308" s="8" t="s">
        <v>16</v>
      </c>
      <c r="G308" s="135"/>
      <c r="H308" s="135"/>
      <c r="I308" s="134"/>
      <c r="J308" s="135"/>
      <c r="K308" s="2"/>
    </row>
    <row r="309" spans="1:11" ht="15.5">
      <c r="A309" s="185"/>
      <c r="B309" s="181"/>
      <c r="C309" s="175"/>
      <c r="D309" s="147" t="s">
        <v>1455</v>
      </c>
      <c r="E309" s="10"/>
      <c r="F309" s="8" t="s">
        <v>16</v>
      </c>
      <c r="G309" s="135"/>
      <c r="H309" s="135"/>
      <c r="I309" s="134"/>
      <c r="J309" s="135"/>
      <c r="K309" s="2"/>
    </row>
    <row r="310" spans="1:11" ht="15.5">
      <c r="A310" s="185"/>
      <c r="B310" s="181"/>
      <c r="C310" s="175"/>
      <c r="D310" s="147" t="s">
        <v>1456</v>
      </c>
      <c r="E310" s="10"/>
      <c r="F310" s="8" t="s">
        <v>16</v>
      </c>
      <c r="G310" s="135"/>
      <c r="H310" s="135"/>
      <c r="I310" s="134"/>
      <c r="J310" s="135"/>
      <c r="K310" s="2"/>
    </row>
    <row r="311" spans="1:11" ht="15.5">
      <c r="A311" s="185"/>
      <c r="B311" s="181"/>
      <c r="C311" s="176"/>
      <c r="D311" s="147" t="s">
        <v>1457</v>
      </c>
      <c r="E311" s="10"/>
      <c r="F311" s="8" t="s">
        <v>16</v>
      </c>
      <c r="G311" s="135"/>
      <c r="H311" s="135"/>
      <c r="I311" s="134"/>
      <c r="J311" s="135"/>
      <c r="K311" s="2"/>
    </row>
    <row r="312" spans="1:11" ht="15.5">
      <c r="A312" s="185"/>
      <c r="B312" s="181"/>
      <c r="C312" s="174" t="s">
        <v>1458</v>
      </c>
      <c r="D312" s="147" t="s">
        <v>1459</v>
      </c>
      <c r="E312" s="10"/>
      <c r="F312" s="8" t="s">
        <v>16</v>
      </c>
      <c r="G312" s="135"/>
      <c r="H312" s="135"/>
      <c r="I312" s="134"/>
      <c r="J312" s="135"/>
      <c r="K312" s="2"/>
    </row>
    <row r="313" spans="1:11" ht="15.5">
      <c r="A313" s="185"/>
      <c r="B313" s="181"/>
      <c r="C313" s="175"/>
      <c r="D313" s="147" t="s">
        <v>1460</v>
      </c>
      <c r="E313" s="10"/>
      <c r="F313" s="8" t="s">
        <v>16</v>
      </c>
      <c r="G313" s="135"/>
      <c r="H313" s="135"/>
      <c r="I313" s="134"/>
      <c r="J313" s="135"/>
      <c r="K313" s="2"/>
    </row>
    <row r="314" spans="1:11" ht="15.5">
      <c r="A314" s="185"/>
      <c r="B314" s="181"/>
      <c r="C314" s="175"/>
      <c r="D314" s="147" t="s">
        <v>1461</v>
      </c>
      <c r="E314" s="10"/>
      <c r="F314" s="8" t="s">
        <v>16</v>
      </c>
      <c r="G314" s="135"/>
      <c r="H314" s="135"/>
      <c r="I314" s="134"/>
      <c r="J314" s="135"/>
      <c r="K314" s="2"/>
    </row>
    <row r="315" spans="1:11" ht="15.5">
      <c r="A315" s="185"/>
      <c r="B315" s="181"/>
      <c r="C315" s="175"/>
      <c r="D315" s="147" t="s">
        <v>1462</v>
      </c>
      <c r="E315" s="10"/>
      <c r="F315" s="8" t="s">
        <v>16</v>
      </c>
      <c r="G315" s="135"/>
      <c r="H315" s="135"/>
      <c r="I315" s="134"/>
      <c r="J315" s="135"/>
      <c r="K315" s="2"/>
    </row>
    <row r="316" spans="1:11" ht="15.5">
      <c r="A316" s="185"/>
      <c r="B316" s="181"/>
      <c r="C316" s="176"/>
      <c r="D316" s="151" t="s">
        <v>1463</v>
      </c>
      <c r="E316" s="10"/>
      <c r="F316" s="8" t="s">
        <v>16</v>
      </c>
      <c r="G316" s="135"/>
      <c r="H316" s="135"/>
      <c r="I316" s="134"/>
      <c r="J316" s="135"/>
      <c r="K316" s="2"/>
    </row>
    <row r="317" spans="1:11" ht="15.5">
      <c r="A317" s="185"/>
      <c r="B317" s="181"/>
      <c r="C317" s="174" t="s">
        <v>1464</v>
      </c>
      <c r="D317" s="149" t="s">
        <v>1465</v>
      </c>
      <c r="E317" s="10"/>
      <c r="F317" s="8" t="s">
        <v>16</v>
      </c>
      <c r="G317" s="135"/>
      <c r="H317" s="135"/>
      <c r="I317" s="134"/>
      <c r="J317" s="135"/>
      <c r="K317" s="2"/>
    </row>
    <row r="318" spans="1:11" ht="15.5">
      <c r="A318" s="185"/>
      <c r="B318" s="181"/>
      <c r="C318" s="175"/>
      <c r="D318" s="149" t="s">
        <v>1466</v>
      </c>
      <c r="E318" s="10"/>
      <c r="F318" s="8" t="s">
        <v>16</v>
      </c>
      <c r="G318" s="135"/>
      <c r="H318" s="135"/>
      <c r="I318" s="134"/>
      <c r="J318" s="135"/>
      <c r="K318" s="2"/>
    </row>
    <row r="319" spans="1:11" ht="15.5">
      <c r="A319" s="185"/>
      <c r="B319" s="181"/>
      <c r="C319" s="175"/>
      <c r="D319" s="149" t="s">
        <v>1467</v>
      </c>
      <c r="E319" s="10"/>
      <c r="F319" s="8" t="s">
        <v>16</v>
      </c>
      <c r="G319" s="135"/>
      <c r="H319" s="135"/>
      <c r="I319" s="134"/>
      <c r="J319" s="135"/>
      <c r="K319" s="2"/>
    </row>
    <row r="320" spans="1:11" ht="15.5">
      <c r="A320" s="185"/>
      <c r="B320" s="181"/>
      <c r="C320" s="175"/>
      <c r="D320" s="149" t="s">
        <v>1468</v>
      </c>
      <c r="E320" s="10"/>
      <c r="F320" s="8" t="s">
        <v>16</v>
      </c>
      <c r="G320" s="135"/>
      <c r="H320" s="135"/>
      <c r="I320" s="134"/>
      <c r="J320" s="135"/>
      <c r="K320" s="2"/>
    </row>
    <row r="321" spans="1:11" ht="15.5">
      <c r="A321" s="185"/>
      <c r="B321" s="181"/>
      <c r="C321" s="176"/>
      <c r="D321" s="149" t="s">
        <v>1469</v>
      </c>
      <c r="E321" s="10"/>
      <c r="F321" s="8" t="s">
        <v>16</v>
      </c>
      <c r="G321" s="135"/>
      <c r="H321" s="135"/>
      <c r="I321" s="134"/>
      <c r="J321" s="135"/>
      <c r="K321" s="2"/>
    </row>
    <row r="322" spans="1:11" ht="15.5">
      <c r="A322" s="185"/>
      <c r="B322" s="181"/>
      <c r="C322" s="174" t="s">
        <v>1470</v>
      </c>
      <c r="D322" s="147" t="s">
        <v>1471</v>
      </c>
      <c r="E322" s="10"/>
      <c r="F322" s="8" t="s">
        <v>16</v>
      </c>
      <c r="G322" s="135"/>
      <c r="H322" s="135"/>
      <c r="I322" s="134"/>
      <c r="J322" s="135"/>
      <c r="K322" s="2"/>
    </row>
    <row r="323" spans="1:11" ht="15.5">
      <c r="A323" s="185"/>
      <c r="B323" s="181"/>
      <c r="C323" s="175"/>
      <c r="D323" s="147" t="s">
        <v>1472</v>
      </c>
      <c r="E323" s="10"/>
      <c r="F323" s="8" t="s">
        <v>16</v>
      </c>
      <c r="G323" s="135"/>
      <c r="H323" s="135"/>
      <c r="I323" s="134"/>
      <c r="J323" s="135"/>
      <c r="K323" s="2"/>
    </row>
    <row r="324" spans="1:11" ht="15.5">
      <c r="A324" s="185"/>
      <c r="B324" s="181"/>
      <c r="C324" s="175"/>
      <c r="D324" s="147" t="s">
        <v>1473</v>
      </c>
      <c r="E324" s="10"/>
      <c r="F324" s="8" t="s">
        <v>16</v>
      </c>
      <c r="G324" s="135"/>
      <c r="H324" s="135"/>
      <c r="I324" s="134"/>
      <c r="J324" s="135"/>
      <c r="K324" s="2"/>
    </row>
    <row r="325" spans="1:11" ht="15.5">
      <c r="A325" s="185"/>
      <c r="B325" s="181"/>
      <c r="C325" s="175"/>
      <c r="D325" s="147" t="s">
        <v>1474</v>
      </c>
      <c r="E325" s="10"/>
      <c r="F325" s="8" t="s">
        <v>16</v>
      </c>
      <c r="G325" s="135"/>
      <c r="H325" s="135"/>
      <c r="I325" s="134"/>
      <c r="J325" s="135"/>
      <c r="K325" s="2"/>
    </row>
    <row r="326" spans="1:11" ht="15.5">
      <c r="A326" s="185"/>
      <c r="B326" s="181"/>
      <c r="C326" s="176"/>
      <c r="D326" s="147" t="s">
        <v>1475</v>
      </c>
      <c r="E326" s="10"/>
      <c r="F326" s="8" t="s">
        <v>16</v>
      </c>
      <c r="G326" s="135"/>
      <c r="H326" s="135"/>
      <c r="I326" s="134"/>
      <c r="J326" s="135"/>
      <c r="K326" s="2"/>
    </row>
    <row r="327" spans="1:11" ht="15.5">
      <c r="A327" s="185"/>
      <c r="B327" s="181"/>
      <c r="C327" s="174" t="s">
        <v>1476</v>
      </c>
      <c r="D327" s="147" t="s">
        <v>1477</v>
      </c>
      <c r="E327" s="10"/>
      <c r="F327" s="8" t="s">
        <v>16</v>
      </c>
      <c r="G327" s="135"/>
      <c r="H327" s="135"/>
      <c r="I327" s="134"/>
      <c r="J327" s="135"/>
      <c r="K327" s="2"/>
    </row>
    <row r="328" spans="1:11" ht="15.5">
      <c r="A328" s="185"/>
      <c r="B328" s="181"/>
      <c r="C328" s="175"/>
      <c r="D328" s="147" t="s">
        <v>1478</v>
      </c>
      <c r="E328" s="10"/>
      <c r="F328" s="8" t="s">
        <v>16</v>
      </c>
      <c r="G328" s="135"/>
      <c r="H328" s="135"/>
      <c r="I328" s="134"/>
      <c r="J328" s="135"/>
      <c r="K328" s="2"/>
    </row>
    <row r="329" spans="1:11" ht="15.5">
      <c r="A329" s="185"/>
      <c r="B329" s="181"/>
      <c r="C329" s="175"/>
      <c r="D329" s="147" t="s">
        <v>1479</v>
      </c>
      <c r="E329" s="10"/>
      <c r="F329" s="8" t="s">
        <v>16</v>
      </c>
      <c r="G329" s="135"/>
      <c r="H329" s="135"/>
      <c r="I329" s="134"/>
      <c r="J329" s="135"/>
      <c r="K329" s="2"/>
    </row>
    <row r="330" spans="1:11" ht="15.5">
      <c r="A330" s="185"/>
      <c r="B330" s="181"/>
      <c r="C330" s="175"/>
      <c r="D330" s="147" t="s">
        <v>1480</v>
      </c>
      <c r="E330" s="10"/>
      <c r="F330" s="8" t="s">
        <v>16</v>
      </c>
      <c r="G330" s="135"/>
      <c r="H330" s="135"/>
      <c r="I330" s="134"/>
      <c r="J330" s="135"/>
      <c r="K330" s="2"/>
    </row>
    <row r="331" spans="1:11" ht="16" thickBot="1">
      <c r="A331" s="185"/>
      <c r="B331" s="182"/>
      <c r="C331" s="176"/>
      <c r="D331" s="146" t="s">
        <v>1481</v>
      </c>
      <c r="E331" s="10" t="s">
        <v>1482</v>
      </c>
      <c r="F331" s="8" t="s">
        <v>16</v>
      </c>
      <c r="G331" s="135" t="s">
        <v>1483</v>
      </c>
      <c r="H331" s="135" t="s">
        <v>1484</v>
      </c>
      <c r="I331" s="134" t="s">
        <v>26</v>
      </c>
      <c r="J331" s="135" t="s">
        <v>1485</v>
      </c>
      <c r="K331" s="2"/>
    </row>
    <row r="332" spans="1:11" ht="15.5">
      <c r="A332" s="185"/>
      <c r="B332" s="181" t="s">
        <v>1486</v>
      </c>
      <c r="C332" s="174" t="s">
        <v>1487</v>
      </c>
      <c r="D332" s="146"/>
      <c r="E332" s="10"/>
      <c r="F332" s="8" t="s">
        <v>16</v>
      </c>
      <c r="G332" s="135"/>
      <c r="H332" s="135"/>
      <c r="I332" s="134"/>
      <c r="J332" s="135"/>
      <c r="K332" s="2"/>
    </row>
    <row r="333" spans="1:11" ht="15.5">
      <c r="A333" s="185"/>
      <c r="B333" s="181"/>
      <c r="C333" s="175"/>
      <c r="D333" s="146"/>
      <c r="E333" s="10"/>
      <c r="F333" s="8" t="s">
        <v>16</v>
      </c>
      <c r="G333" s="135"/>
      <c r="H333" s="135"/>
      <c r="I333" s="134"/>
      <c r="J333" s="135"/>
      <c r="K333" s="2"/>
    </row>
    <row r="334" spans="1:11" ht="15.5">
      <c r="A334" s="185"/>
      <c r="B334" s="181"/>
      <c r="C334" s="175"/>
      <c r="D334" s="146"/>
      <c r="E334" s="10"/>
      <c r="F334" s="8" t="s">
        <v>16</v>
      </c>
      <c r="G334" s="135"/>
      <c r="H334" s="135"/>
      <c r="I334" s="134"/>
      <c r="J334" s="135"/>
      <c r="K334" s="2"/>
    </row>
    <row r="335" spans="1:11" ht="15.5">
      <c r="A335" s="185"/>
      <c r="B335" s="181"/>
      <c r="C335" s="175"/>
      <c r="D335" s="146"/>
      <c r="E335" s="10"/>
      <c r="F335" s="8" t="s">
        <v>16</v>
      </c>
      <c r="G335" s="135"/>
      <c r="H335" s="135"/>
      <c r="I335" s="134"/>
      <c r="J335" s="135"/>
      <c r="K335" s="2"/>
    </row>
    <row r="336" spans="1:11" ht="15.5">
      <c r="A336" s="185"/>
      <c r="B336" s="181"/>
      <c r="C336" s="176"/>
      <c r="D336" s="146"/>
      <c r="E336" s="10"/>
      <c r="F336" s="8" t="s">
        <v>16</v>
      </c>
      <c r="G336" s="135"/>
      <c r="H336" s="135"/>
      <c r="I336" s="134"/>
      <c r="J336" s="135"/>
      <c r="K336" s="2"/>
    </row>
    <row r="337" spans="1:11" ht="15.5">
      <c r="A337" s="185"/>
      <c r="B337" s="181"/>
      <c r="C337" s="174" t="s">
        <v>1488</v>
      </c>
      <c r="D337" s="146"/>
      <c r="E337" s="10"/>
      <c r="F337" s="8" t="s">
        <v>16</v>
      </c>
      <c r="G337" s="135"/>
      <c r="H337" s="135"/>
      <c r="I337" s="134"/>
      <c r="J337" s="135"/>
      <c r="K337" s="2"/>
    </row>
    <row r="338" spans="1:11" ht="15.5">
      <c r="A338" s="185"/>
      <c r="B338" s="181"/>
      <c r="C338" s="175"/>
      <c r="D338" s="146"/>
      <c r="E338" s="10"/>
      <c r="F338" s="8" t="s">
        <v>23</v>
      </c>
      <c r="G338" s="135"/>
      <c r="H338" s="8"/>
      <c r="I338" s="134"/>
      <c r="J338" s="135"/>
      <c r="K338" s="2"/>
    </row>
    <row r="339" spans="1:11" ht="15.5">
      <c r="A339" s="185"/>
      <c r="B339" s="181"/>
      <c r="C339" s="175"/>
      <c r="D339" s="146"/>
      <c r="E339" s="10"/>
      <c r="F339" s="8" t="s">
        <v>23</v>
      </c>
      <c r="G339" s="135"/>
      <c r="H339" s="135"/>
      <c r="I339" s="134"/>
      <c r="J339" s="135"/>
      <c r="K339" s="2"/>
    </row>
    <row r="340" spans="1:11" ht="15.5">
      <c r="A340" s="185"/>
      <c r="B340" s="181"/>
      <c r="C340" s="175"/>
      <c r="D340" s="146"/>
      <c r="E340" s="10"/>
      <c r="F340" s="8" t="s">
        <v>23</v>
      </c>
      <c r="G340" s="135"/>
      <c r="H340" s="135"/>
      <c r="I340" s="134"/>
      <c r="J340" s="135"/>
      <c r="K340" s="2"/>
    </row>
    <row r="341" spans="1:11" ht="15.5">
      <c r="A341" s="185"/>
      <c r="B341" s="181"/>
      <c r="C341" s="176"/>
      <c r="D341" s="146"/>
      <c r="E341" s="10"/>
      <c r="F341" s="8" t="s">
        <v>16</v>
      </c>
      <c r="G341" s="135"/>
      <c r="H341" s="135"/>
      <c r="I341" s="134"/>
      <c r="J341" s="135"/>
      <c r="K341" s="2"/>
    </row>
    <row r="342" spans="1:11" ht="15.5">
      <c r="A342" s="185"/>
      <c r="B342" s="181"/>
      <c r="C342" s="174" t="s">
        <v>1489</v>
      </c>
      <c r="D342" s="146"/>
      <c r="E342" s="10"/>
      <c r="F342" s="8" t="s">
        <v>16</v>
      </c>
      <c r="G342" s="135"/>
      <c r="H342" s="135"/>
      <c r="I342" s="134"/>
      <c r="J342" s="135"/>
      <c r="K342" s="2"/>
    </row>
    <row r="343" spans="1:11" ht="15.5">
      <c r="A343" s="185"/>
      <c r="B343" s="181"/>
      <c r="C343" s="175"/>
      <c r="D343" s="146"/>
      <c r="E343" s="10"/>
      <c r="F343" s="8" t="s">
        <v>58</v>
      </c>
      <c r="G343" s="135"/>
      <c r="H343" s="135"/>
      <c r="I343" s="134"/>
      <c r="J343" s="135"/>
      <c r="K343" s="2"/>
    </row>
    <row r="344" spans="1:11" ht="15.5">
      <c r="A344" s="185"/>
      <c r="B344" s="181"/>
      <c r="C344" s="175"/>
      <c r="D344" s="146"/>
      <c r="E344" s="10"/>
      <c r="F344" s="8" t="s">
        <v>16</v>
      </c>
      <c r="G344" s="135"/>
      <c r="H344" s="135"/>
      <c r="I344" s="134"/>
      <c r="J344" s="135"/>
      <c r="K344" s="2"/>
    </row>
    <row r="345" spans="1:11" ht="15.5">
      <c r="A345" s="185"/>
      <c r="B345" s="181"/>
      <c r="C345" s="175"/>
      <c r="D345" s="146"/>
      <c r="E345" s="10"/>
      <c r="F345" s="8" t="s">
        <v>58</v>
      </c>
      <c r="G345" s="135"/>
      <c r="H345" s="135"/>
      <c r="I345" s="134"/>
      <c r="J345" s="135"/>
      <c r="K345" s="2"/>
    </row>
    <row r="346" spans="1:11" ht="15.5">
      <c r="A346" s="185"/>
      <c r="B346" s="181"/>
      <c r="C346" s="176"/>
      <c r="D346" s="146"/>
      <c r="E346" s="10"/>
      <c r="F346" s="8" t="s">
        <v>23</v>
      </c>
      <c r="G346" s="135"/>
      <c r="H346" s="135"/>
      <c r="I346" s="134"/>
      <c r="J346" s="135"/>
      <c r="K346" s="2"/>
    </row>
    <row r="347" spans="1:11" ht="15.5">
      <c r="A347" s="185"/>
      <c r="B347" s="181"/>
      <c r="C347" s="174" t="s">
        <v>1490</v>
      </c>
      <c r="D347" s="146"/>
      <c r="E347" s="10"/>
      <c r="F347" s="8" t="s">
        <v>23</v>
      </c>
      <c r="G347" s="135"/>
      <c r="H347" s="135"/>
      <c r="I347" s="134"/>
      <c r="J347" s="135"/>
      <c r="K347" s="2"/>
    </row>
    <row r="348" spans="1:11" ht="15.5">
      <c r="A348" s="185"/>
      <c r="B348" s="181"/>
      <c r="C348" s="175"/>
      <c r="D348" s="146"/>
      <c r="E348" s="10"/>
      <c r="F348" s="8" t="s">
        <v>23</v>
      </c>
      <c r="G348" s="135"/>
      <c r="H348" s="135"/>
      <c r="I348" s="134"/>
      <c r="J348" s="135"/>
      <c r="K348" s="2"/>
    </row>
    <row r="349" spans="1:11" ht="15.5">
      <c r="A349" s="185"/>
      <c r="B349" s="181"/>
      <c r="C349" s="175"/>
      <c r="D349" s="146"/>
      <c r="E349" s="10"/>
      <c r="F349" s="8" t="s">
        <v>23</v>
      </c>
      <c r="G349" s="135"/>
      <c r="H349" s="135"/>
      <c r="I349" s="134"/>
      <c r="J349" s="135"/>
      <c r="K349" s="2"/>
    </row>
    <row r="350" spans="1:11" ht="15.5">
      <c r="A350" s="185"/>
      <c r="B350" s="181"/>
      <c r="C350" s="175"/>
      <c r="D350" s="146"/>
      <c r="E350" s="10"/>
      <c r="F350" s="8" t="s">
        <v>23</v>
      </c>
      <c r="G350" s="135"/>
      <c r="H350" s="135"/>
      <c r="I350" s="134"/>
      <c r="J350" s="135"/>
      <c r="K350" s="2"/>
    </row>
    <row r="351" spans="1:11" ht="15.5">
      <c r="A351" s="185"/>
      <c r="B351" s="181"/>
      <c r="C351" s="176"/>
      <c r="D351" s="146"/>
      <c r="E351" s="10"/>
      <c r="F351" s="8" t="s">
        <v>23</v>
      </c>
      <c r="G351" s="135"/>
      <c r="H351" s="135"/>
      <c r="I351" s="134"/>
      <c r="J351" s="135"/>
      <c r="K351" s="2"/>
    </row>
    <row r="352" spans="1:11" ht="15.5">
      <c r="A352" s="185"/>
      <c r="B352" s="181"/>
      <c r="C352" s="174" t="s">
        <v>1491</v>
      </c>
      <c r="D352" s="146"/>
      <c r="E352" s="10"/>
      <c r="F352" s="8" t="s">
        <v>23</v>
      </c>
      <c r="G352" s="135"/>
      <c r="H352" s="135"/>
      <c r="I352" s="134"/>
      <c r="J352" s="135"/>
      <c r="K352" s="2"/>
    </row>
    <row r="353" spans="1:11" ht="15.5">
      <c r="A353" s="185"/>
      <c r="B353" s="181"/>
      <c r="C353" s="175"/>
      <c r="D353" s="146"/>
      <c r="E353" s="10"/>
      <c r="F353" s="8" t="s">
        <v>23</v>
      </c>
      <c r="G353" s="135"/>
      <c r="H353" s="135"/>
      <c r="I353" s="134"/>
      <c r="J353" s="135"/>
      <c r="K353" s="2"/>
    </row>
    <row r="354" spans="1:11" ht="15.5">
      <c r="A354" s="185"/>
      <c r="B354" s="181"/>
      <c r="C354" s="175"/>
      <c r="D354" s="146"/>
      <c r="E354" s="10"/>
      <c r="F354" s="8" t="s">
        <v>23</v>
      </c>
      <c r="G354" s="135"/>
      <c r="H354" s="135"/>
      <c r="I354" s="134"/>
      <c r="J354" s="135"/>
      <c r="K354" s="2"/>
    </row>
    <row r="355" spans="1:11" ht="15.5">
      <c r="A355" s="185"/>
      <c r="B355" s="181"/>
      <c r="C355" s="175"/>
      <c r="D355" s="146"/>
      <c r="E355" s="10"/>
      <c r="F355" s="8" t="s">
        <v>23</v>
      </c>
      <c r="G355" s="135"/>
      <c r="H355" s="135"/>
      <c r="I355" s="134"/>
      <c r="J355" s="135"/>
      <c r="K355" s="2"/>
    </row>
    <row r="356" spans="1:11" ht="15.5">
      <c r="A356" s="185"/>
      <c r="B356" s="181"/>
      <c r="C356" s="176"/>
      <c r="D356" s="146"/>
      <c r="E356" s="10"/>
      <c r="F356" s="8" t="s">
        <v>23</v>
      </c>
      <c r="G356" s="135"/>
      <c r="H356" s="135"/>
      <c r="I356" s="134"/>
      <c r="J356" s="135"/>
      <c r="K356" s="2"/>
    </row>
    <row r="357" spans="1:11" ht="15.5">
      <c r="A357" s="185"/>
      <c r="B357" s="181"/>
      <c r="C357" s="174" t="s">
        <v>1492</v>
      </c>
      <c r="D357" s="146"/>
      <c r="E357" s="10"/>
      <c r="F357" s="8" t="s">
        <v>23</v>
      </c>
      <c r="G357" s="135"/>
      <c r="H357" s="135"/>
      <c r="I357" s="134"/>
      <c r="J357" s="135"/>
      <c r="K357" s="2"/>
    </row>
    <row r="358" spans="1:11" ht="15.5">
      <c r="A358" s="185"/>
      <c r="B358" s="181"/>
      <c r="C358" s="175"/>
      <c r="D358" s="146"/>
      <c r="E358" s="10"/>
      <c r="F358" s="8" t="s">
        <v>58</v>
      </c>
      <c r="G358" s="135"/>
      <c r="H358" s="135"/>
      <c r="I358" s="134"/>
      <c r="J358" s="135"/>
      <c r="K358" s="2"/>
    </row>
    <row r="359" spans="1:11" ht="15.5">
      <c r="A359" s="185"/>
      <c r="B359" s="181"/>
      <c r="C359" s="175"/>
      <c r="D359" s="146"/>
      <c r="E359" s="10"/>
      <c r="F359" s="8" t="s">
        <v>58</v>
      </c>
      <c r="G359" s="135"/>
      <c r="H359" s="135"/>
      <c r="I359" s="134"/>
      <c r="J359" s="135"/>
      <c r="K359" s="2"/>
    </row>
    <row r="360" spans="1:11" ht="15.5">
      <c r="A360" s="185"/>
      <c r="B360" s="181"/>
      <c r="C360" s="175"/>
      <c r="D360" s="146"/>
      <c r="E360" s="10"/>
      <c r="F360" s="8" t="s">
        <v>58</v>
      </c>
      <c r="G360" s="135"/>
      <c r="H360" s="135"/>
      <c r="I360" s="134"/>
      <c r="J360" s="135"/>
      <c r="K360" s="2"/>
    </row>
    <row r="361" spans="1:11" ht="16" thickBot="1">
      <c r="A361" s="185"/>
      <c r="B361" s="181"/>
      <c r="C361" s="176"/>
      <c r="D361" s="146" t="s">
        <v>1493</v>
      </c>
      <c r="E361" s="10"/>
      <c r="F361" s="8" t="s">
        <v>58</v>
      </c>
      <c r="G361" s="135"/>
      <c r="H361" s="135"/>
      <c r="I361" s="134"/>
      <c r="J361" s="135"/>
      <c r="K361" s="2"/>
    </row>
    <row r="362" spans="1:11" ht="15.5">
      <c r="A362" s="185"/>
      <c r="B362" s="183" t="s">
        <v>1494</v>
      </c>
      <c r="C362" s="174" t="s">
        <v>1495</v>
      </c>
      <c r="D362" s="146"/>
      <c r="E362" s="10"/>
      <c r="F362" s="8" t="s">
        <v>58</v>
      </c>
      <c r="G362" s="135"/>
      <c r="H362" s="135"/>
      <c r="I362" s="134"/>
      <c r="J362" s="135"/>
      <c r="K362" s="2"/>
    </row>
    <row r="363" spans="1:11" ht="15.5">
      <c r="A363" s="185"/>
      <c r="B363" s="181"/>
      <c r="C363" s="175"/>
      <c r="D363" s="146"/>
      <c r="E363" s="10"/>
      <c r="F363" s="8" t="s">
        <v>58</v>
      </c>
      <c r="G363" s="135"/>
      <c r="H363" s="135"/>
      <c r="I363" s="134"/>
      <c r="J363" s="135"/>
      <c r="K363" s="2"/>
    </row>
    <row r="364" spans="1:11" ht="15.5">
      <c r="A364" s="185"/>
      <c r="B364" s="181"/>
      <c r="C364" s="175"/>
      <c r="D364" s="146"/>
      <c r="E364" s="10"/>
      <c r="F364" s="8" t="s">
        <v>58</v>
      </c>
      <c r="G364" s="135"/>
      <c r="H364" s="135"/>
      <c r="I364" s="134"/>
      <c r="J364" s="135"/>
      <c r="K364" s="2"/>
    </row>
    <row r="365" spans="1:11" ht="15.5">
      <c r="A365" s="185"/>
      <c r="B365" s="181"/>
      <c r="C365" s="175"/>
      <c r="D365" s="146"/>
      <c r="E365" s="10"/>
      <c r="F365" s="8" t="s">
        <v>58</v>
      </c>
      <c r="G365" s="135"/>
      <c r="H365" s="135"/>
      <c r="I365" s="134"/>
      <c r="J365" s="135"/>
      <c r="K365" s="2"/>
    </row>
    <row r="366" spans="1:11" ht="15.5">
      <c r="A366" s="185"/>
      <c r="B366" s="181"/>
      <c r="C366" s="176"/>
      <c r="D366" s="146"/>
      <c r="E366" s="135" t="s">
        <v>1496</v>
      </c>
      <c r="F366" s="8" t="s">
        <v>58</v>
      </c>
      <c r="G366" s="135"/>
      <c r="H366" s="135"/>
      <c r="I366" s="134"/>
      <c r="J366" s="135"/>
      <c r="K366" s="2"/>
    </row>
    <row r="367" spans="1:11" ht="15.5">
      <c r="A367" s="185"/>
      <c r="B367" s="181"/>
      <c r="C367" s="174" t="s">
        <v>1497</v>
      </c>
      <c r="D367" s="146"/>
      <c r="E367" s="135"/>
      <c r="F367" s="8" t="s">
        <v>58</v>
      </c>
      <c r="G367" s="135" t="s">
        <v>1498</v>
      </c>
      <c r="H367" s="135" t="s">
        <v>1499</v>
      </c>
      <c r="I367" s="134" t="s">
        <v>26</v>
      </c>
      <c r="J367" s="135" t="s">
        <v>1500</v>
      </c>
      <c r="K367" s="2"/>
    </row>
    <row r="368" spans="1:11" ht="15.5">
      <c r="A368" s="185"/>
      <c r="B368" s="181"/>
      <c r="C368" s="175"/>
      <c r="D368" s="146"/>
      <c r="E368" s="135"/>
      <c r="F368" s="8" t="s">
        <v>16</v>
      </c>
      <c r="G368" s="135"/>
      <c r="H368" s="135"/>
      <c r="I368" s="134"/>
      <c r="J368" s="135"/>
      <c r="K368" s="2"/>
    </row>
    <row r="369" spans="1:11" ht="15.5">
      <c r="A369" s="185"/>
      <c r="B369" s="181"/>
      <c r="C369" s="175"/>
      <c r="D369" s="146"/>
      <c r="E369" s="135"/>
      <c r="F369" s="8" t="s">
        <v>16</v>
      </c>
      <c r="G369" s="135"/>
      <c r="H369" s="135"/>
      <c r="I369" s="134"/>
      <c r="J369" s="135"/>
      <c r="K369" s="2"/>
    </row>
    <row r="370" spans="1:11" ht="15.5">
      <c r="A370" s="185"/>
      <c r="B370" s="181"/>
      <c r="C370" s="175"/>
      <c r="D370" s="146"/>
      <c r="E370" s="135"/>
      <c r="F370" s="8" t="s">
        <v>16</v>
      </c>
      <c r="G370" s="135"/>
      <c r="H370" s="135"/>
      <c r="I370" s="134"/>
      <c r="J370" s="135"/>
      <c r="K370" s="2"/>
    </row>
    <row r="371" spans="1:11" ht="15.5">
      <c r="A371" s="185"/>
      <c r="B371" s="181"/>
      <c r="C371" s="176"/>
      <c r="D371" s="146"/>
      <c r="E371" s="135"/>
      <c r="F371" s="8" t="s">
        <v>16</v>
      </c>
      <c r="G371" s="135"/>
      <c r="H371" s="135"/>
      <c r="I371" s="134"/>
      <c r="J371" s="135"/>
      <c r="K371" s="2"/>
    </row>
    <row r="372" spans="1:11" ht="15.5">
      <c r="A372" s="185"/>
      <c r="B372" s="181"/>
      <c r="C372" s="174" t="s">
        <v>1501</v>
      </c>
      <c r="D372" s="146"/>
      <c r="E372" s="135"/>
      <c r="F372" s="8" t="s">
        <v>16</v>
      </c>
      <c r="G372" s="135"/>
      <c r="H372" s="135"/>
      <c r="I372" s="134"/>
      <c r="J372" s="135"/>
      <c r="K372" s="2"/>
    </row>
    <row r="373" spans="1:11" ht="15.5">
      <c r="A373" s="185"/>
      <c r="B373" s="181"/>
      <c r="C373" s="175"/>
      <c r="D373" s="146"/>
      <c r="E373" s="135"/>
      <c r="F373" s="8" t="s">
        <v>16</v>
      </c>
      <c r="G373" s="135"/>
      <c r="H373" s="135"/>
      <c r="I373" s="134"/>
      <c r="J373" s="135"/>
      <c r="K373" s="2"/>
    </row>
    <row r="374" spans="1:11" ht="15.5">
      <c r="A374" s="185"/>
      <c r="B374" s="181"/>
      <c r="C374" s="175"/>
      <c r="D374" s="146"/>
      <c r="E374" s="135"/>
      <c r="F374" s="8" t="s">
        <v>16</v>
      </c>
      <c r="G374" s="135"/>
      <c r="H374" s="135"/>
      <c r="I374" s="134"/>
      <c r="J374" s="135"/>
      <c r="K374" s="2"/>
    </row>
    <row r="375" spans="1:11" ht="15.5">
      <c r="A375" s="185"/>
      <c r="B375" s="181"/>
      <c r="C375" s="175"/>
      <c r="D375" s="146"/>
      <c r="E375" s="135"/>
      <c r="F375" s="8" t="s">
        <v>16</v>
      </c>
      <c r="G375" s="135"/>
      <c r="H375" s="135"/>
      <c r="I375" s="134"/>
      <c r="J375" s="135"/>
      <c r="K375" s="2"/>
    </row>
    <row r="376" spans="1:11" ht="15.5">
      <c r="A376" s="185"/>
      <c r="B376" s="181"/>
      <c r="C376" s="176"/>
      <c r="D376" s="146"/>
      <c r="E376" s="135"/>
      <c r="F376" s="8" t="s">
        <v>16</v>
      </c>
      <c r="G376" s="135"/>
      <c r="H376" s="135"/>
      <c r="I376" s="134"/>
      <c r="J376" s="135"/>
      <c r="K376" s="2"/>
    </row>
    <row r="377" spans="1:11" ht="15.5">
      <c r="A377" s="185"/>
      <c r="B377" s="181"/>
      <c r="C377" s="174" t="s">
        <v>1502</v>
      </c>
      <c r="D377" s="146"/>
      <c r="E377" s="135"/>
      <c r="F377" s="8" t="s">
        <v>16</v>
      </c>
      <c r="G377" s="135"/>
      <c r="H377" s="135"/>
      <c r="I377" s="134"/>
      <c r="J377" s="135"/>
      <c r="K377" s="2"/>
    </row>
    <row r="378" spans="1:11" ht="15.5">
      <c r="A378" s="185"/>
      <c r="B378" s="181"/>
      <c r="C378" s="175"/>
      <c r="D378" s="146"/>
      <c r="E378" s="135"/>
      <c r="F378" s="8" t="s">
        <v>16</v>
      </c>
      <c r="G378" s="135"/>
      <c r="H378" s="135"/>
      <c r="I378" s="134"/>
      <c r="J378" s="135"/>
      <c r="K378" s="2"/>
    </row>
    <row r="379" spans="1:11" ht="15.5">
      <c r="A379" s="185"/>
      <c r="B379" s="181"/>
      <c r="C379" s="175"/>
      <c r="D379" s="146"/>
      <c r="E379" s="135"/>
      <c r="F379" s="8" t="s">
        <v>16</v>
      </c>
      <c r="G379" s="135"/>
      <c r="H379" s="135"/>
      <c r="I379" s="134"/>
      <c r="J379" s="135"/>
      <c r="K379" s="2"/>
    </row>
    <row r="380" spans="1:11" ht="15.5">
      <c r="A380" s="185"/>
      <c r="B380" s="181"/>
      <c r="C380" s="175"/>
      <c r="D380" s="146"/>
      <c r="E380" s="135"/>
      <c r="F380" s="8" t="s">
        <v>16</v>
      </c>
      <c r="G380" s="135"/>
      <c r="H380" s="135"/>
      <c r="I380" s="134"/>
      <c r="J380" s="135"/>
      <c r="K380" s="2"/>
    </row>
    <row r="381" spans="1:11" ht="15.5">
      <c r="A381" s="185"/>
      <c r="B381" s="181"/>
      <c r="C381" s="176"/>
      <c r="D381" s="146"/>
      <c r="E381" s="135"/>
      <c r="F381" s="8" t="s">
        <v>16</v>
      </c>
      <c r="G381" s="135"/>
      <c r="H381" s="135"/>
      <c r="I381" s="134"/>
      <c r="J381" s="135"/>
      <c r="K381" s="2"/>
    </row>
    <row r="382" spans="1:11" ht="15.5">
      <c r="A382" s="185"/>
      <c r="B382" s="181"/>
      <c r="C382" s="174" t="s">
        <v>1503</v>
      </c>
      <c r="D382" s="146"/>
      <c r="E382" s="135"/>
      <c r="F382" s="8" t="s">
        <v>16</v>
      </c>
      <c r="G382" s="135"/>
      <c r="H382" s="135"/>
      <c r="I382" s="134"/>
      <c r="J382" s="135"/>
      <c r="K382" s="2"/>
    </row>
    <row r="383" spans="1:11" ht="15.5">
      <c r="A383" s="185"/>
      <c r="B383" s="181"/>
      <c r="C383" s="175"/>
      <c r="D383" s="146"/>
      <c r="E383" s="135"/>
      <c r="F383" s="8" t="s">
        <v>16</v>
      </c>
      <c r="G383" s="135"/>
      <c r="H383" s="135"/>
      <c r="I383" s="134"/>
      <c r="J383" s="135"/>
      <c r="K383" s="2"/>
    </row>
    <row r="384" spans="1:11" ht="15.5">
      <c r="A384" s="185"/>
      <c r="B384" s="181"/>
      <c r="C384" s="175"/>
      <c r="D384" s="146"/>
      <c r="E384" s="135"/>
      <c r="F384" s="8" t="s">
        <v>16</v>
      </c>
      <c r="G384" s="135"/>
      <c r="H384" s="135"/>
      <c r="I384" s="134"/>
      <c r="J384" s="135"/>
      <c r="K384" s="2"/>
    </row>
    <row r="385" spans="1:11" ht="15.5">
      <c r="A385" s="185"/>
      <c r="B385" s="181"/>
      <c r="C385" s="175"/>
      <c r="D385" s="146"/>
      <c r="E385" s="135"/>
      <c r="F385" s="8" t="s">
        <v>16</v>
      </c>
      <c r="G385" s="135"/>
      <c r="H385" s="135"/>
      <c r="I385" s="134"/>
      <c r="J385" s="135"/>
      <c r="K385" s="2"/>
    </row>
    <row r="386" spans="1:11" ht="15.5">
      <c r="A386" s="185"/>
      <c r="B386" s="181"/>
      <c r="C386" s="176"/>
      <c r="D386" s="146"/>
      <c r="E386" s="135"/>
      <c r="F386" s="8" t="s">
        <v>16</v>
      </c>
      <c r="G386" s="135"/>
      <c r="H386" s="135"/>
      <c r="I386" s="134"/>
      <c r="J386" s="135"/>
      <c r="K386" s="2"/>
    </row>
    <row r="387" spans="1:11" ht="15.5">
      <c r="A387" s="185"/>
      <c r="B387" s="181"/>
      <c r="C387" s="174" t="s">
        <v>1504</v>
      </c>
      <c r="D387" s="146"/>
      <c r="E387" s="135"/>
      <c r="F387" s="8" t="s">
        <v>16</v>
      </c>
      <c r="G387" s="135"/>
      <c r="H387" s="135"/>
      <c r="I387" s="134"/>
      <c r="J387" s="135"/>
      <c r="K387" s="2"/>
    </row>
    <row r="388" spans="1:11" ht="15.5">
      <c r="A388" s="185"/>
      <c r="B388" s="181"/>
      <c r="C388" s="175"/>
      <c r="D388" s="146"/>
      <c r="E388" s="135"/>
      <c r="F388" s="8" t="s">
        <v>16</v>
      </c>
      <c r="G388" s="135"/>
      <c r="H388" s="135"/>
      <c r="I388" s="134"/>
      <c r="J388" s="135"/>
      <c r="K388" s="2"/>
    </row>
    <row r="389" spans="1:11" ht="15.5">
      <c r="A389" s="185"/>
      <c r="B389" s="181"/>
      <c r="C389" s="175"/>
      <c r="D389" s="146"/>
      <c r="E389" s="135"/>
      <c r="F389" s="8" t="s">
        <v>16</v>
      </c>
      <c r="G389" s="135"/>
      <c r="H389" s="135"/>
      <c r="I389" s="134"/>
      <c r="J389" s="135"/>
      <c r="K389" s="2"/>
    </row>
    <row r="390" spans="1:11" ht="15.5">
      <c r="A390" s="185"/>
      <c r="B390" s="181"/>
      <c r="C390" s="175"/>
      <c r="D390" s="146"/>
      <c r="E390" s="135"/>
      <c r="F390" s="8" t="s">
        <v>16</v>
      </c>
      <c r="G390" s="135"/>
      <c r="H390" s="135"/>
      <c r="I390" s="134"/>
      <c r="J390" s="135"/>
      <c r="K390" s="2"/>
    </row>
    <row r="391" spans="1:11" ht="16" thickBot="1">
      <c r="A391" s="185"/>
      <c r="B391" s="182"/>
      <c r="C391" s="176"/>
      <c r="D391" s="146" t="s">
        <v>1505</v>
      </c>
      <c r="E391" s="135"/>
      <c r="F391" s="8" t="s">
        <v>16</v>
      </c>
      <c r="G391" s="135"/>
      <c r="H391" s="135"/>
      <c r="I391" s="134"/>
      <c r="J391" s="135"/>
      <c r="K391" s="2"/>
    </row>
    <row r="392" spans="1:11" ht="15.5">
      <c r="A392" s="185"/>
      <c r="B392" s="183" t="s">
        <v>1506</v>
      </c>
      <c r="C392" s="174" t="s">
        <v>1507</v>
      </c>
      <c r="D392" s="146"/>
      <c r="E392" s="135"/>
      <c r="F392" s="8" t="s">
        <v>16</v>
      </c>
      <c r="G392" s="135"/>
      <c r="H392" s="135"/>
      <c r="I392" s="134"/>
      <c r="J392" s="135"/>
      <c r="K392" s="2"/>
    </row>
    <row r="393" spans="1:11" ht="15.5">
      <c r="A393" s="185"/>
      <c r="B393" s="181"/>
      <c r="C393" s="175"/>
      <c r="D393" s="146"/>
      <c r="E393" s="135"/>
      <c r="F393" s="8" t="s">
        <v>16</v>
      </c>
      <c r="G393" s="135"/>
      <c r="H393" s="135"/>
      <c r="I393" s="134"/>
      <c r="J393" s="135"/>
      <c r="K393" s="2"/>
    </row>
    <row r="394" spans="1:11" ht="15.5">
      <c r="A394" s="185"/>
      <c r="B394" s="181"/>
      <c r="C394" s="175"/>
      <c r="D394" s="146"/>
      <c r="E394" s="135"/>
      <c r="F394" s="8" t="s">
        <v>16</v>
      </c>
      <c r="G394" s="135"/>
      <c r="H394" s="135"/>
      <c r="I394" s="134"/>
      <c r="J394" s="135"/>
      <c r="K394" s="2"/>
    </row>
    <row r="395" spans="1:11" ht="15.5">
      <c r="A395" s="185"/>
      <c r="B395" s="181"/>
      <c r="C395" s="175"/>
      <c r="D395" s="146"/>
      <c r="E395" s="135"/>
      <c r="F395" s="8" t="s">
        <v>16</v>
      </c>
      <c r="G395" s="135"/>
      <c r="H395" s="135"/>
      <c r="I395" s="134"/>
      <c r="J395" s="135"/>
      <c r="K395" s="2"/>
    </row>
    <row r="396" spans="1:11" ht="15.5">
      <c r="A396" s="185"/>
      <c r="B396" s="181"/>
      <c r="C396" s="176"/>
      <c r="D396" s="146"/>
      <c r="E396" s="135" t="s">
        <v>1508</v>
      </c>
      <c r="F396" s="8" t="s">
        <v>16</v>
      </c>
      <c r="G396" s="135"/>
      <c r="H396" s="135"/>
      <c r="I396" s="134"/>
      <c r="J396" s="135"/>
      <c r="K396" s="2"/>
    </row>
    <row r="397" spans="1:11" ht="15.5">
      <c r="A397" s="186"/>
      <c r="B397" s="181"/>
      <c r="C397" s="174" t="s">
        <v>1509</v>
      </c>
      <c r="D397" s="146"/>
      <c r="E397" s="135"/>
      <c r="F397" s="8" t="s">
        <v>16</v>
      </c>
      <c r="G397" s="135" t="s">
        <v>1510</v>
      </c>
      <c r="H397" s="135" t="s">
        <v>1511</v>
      </c>
      <c r="I397" s="134" t="s">
        <v>213</v>
      </c>
      <c r="J397" s="135" t="s">
        <v>1512</v>
      </c>
      <c r="K397" s="2"/>
    </row>
    <row r="398" spans="1:11" ht="15.5">
      <c r="A398" s="110"/>
      <c r="B398" s="181"/>
      <c r="C398" s="175"/>
      <c r="D398" s="146"/>
      <c r="E398" s="135"/>
      <c r="F398" s="8" t="s">
        <v>16</v>
      </c>
      <c r="G398" s="135"/>
      <c r="H398" s="135"/>
      <c r="I398" s="134"/>
      <c r="J398" s="135"/>
      <c r="K398" s="2"/>
    </row>
    <row r="399" spans="1:11" ht="15.5">
      <c r="A399" s="110"/>
      <c r="B399" s="181"/>
      <c r="C399" s="175"/>
      <c r="D399" s="146"/>
      <c r="E399" s="135"/>
      <c r="F399" s="8" t="s">
        <v>16</v>
      </c>
      <c r="G399" s="135"/>
      <c r="H399" s="135"/>
      <c r="I399" s="134"/>
      <c r="J399" s="135"/>
      <c r="K399" s="2"/>
    </row>
    <row r="400" spans="1:11" ht="15.5">
      <c r="A400" s="110"/>
      <c r="B400" s="181"/>
      <c r="C400" s="175"/>
      <c r="D400" s="146"/>
      <c r="E400" s="135"/>
      <c r="F400" s="8" t="s">
        <v>16</v>
      </c>
      <c r="G400" s="135"/>
      <c r="H400" s="135"/>
      <c r="I400" s="134"/>
      <c r="J400" s="135"/>
      <c r="K400" s="2"/>
    </row>
    <row r="401" spans="1:11" ht="15.5">
      <c r="A401" s="110"/>
      <c r="B401" s="181"/>
      <c r="C401" s="176"/>
      <c r="D401" s="146"/>
      <c r="E401" s="135"/>
      <c r="F401" s="8" t="s">
        <v>16</v>
      </c>
      <c r="G401" s="135"/>
      <c r="H401" s="135"/>
      <c r="I401" s="134"/>
      <c r="J401" s="135"/>
      <c r="K401" s="2"/>
    </row>
    <row r="402" spans="1:11" ht="15.5">
      <c r="A402" s="110"/>
      <c r="B402" s="181"/>
      <c r="C402" s="174" t="s">
        <v>1513</v>
      </c>
      <c r="D402" s="146"/>
      <c r="E402" s="135"/>
      <c r="F402" s="8" t="s">
        <v>16</v>
      </c>
      <c r="G402" s="135"/>
      <c r="H402" s="135"/>
      <c r="I402" s="134"/>
      <c r="J402" s="135"/>
      <c r="K402" s="2"/>
    </row>
    <row r="403" spans="1:11" ht="15.5">
      <c r="A403" s="110"/>
      <c r="B403" s="181"/>
      <c r="C403" s="175"/>
      <c r="D403" s="146"/>
      <c r="E403" s="135"/>
      <c r="F403" s="8" t="s">
        <v>16</v>
      </c>
      <c r="G403" s="135"/>
      <c r="H403" s="135"/>
      <c r="I403" s="134"/>
      <c r="J403" s="135"/>
      <c r="K403" s="2"/>
    </row>
    <row r="404" spans="1:11" ht="15.5">
      <c r="A404" s="110"/>
      <c r="B404" s="181"/>
      <c r="C404" s="175"/>
      <c r="D404" s="146"/>
      <c r="E404" s="135"/>
      <c r="F404" s="8" t="s">
        <v>16</v>
      </c>
      <c r="G404" s="135"/>
      <c r="H404" s="135"/>
      <c r="I404" s="134"/>
      <c r="J404" s="135"/>
      <c r="K404" s="2"/>
    </row>
    <row r="405" spans="1:11" ht="15.5">
      <c r="A405" s="110"/>
      <c r="B405" s="181"/>
      <c r="C405" s="175"/>
      <c r="D405" s="146"/>
      <c r="E405" s="135"/>
      <c r="F405" s="8" t="s">
        <v>16</v>
      </c>
      <c r="G405" s="135"/>
      <c r="H405" s="135"/>
      <c r="I405" s="134"/>
      <c r="J405" s="135"/>
      <c r="K405" s="2"/>
    </row>
    <row r="406" spans="1:11" ht="15.5">
      <c r="A406" s="110"/>
      <c r="B406" s="181"/>
      <c r="C406" s="176"/>
      <c r="D406" s="146"/>
      <c r="E406" s="135"/>
      <c r="F406" s="8" t="s">
        <v>16</v>
      </c>
      <c r="G406" s="135"/>
      <c r="H406" s="135"/>
      <c r="I406" s="134"/>
      <c r="J406" s="135"/>
      <c r="K406" s="2"/>
    </row>
    <row r="407" spans="1:11" ht="15.5">
      <c r="A407" s="110"/>
      <c r="B407" s="181"/>
      <c r="C407" s="174" t="s">
        <v>1514</v>
      </c>
      <c r="D407" s="146"/>
      <c r="E407" s="135"/>
      <c r="F407" s="8" t="s">
        <v>16</v>
      </c>
      <c r="G407" s="135"/>
      <c r="H407" s="135"/>
      <c r="I407" s="134"/>
      <c r="J407" s="135"/>
      <c r="K407" s="2"/>
    </row>
    <row r="408" spans="1:11" ht="15.5">
      <c r="A408" s="110"/>
      <c r="B408" s="181"/>
      <c r="C408" s="175"/>
      <c r="D408" s="146"/>
      <c r="E408" s="135"/>
      <c r="F408" s="8" t="s">
        <v>16</v>
      </c>
      <c r="G408" s="135"/>
      <c r="H408" s="135"/>
      <c r="I408" s="134"/>
      <c r="J408" s="135"/>
      <c r="K408" s="2"/>
    </row>
    <row r="409" spans="1:11" ht="15.5">
      <c r="A409" s="110"/>
      <c r="B409" s="181"/>
      <c r="C409" s="175"/>
      <c r="D409" s="146"/>
      <c r="E409" s="135"/>
      <c r="F409" s="8" t="s">
        <v>16</v>
      </c>
      <c r="G409" s="135"/>
      <c r="H409" s="135"/>
      <c r="I409" s="134"/>
      <c r="J409" s="135"/>
      <c r="K409" s="2"/>
    </row>
    <row r="410" spans="1:11" ht="15.5">
      <c r="A410" s="110"/>
      <c r="B410" s="181"/>
      <c r="C410" s="175"/>
      <c r="D410" s="146"/>
      <c r="E410" s="135"/>
      <c r="F410" s="8" t="s">
        <v>16</v>
      </c>
      <c r="G410" s="135"/>
      <c r="H410" s="135"/>
      <c r="I410" s="134"/>
      <c r="J410" s="135"/>
      <c r="K410" s="2"/>
    </row>
    <row r="411" spans="1:11" ht="15.5">
      <c r="A411" s="110"/>
      <c r="B411" s="181"/>
      <c r="C411" s="176"/>
      <c r="D411" s="146"/>
      <c r="E411" s="135"/>
      <c r="F411" s="8" t="s">
        <v>16</v>
      </c>
      <c r="G411" s="135"/>
      <c r="H411" s="135"/>
      <c r="I411" s="134"/>
      <c r="J411" s="135"/>
      <c r="K411" s="2"/>
    </row>
    <row r="412" spans="1:11" ht="15.5">
      <c r="A412" s="110"/>
      <c r="B412" s="181"/>
      <c r="C412" s="174" t="s">
        <v>1515</v>
      </c>
      <c r="D412" s="146"/>
      <c r="E412" s="135"/>
      <c r="F412" s="8" t="s">
        <v>16</v>
      </c>
      <c r="G412" s="135"/>
      <c r="H412" s="135"/>
      <c r="I412" s="134"/>
      <c r="J412" s="135"/>
      <c r="K412" s="2"/>
    </row>
    <row r="413" spans="1:11" ht="15.5">
      <c r="A413" s="110"/>
      <c r="B413" s="181"/>
      <c r="C413" s="175"/>
      <c r="D413" s="146"/>
      <c r="E413" s="135"/>
      <c r="F413" s="8" t="s">
        <v>16</v>
      </c>
      <c r="G413" s="135"/>
      <c r="H413" s="135"/>
      <c r="I413" s="134"/>
      <c r="J413" s="135"/>
      <c r="K413" s="2"/>
    </row>
    <row r="414" spans="1:11" ht="15.5">
      <c r="A414" s="110"/>
      <c r="B414" s="181"/>
      <c r="C414" s="175"/>
      <c r="D414" s="146"/>
      <c r="E414" s="135"/>
      <c r="F414" s="8" t="s">
        <v>16</v>
      </c>
      <c r="G414" s="135"/>
      <c r="H414" s="135"/>
      <c r="I414" s="134"/>
      <c r="J414" s="135"/>
      <c r="K414" s="2"/>
    </row>
    <row r="415" spans="1:11" ht="15.5">
      <c r="A415" s="110"/>
      <c r="B415" s="181"/>
      <c r="C415" s="175"/>
      <c r="D415" s="146"/>
      <c r="E415" s="135"/>
      <c r="F415" s="8" t="s">
        <v>16</v>
      </c>
      <c r="G415" s="135"/>
      <c r="H415" s="135"/>
      <c r="I415" s="134"/>
      <c r="J415" s="135"/>
      <c r="K415" s="2"/>
    </row>
    <row r="416" spans="1:11" ht="15.5">
      <c r="A416" s="110"/>
      <c r="B416" s="181"/>
      <c r="C416" s="176"/>
      <c r="D416" s="146"/>
      <c r="E416" s="135"/>
      <c r="F416" s="8" t="s">
        <v>16</v>
      </c>
      <c r="G416" s="135"/>
      <c r="H416" s="135"/>
      <c r="I416" s="134"/>
      <c r="J416" s="135"/>
      <c r="K416" s="2"/>
    </row>
    <row r="417" spans="1:11" ht="15.5">
      <c r="A417" s="110"/>
      <c r="B417" s="181"/>
      <c r="C417" s="174" t="s">
        <v>1516</v>
      </c>
      <c r="D417" s="146"/>
      <c r="E417" s="135"/>
      <c r="F417" s="8" t="s">
        <v>16</v>
      </c>
      <c r="G417" s="135"/>
      <c r="H417" s="135"/>
      <c r="I417" s="134"/>
      <c r="J417" s="135"/>
      <c r="K417" s="2"/>
    </row>
    <row r="418" spans="1:11" ht="15.5">
      <c r="A418" s="110"/>
      <c r="B418" s="181"/>
      <c r="C418" s="175"/>
      <c r="D418" s="146"/>
      <c r="E418" s="135"/>
      <c r="F418" s="8" t="s">
        <v>16</v>
      </c>
      <c r="G418" s="135"/>
      <c r="H418" s="135"/>
      <c r="I418" s="134"/>
      <c r="J418" s="135"/>
      <c r="K418" s="2"/>
    </row>
    <row r="419" spans="1:11" ht="15.5">
      <c r="A419" s="110"/>
      <c r="B419" s="181"/>
      <c r="C419" s="175"/>
      <c r="D419" s="146"/>
      <c r="E419" s="135"/>
      <c r="F419" s="8" t="s">
        <v>16</v>
      </c>
      <c r="G419" s="135"/>
      <c r="H419" s="135"/>
      <c r="I419" s="134"/>
      <c r="J419" s="135"/>
      <c r="K419" s="2"/>
    </row>
    <row r="420" spans="1:11" ht="15.5">
      <c r="A420" s="110"/>
      <c r="B420" s="181"/>
      <c r="C420" s="175"/>
      <c r="D420" s="146"/>
      <c r="E420" s="135"/>
      <c r="F420" s="8" t="s">
        <v>16</v>
      </c>
      <c r="G420" s="135"/>
      <c r="H420" s="135"/>
      <c r="I420" s="134"/>
      <c r="J420" s="135"/>
      <c r="K420" s="2"/>
    </row>
    <row r="421" spans="1:11" ht="16" thickBot="1">
      <c r="A421" s="110"/>
      <c r="B421" s="182"/>
      <c r="C421" s="176"/>
      <c r="D421" s="146" t="s">
        <v>1517</v>
      </c>
      <c r="E421" s="135"/>
      <c r="F421" s="8" t="s">
        <v>16</v>
      </c>
      <c r="G421" s="135"/>
      <c r="H421" s="135"/>
      <c r="I421" s="134"/>
      <c r="J421" s="135"/>
      <c r="K421" s="2"/>
    </row>
    <row r="422" spans="1:11" ht="15.5">
      <c r="A422" s="110"/>
      <c r="B422" s="181" t="s">
        <v>1518</v>
      </c>
      <c r="C422" s="174" t="s">
        <v>1519</v>
      </c>
      <c r="D422" s="146"/>
      <c r="E422" s="135"/>
      <c r="F422" s="8" t="s">
        <v>16</v>
      </c>
      <c r="G422" s="135"/>
      <c r="H422" s="135"/>
      <c r="I422" s="134"/>
      <c r="J422" s="135"/>
      <c r="K422" s="2"/>
    </row>
    <row r="423" spans="1:11" ht="15.5">
      <c r="A423" s="110"/>
      <c r="B423" s="181"/>
      <c r="C423" s="175"/>
      <c r="D423" s="146"/>
      <c r="E423" s="135"/>
      <c r="F423" s="8" t="s">
        <v>16</v>
      </c>
      <c r="G423" s="135"/>
      <c r="H423" s="135"/>
      <c r="I423" s="134"/>
      <c r="J423" s="135"/>
      <c r="K423" s="2"/>
    </row>
    <row r="424" spans="1:11" ht="15.5">
      <c r="A424" s="110"/>
      <c r="B424" s="181"/>
      <c r="C424" s="175"/>
      <c r="D424" s="146"/>
      <c r="E424" s="135"/>
      <c r="F424" s="8" t="s">
        <v>16</v>
      </c>
      <c r="G424" s="135"/>
      <c r="H424" s="135"/>
      <c r="I424" s="134"/>
      <c r="J424" s="135"/>
      <c r="K424" s="2"/>
    </row>
    <row r="425" spans="1:11" ht="15.5">
      <c r="A425" s="110"/>
      <c r="B425" s="181"/>
      <c r="C425" s="175"/>
      <c r="D425" s="146"/>
      <c r="E425" s="135"/>
      <c r="F425" s="8" t="s">
        <v>16</v>
      </c>
      <c r="G425" s="135"/>
      <c r="H425" s="135"/>
      <c r="I425" s="134"/>
      <c r="J425" s="135"/>
      <c r="K425" s="2"/>
    </row>
    <row r="426" spans="1:11" ht="15.5">
      <c r="A426" s="110"/>
      <c r="B426" s="181"/>
      <c r="C426" s="176"/>
      <c r="D426" s="146"/>
      <c r="E426" s="135" t="s">
        <v>1520</v>
      </c>
      <c r="F426" s="8" t="s">
        <v>16</v>
      </c>
      <c r="G426" s="135"/>
      <c r="H426" s="135"/>
      <c r="I426" s="134"/>
      <c r="J426" s="135"/>
      <c r="K426" s="2"/>
    </row>
    <row r="427" spans="1:11" ht="15.5">
      <c r="A427" s="184" t="s">
        <v>1521</v>
      </c>
      <c r="B427" s="181"/>
      <c r="C427" s="174" t="s">
        <v>1522</v>
      </c>
      <c r="D427" s="146"/>
      <c r="E427" s="135"/>
      <c r="F427" s="8" t="s">
        <v>16</v>
      </c>
      <c r="G427" s="135" t="s">
        <v>1523</v>
      </c>
      <c r="H427" s="135" t="s">
        <v>1524</v>
      </c>
      <c r="I427" s="134" t="s">
        <v>213</v>
      </c>
      <c r="J427" s="135" t="s">
        <v>1525</v>
      </c>
      <c r="K427" s="2"/>
    </row>
    <row r="428" spans="1:11" ht="15.5">
      <c r="A428" s="184"/>
      <c r="B428" s="181"/>
      <c r="C428" s="175"/>
      <c r="D428" s="146"/>
      <c r="E428" s="135"/>
      <c r="F428" s="8" t="s">
        <v>16</v>
      </c>
      <c r="G428" s="135"/>
      <c r="H428" s="135"/>
      <c r="I428" s="134"/>
      <c r="J428" s="135"/>
      <c r="K428" s="2"/>
    </row>
    <row r="429" spans="1:11" ht="15.5">
      <c r="A429" s="184"/>
      <c r="B429" s="181"/>
      <c r="C429" s="175"/>
      <c r="D429" s="146"/>
      <c r="E429" s="135"/>
      <c r="F429" s="8" t="s">
        <v>16</v>
      </c>
      <c r="G429" s="135"/>
      <c r="H429" s="135"/>
      <c r="I429" s="134"/>
      <c r="J429" s="135"/>
      <c r="K429" s="2"/>
    </row>
    <row r="430" spans="1:11" ht="15.5">
      <c r="A430" s="184"/>
      <c r="B430" s="181"/>
      <c r="C430" s="175"/>
      <c r="D430" s="146"/>
      <c r="E430" s="135"/>
      <c r="F430" s="8" t="s">
        <v>16</v>
      </c>
      <c r="G430" s="135"/>
      <c r="H430" s="135"/>
      <c r="I430" s="134"/>
      <c r="J430" s="135"/>
      <c r="K430" s="2"/>
    </row>
    <row r="431" spans="1:11" ht="15.5">
      <c r="A431" s="184"/>
      <c r="B431" s="181"/>
      <c r="C431" s="176"/>
      <c r="D431" s="146"/>
      <c r="E431" s="135"/>
      <c r="F431" s="8" t="s">
        <v>16</v>
      </c>
      <c r="G431" s="135"/>
      <c r="H431" s="135"/>
      <c r="I431" s="134"/>
      <c r="J431" s="135"/>
      <c r="K431" s="2"/>
    </row>
    <row r="432" spans="1:11" ht="15.5">
      <c r="A432" s="184"/>
      <c r="B432" s="181"/>
      <c r="C432" s="174" t="s">
        <v>1526</v>
      </c>
      <c r="D432" s="146"/>
      <c r="E432" s="135"/>
      <c r="F432" s="8" t="s">
        <v>16</v>
      </c>
      <c r="G432" s="135"/>
      <c r="H432" s="135"/>
      <c r="I432" s="134"/>
      <c r="J432" s="135"/>
      <c r="K432" s="2"/>
    </row>
    <row r="433" spans="1:11" ht="15.5">
      <c r="A433" s="184"/>
      <c r="B433" s="181"/>
      <c r="C433" s="175"/>
      <c r="D433" s="146"/>
      <c r="E433" s="135"/>
      <c r="F433" s="8" t="s">
        <v>16</v>
      </c>
      <c r="G433" s="135"/>
      <c r="H433" s="135"/>
      <c r="I433" s="134"/>
      <c r="J433" s="135"/>
      <c r="K433" s="2"/>
    </row>
    <row r="434" spans="1:11" ht="15.5">
      <c r="A434" s="184"/>
      <c r="B434" s="181"/>
      <c r="C434" s="175"/>
      <c r="D434" s="146"/>
      <c r="E434" s="135"/>
      <c r="F434" s="8" t="s">
        <v>16</v>
      </c>
      <c r="G434" s="135"/>
      <c r="H434" s="135"/>
      <c r="I434" s="134"/>
      <c r="J434" s="135"/>
      <c r="K434" s="2"/>
    </row>
    <row r="435" spans="1:11" ht="15.5">
      <c r="A435" s="184"/>
      <c r="B435" s="181"/>
      <c r="C435" s="175"/>
      <c r="D435" s="146"/>
      <c r="E435" s="135"/>
      <c r="F435" s="8" t="s">
        <v>16</v>
      </c>
      <c r="G435" s="135"/>
      <c r="H435" s="135"/>
      <c r="I435" s="134"/>
      <c r="J435" s="135"/>
      <c r="K435" s="2"/>
    </row>
    <row r="436" spans="1:11" ht="15.5">
      <c r="A436" s="184"/>
      <c r="B436" s="181"/>
      <c r="C436" s="176"/>
      <c r="D436" s="146"/>
      <c r="E436" s="135"/>
      <c r="F436" s="8" t="s">
        <v>16</v>
      </c>
      <c r="G436" s="135"/>
      <c r="H436" s="135"/>
      <c r="I436" s="134"/>
      <c r="J436" s="135"/>
      <c r="K436" s="2"/>
    </row>
    <row r="437" spans="1:11" ht="15.5">
      <c r="A437" s="184"/>
      <c r="B437" s="181"/>
      <c r="C437" s="174" t="s">
        <v>1527</v>
      </c>
      <c r="D437" s="146"/>
      <c r="E437" s="135"/>
      <c r="F437" s="8" t="s">
        <v>16</v>
      </c>
      <c r="G437" s="135"/>
      <c r="H437" s="135"/>
      <c r="I437" s="134"/>
      <c r="J437" s="135"/>
      <c r="K437" s="2"/>
    </row>
    <row r="438" spans="1:11" ht="15.5">
      <c r="A438" s="184"/>
      <c r="B438" s="181"/>
      <c r="C438" s="175"/>
      <c r="D438" s="146"/>
      <c r="E438" s="135"/>
      <c r="F438" s="8" t="s">
        <v>16</v>
      </c>
      <c r="G438" s="135"/>
      <c r="H438" s="135"/>
      <c r="I438" s="134"/>
      <c r="J438" s="135"/>
      <c r="K438" s="2"/>
    </row>
    <row r="439" spans="1:11" ht="15.5">
      <c r="A439" s="184"/>
      <c r="B439" s="181"/>
      <c r="C439" s="175"/>
      <c r="D439" s="146"/>
      <c r="E439" s="135"/>
      <c r="F439" s="8" t="s">
        <v>16</v>
      </c>
      <c r="G439" s="135"/>
      <c r="H439" s="135"/>
      <c r="I439" s="134"/>
      <c r="J439" s="135"/>
      <c r="K439" s="2"/>
    </row>
    <row r="440" spans="1:11" ht="15.5">
      <c r="A440" s="184"/>
      <c r="B440" s="181"/>
      <c r="C440" s="175"/>
      <c r="D440" s="146"/>
      <c r="E440" s="135"/>
      <c r="F440" s="8" t="s">
        <v>16</v>
      </c>
      <c r="G440" s="135"/>
      <c r="H440" s="135"/>
      <c r="I440" s="134"/>
      <c r="J440" s="135"/>
      <c r="K440" s="2"/>
    </row>
    <row r="441" spans="1:11" ht="15.5">
      <c r="A441" s="184"/>
      <c r="B441" s="181"/>
      <c r="C441" s="176"/>
      <c r="D441" s="146"/>
      <c r="E441" s="135"/>
      <c r="F441" s="8" t="s">
        <v>16</v>
      </c>
      <c r="G441" s="135"/>
      <c r="H441" s="135"/>
      <c r="I441" s="134"/>
      <c r="J441" s="135"/>
      <c r="K441" s="2"/>
    </row>
    <row r="442" spans="1:11" ht="15.5">
      <c r="A442" s="184"/>
      <c r="B442" s="181"/>
      <c r="C442" s="174" t="s">
        <v>1528</v>
      </c>
      <c r="D442" s="146"/>
      <c r="E442" s="135"/>
      <c r="F442" s="8" t="s">
        <v>16</v>
      </c>
      <c r="G442" s="135"/>
      <c r="H442" s="135"/>
      <c r="I442" s="134"/>
      <c r="J442" s="135"/>
      <c r="K442" s="2"/>
    </row>
    <row r="443" spans="1:11" ht="15.5">
      <c r="A443" s="184"/>
      <c r="B443" s="181"/>
      <c r="C443" s="175"/>
      <c r="D443" s="146"/>
      <c r="E443" s="135"/>
      <c r="F443" s="8" t="s">
        <v>16</v>
      </c>
      <c r="G443" s="135"/>
      <c r="H443" s="135"/>
      <c r="I443" s="134"/>
      <c r="J443" s="135"/>
      <c r="K443" s="2"/>
    </row>
    <row r="444" spans="1:11" ht="15.5">
      <c r="A444" s="184"/>
      <c r="B444" s="181"/>
      <c r="C444" s="175"/>
      <c r="D444" s="146"/>
      <c r="E444" s="135"/>
      <c r="F444" s="8" t="s">
        <v>16</v>
      </c>
      <c r="G444" s="135"/>
      <c r="H444" s="135"/>
      <c r="I444" s="134"/>
      <c r="J444" s="135"/>
      <c r="K444" s="2"/>
    </row>
    <row r="445" spans="1:11" ht="15.5">
      <c r="A445" s="184"/>
      <c r="B445" s="181"/>
      <c r="C445" s="175"/>
      <c r="D445" s="146"/>
      <c r="E445" s="135"/>
      <c r="F445" s="8" t="s">
        <v>16</v>
      </c>
      <c r="G445" s="135"/>
      <c r="H445" s="135"/>
      <c r="I445" s="134"/>
      <c r="J445" s="135"/>
      <c r="K445" s="2"/>
    </row>
    <row r="446" spans="1:11" ht="15.5">
      <c r="A446" s="184"/>
      <c r="B446" s="181"/>
      <c r="C446" s="176"/>
      <c r="D446" s="146"/>
      <c r="E446" s="135"/>
      <c r="F446" s="8" t="s">
        <v>16</v>
      </c>
      <c r="G446" s="135"/>
      <c r="H446" s="135"/>
      <c r="I446" s="134"/>
      <c r="J446" s="135"/>
      <c r="K446" s="2"/>
    </row>
    <row r="447" spans="1:11" ht="15.5">
      <c r="A447" s="184"/>
      <c r="B447" s="181"/>
      <c r="C447" s="174" t="s">
        <v>1529</v>
      </c>
      <c r="D447" s="146"/>
      <c r="E447" s="135"/>
      <c r="F447" s="8" t="s">
        <v>16</v>
      </c>
      <c r="G447" s="135"/>
      <c r="H447" s="135"/>
      <c r="I447" s="134"/>
      <c r="J447" s="135"/>
      <c r="K447" s="2"/>
    </row>
    <row r="448" spans="1:11" ht="15.5">
      <c r="A448" s="184"/>
      <c r="B448" s="181"/>
      <c r="C448" s="175"/>
      <c r="D448" s="146"/>
      <c r="E448" s="135"/>
      <c r="F448" s="8" t="s">
        <v>16</v>
      </c>
      <c r="G448" s="135"/>
      <c r="H448" s="135"/>
      <c r="I448" s="134"/>
      <c r="J448" s="135"/>
      <c r="K448" s="2"/>
    </row>
    <row r="449" spans="1:11" ht="15.5">
      <c r="A449" s="184"/>
      <c r="B449" s="181"/>
      <c r="C449" s="175"/>
      <c r="D449" s="146"/>
      <c r="E449" s="135"/>
      <c r="F449" s="8" t="s">
        <v>16</v>
      </c>
      <c r="G449" s="135"/>
      <c r="H449" s="135"/>
      <c r="I449" s="134"/>
      <c r="J449" s="135"/>
      <c r="K449" s="2"/>
    </row>
    <row r="450" spans="1:11" ht="15.5">
      <c r="A450" s="184"/>
      <c r="B450" s="181"/>
      <c r="C450" s="175"/>
      <c r="D450" s="146"/>
      <c r="E450" s="135"/>
      <c r="F450" s="8" t="s">
        <v>16</v>
      </c>
      <c r="G450" s="135"/>
      <c r="H450" s="135"/>
      <c r="I450" s="134"/>
      <c r="J450" s="135"/>
      <c r="K450" s="2"/>
    </row>
    <row r="451" spans="1:11" ht="16" thickBot="1">
      <c r="A451" s="184"/>
      <c r="B451" s="181"/>
      <c r="C451" s="176"/>
      <c r="D451" s="146" t="s">
        <v>1530</v>
      </c>
      <c r="E451" s="135"/>
      <c r="F451" s="8" t="s">
        <v>16</v>
      </c>
      <c r="G451" s="135"/>
      <c r="H451" s="135"/>
      <c r="I451" s="134"/>
      <c r="J451" s="135"/>
      <c r="K451" s="2"/>
    </row>
    <row r="452" spans="1:11" ht="15.5">
      <c r="A452" s="184"/>
      <c r="B452" s="183" t="s">
        <v>1531</v>
      </c>
      <c r="C452" s="174" t="s">
        <v>1532</v>
      </c>
      <c r="D452" s="146"/>
      <c r="E452" s="135" t="s">
        <v>1533</v>
      </c>
      <c r="F452" s="8" t="s">
        <v>16</v>
      </c>
      <c r="G452" s="135"/>
      <c r="H452" s="135"/>
      <c r="I452" s="134"/>
      <c r="J452" s="135"/>
      <c r="K452" s="2"/>
    </row>
    <row r="453" spans="1:11" ht="15.5">
      <c r="A453" s="184"/>
      <c r="B453" s="181"/>
      <c r="C453" s="175"/>
      <c r="D453" s="146"/>
      <c r="E453" s="135"/>
      <c r="F453" s="8" t="s">
        <v>16</v>
      </c>
      <c r="G453" s="135" t="s">
        <v>1534</v>
      </c>
      <c r="H453" s="135" t="s">
        <v>1535</v>
      </c>
      <c r="I453" s="134" t="s">
        <v>26</v>
      </c>
      <c r="J453" s="135" t="s">
        <v>1536</v>
      </c>
      <c r="K453" s="2"/>
    </row>
    <row r="454" spans="1:11" ht="15.5">
      <c r="A454" s="111"/>
      <c r="B454" s="181"/>
      <c r="C454" s="175"/>
      <c r="D454" s="146"/>
      <c r="E454" s="135"/>
      <c r="F454" s="8" t="s">
        <v>16</v>
      </c>
      <c r="G454" s="135"/>
      <c r="H454" s="135"/>
      <c r="I454" s="134"/>
      <c r="J454" s="135"/>
      <c r="K454" s="2"/>
    </row>
    <row r="455" spans="1:11" ht="15.5">
      <c r="A455" s="111"/>
      <c r="B455" s="181"/>
      <c r="C455" s="175"/>
      <c r="D455" s="146"/>
      <c r="E455" s="135"/>
      <c r="F455" s="8" t="s">
        <v>16</v>
      </c>
      <c r="G455" s="135"/>
      <c r="H455" s="135"/>
      <c r="I455" s="134"/>
      <c r="J455" s="135"/>
      <c r="K455" s="2"/>
    </row>
    <row r="456" spans="1:11" ht="15.5">
      <c r="A456" s="111"/>
      <c r="B456" s="181"/>
      <c r="C456" s="176"/>
      <c r="D456" s="146"/>
      <c r="E456" s="135"/>
      <c r="F456" s="8" t="s">
        <v>16</v>
      </c>
      <c r="G456" s="135"/>
      <c r="H456" s="135"/>
      <c r="I456" s="134"/>
      <c r="J456" s="135"/>
      <c r="K456" s="2"/>
    </row>
    <row r="457" spans="1:11" ht="15.5">
      <c r="A457" s="111"/>
      <c r="B457" s="181"/>
      <c r="C457" s="174" t="s">
        <v>1537</v>
      </c>
      <c r="D457" s="146"/>
      <c r="E457" s="135"/>
      <c r="F457" s="8" t="s">
        <v>16</v>
      </c>
      <c r="G457" s="135"/>
      <c r="H457" s="135"/>
      <c r="I457" s="134"/>
      <c r="J457" s="135"/>
      <c r="K457" s="2"/>
    </row>
    <row r="458" spans="1:11" ht="15.5">
      <c r="A458" s="111"/>
      <c r="B458" s="181"/>
      <c r="C458" s="175"/>
      <c r="D458" s="146"/>
      <c r="E458" s="135"/>
      <c r="F458" s="8" t="s">
        <v>16</v>
      </c>
      <c r="G458" s="135"/>
      <c r="H458" s="135"/>
      <c r="I458" s="134"/>
      <c r="J458" s="135"/>
      <c r="K458" s="2"/>
    </row>
    <row r="459" spans="1:11" ht="15.5">
      <c r="A459" s="111"/>
      <c r="B459" s="181"/>
      <c r="C459" s="175"/>
      <c r="D459" s="146"/>
      <c r="E459" s="135"/>
      <c r="F459" s="8" t="s">
        <v>16</v>
      </c>
      <c r="G459" s="135"/>
      <c r="H459" s="135"/>
      <c r="I459" s="134"/>
      <c r="J459" s="135"/>
      <c r="K459" s="2"/>
    </row>
    <row r="460" spans="1:11" ht="15.5">
      <c r="A460" s="111"/>
      <c r="B460" s="181"/>
      <c r="C460" s="175"/>
      <c r="D460" s="146"/>
      <c r="E460" s="135"/>
      <c r="F460" s="8" t="s">
        <v>16</v>
      </c>
      <c r="G460" s="135"/>
      <c r="H460" s="135"/>
      <c r="I460" s="134"/>
      <c r="J460" s="135"/>
      <c r="K460" s="2"/>
    </row>
    <row r="461" spans="1:11" ht="15.5">
      <c r="A461" s="111"/>
      <c r="B461" s="181"/>
      <c r="C461" s="176"/>
      <c r="D461" s="146"/>
      <c r="E461" s="135"/>
      <c r="F461" s="8" t="s">
        <v>16</v>
      </c>
      <c r="G461" s="135"/>
      <c r="H461" s="135"/>
      <c r="I461" s="134"/>
      <c r="J461" s="135"/>
      <c r="K461" s="2"/>
    </row>
    <row r="462" spans="1:11" ht="15.5">
      <c r="A462" s="111"/>
      <c r="B462" s="181"/>
      <c r="C462" s="174" t="s">
        <v>1538</v>
      </c>
      <c r="D462" s="146"/>
      <c r="E462" s="135"/>
      <c r="F462" s="8" t="s">
        <v>16</v>
      </c>
      <c r="G462" s="135"/>
      <c r="H462" s="135"/>
      <c r="I462" s="134"/>
      <c r="J462" s="135"/>
      <c r="K462" s="2"/>
    </row>
    <row r="463" spans="1:11" ht="15.5">
      <c r="A463" s="111"/>
      <c r="B463" s="181"/>
      <c r="C463" s="175"/>
      <c r="D463" s="146"/>
      <c r="E463" s="135"/>
      <c r="F463" s="8" t="s">
        <v>16</v>
      </c>
      <c r="G463" s="135"/>
      <c r="H463" s="135"/>
      <c r="I463" s="134"/>
      <c r="J463" s="135"/>
      <c r="K463" s="2"/>
    </row>
    <row r="464" spans="1:11" ht="15.5">
      <c r="A464" s="111"/>
      <c r="B464" s="181"/>
      <c r="C464" s="175"/>
      <c r="D464" s="146"/>
      <c r="E464" s="135"/>
      <c r="F464" s="8" t="s">
        <v>16</v>
      </c>
      <c r="G464" s="135"/>
      <c r="H464" s="135"/>
      <c r="I464" s="134"/>
      <c r="J464" s="135"/>
      <c r="K464" s="2"/>
    </row>
    <row r="465" spans="1:11" ht="15.5">
      <c r="A465" s="111"/>
      <c r="B465" s="181"/>
      <c r="C465" s="175"/>
      <c r="D465" s="146"/>
      <c r="E465" s="135"/>
      <c r="F465" s="8" t="s">
        <v>16</v>
      </c>
      <c r="G465" s="135"/>
      <c r="H465" s="135"/>
      <c r="I465" s="134"/>
      <c r="J465" s="135"/>
      <c r="K465" s="2"/>
    </row>
    <row r="466" spans="1:11" ht="15.5">
      <c r="A466" s="111"/>
      <c r="B466" s="181"/>
      <c r="C466" s="176"/>
      <c r="D466" s="146"/>
      <c r="E466" s="135"/>
      <c r="F466" s="8" t="s">
        <v>16</v>
      </c>
      <c r="G466" s="135"/>
      <c r="H466" s="135"/>
      <c r="I466" s="134"/>
      <c r="J466" s="135"/>
      <c r="K466" s="2"/>
    </row>
    <row r="467" spans="1:11" ht="15.5">
      <c r="A467" s="111"/>
      <c r="B467" s="181"/>
      <c r="C467" s="174" t="s">
        <v>1539</v>
      </c>
      <c r="D467" s="146"/>
      <c r="E467" s="135"/>
      <c r="F467" s="8" t="s">
        <v>16</v>
      </c>
      <c r="G467" s="135"/>
      <c r="H467" s="135"/>
      <c r="I467" s="134"/>
      <c r="J467" s="135"/>
      <c r="K467" s="2"/>
    </row>
    <row r="468" spans="1:11" ht="15.5">
      <c r="A468" s="111"/>
      <c r="B468" s="181"/>
      <c r="C468" s="175"/>
      <c r="D468" s="146"/>
      <c r="E468" s="135"/>
      <c r="F468" s="8" t="s">
        <v>16</v>
      </c>
      <c r="G468" s="135"/>
      <c r="H468" s="135"/>
      <c r="I468" s="134"/>
      <c r="J468" s="135"/>
      <c r="K468" s="2"/>
    </row>
    <row r="469" spans="1:11" ht="15.5">
      <c r="A469" s="111"/>
      <c r="B469" s="181"/>
      <c r="C469" s="175"/>
      <c r="D469" s="146"/>
      <c r="E469" s="135"/>
      <c r="F469" s="8" t="s">
        <v>16</v>
      </c>
      <c r="G469" s="135"/>
      <c r="H469" s="135"/>
      <c r="I469" s="134"/>
      <c r="J469" s="135"/>
      <c r="K469" s="2"/>
    </row>
    <row r="470" spans="1:11" ht="15.5">
      <c r="A470" s="111"/>
      <c r="B470" s="181"/>
      <c r="C470" s="175"/>
      <c r="D470" s="146"/>
      <c r="E470" s="135"/>
      <c r="F470" s="8" t="s">
        <v>16</v>
      </c>
      <c r="G470" s="135"/>
      <c r="H470" s="135"/>
      <c r="I470" s="134"/>
      <c r="J470" s="135"/>
      <c r="K470" s="2"/>
    </row>
    <row r="471" spans="1:11" ht="15.5">
      <c r="A471" s="111"/>
      <c r="B471" s="181"/>
      <c r="C471" s="176"/>
      <c r="D471" s="146"/>
      <c r="E471" s="135"/>
      <c r="F471" s="8" t="s">
        <v>16</v>
      </c>
      <c r="G471" s="135"/>
      <c r="H471" s="135"/>
      <c r="I471" s="134"/>
      <c r="J471" s="135"/>
      <c r="K471" s="2"/>
    </row>
    <row r="472" spans="1:11" ht="15.5">
      <c r="A472" s="111"/>
      <c r="B472" s="181"/>
      <c r="C472" s="174" t="s">
        <v>1540</v>
      </c>
      <c r="D472" s="146"/>
      <c r="E472" s="135"/>
      <c r="F472" s="8" t="s">
        <v>16</v>
      </c>
      <c r="G472" s="135"/>
      <c r="H472" s="135"/>
      <c r="I472" s="134"/>
      <c r="J472" s="135"/>
      <c r="K472" s="2"/>
    </row>
    <row r="473" spans="1:11" ht="15.5">
      <c r="A473" s="111"/>
      <c r="B473" s="181"/>
      <c r="C473" s="175"/>
      <c r="D473" s="146"/>
      <c r="E473" s="135"/>
      <c r="F473" s="8" t="s">
        <v>16</v>
      </c>
      <c r="G473" s="135"/>
      <c r="H473" s="135"/>
      <c r="I473" s="134"/>
      <c r="J473" s="135"/>
      <c r="K473" s="2"/>
    </row>
    <row r="474" spans="1:11" ht="15.5">
      <c r="A474" s="111"/>
      <c r="B474" s="181"/>
      <c r="C474" s="175"/>
      <c r="D474" s="146"/>
      <c r="E474" s="135"/>
      <c r="F474" s="8" t="s">
        <v>16</v>
      </c>
      <c r="G474" s="135"/>
      <c r="H474" s="135"/>
      <c r="I474" s="134"/>
      <c r="J474" s="135"/>
      <c r="K474" s="2"/>
    </row>
    <row r="475" spans="1:11" ht="15.5">
      <c r="A475" s="111"/>
      <c r="B475" s="181"/>
      <c r="C475" s="175"/>
      <c r="D475" s="146"/>
      <c r="E475" s="135"/>
      <c r="F475" s="8" t="s">
        <v>16</v>
      </c>
      <c r="G475" s="135"/>
      <c r="H475" s="135"/>
      <c r="I475" s="134"/>
      <c r="J475" s="135"/>
      <c r="K475" s="2"/>
    </row>
    <row r="476" spans="1:11" ht="15.5">
      <c r="A476" s="111"/>
      <c r="B476" s="181"/>
      <c r="C476" s="176"/>
      <c r="D476" s="146"/>
      <c r="E476" s="135"/>
      <c r="F476" s="8" t="s">
        <v>16</v>
      </c>
      <c r="G476" s="135"/>
      <c r="H476" s="135"/>
      <c r="I476" s="134"/>
      <c r="J476" s="135"/>
      <c r="K476" s="2"/>
    </row>
    <row r="477" spans="1:11" ht="15.5">
      <c r="A477" s="111"/>
      <c r="B477" s="181"/>
      <c r="C477" s="174" t="s">
        <v>1541</v>
      </c>
      <c r="D477" s="146"/>
      <c r="E477" s="135"/>
      <c r="F477" s="8" t="s">
        <v>16</v>
      </c>
      <c r="G477" s="135"/>
      <c r="H477" s="135"/>
      <c r="I477" s="134"/>
      <c r="J477" s="135"/>
      <c r="K477" s="2"/>
    </row>
    <row r="478" spans="1:11" ht="15.5">
      <c r="A478" s="111"/>
      <c r="B478" s="181"/>
      <c r="C478" s="175"/>
      <c r="D478" s="146"/>
      <c r="E478" s="135"/>
      <c r="F478" s="8" t="s">
        <v>16</v>
      </c>
      <c r="G478" s="135"/>
      <c r="H478" s="135"/>
      <c r="I478" s="134"/>
      <c r="J478" s="135"/>
      <c r="K478" s="2"/>
    </row>
    <row r="479" spans="1:11" ht="15.5">
      <c r="A479" s="111"/>
      <c r="B479" s="181"/>
      <c r="C479" s="175"/>
      <c r="D479" s="146"/>
      <c r="E479" s="135"/>
      <c r="F479" s="8" t="s">
        <v>16</v>
      </c>
      <c r="G479" s="135"/>
      <c r="H479" s="135"/>
      <c r="I479" s="134"/>
      <c r="J479" s="135"/>
      <c r="K479" s="2"/>
    </row>
    <row r="480" spans="1:11" ht="15.5">
      <c r="A480" s="111"/>
      <c r="B480" s="181"/>
      <c r="C480" s="175"/>
      <c r="D480" s="146" t="s">
        <v>1542</v>
      </c>
      <c r="E480" s="135"/>
      <c r="F480" s="8" t="s">
        <v>16</v>
      </c>
      <c r="G480" s="135"/>
      <c r="H480" s="135"/>
      <c r="I480" s="134"/>
      <c r="J480" s="135"/>
      <c r="K480" s="2"/>
    </row>
    <row r="481" spans="1:11" ht="16" thickBot="1">
      <c r="A481" s="111"/>
      <c r="B481" s="182"/>
      <c r="C481" s="176"/>
      <c r="D481" s="146"/>
      <c r="E481" s="135" t="s">
        <v>1543</v>
      </c>
      <c r="F481" s="8" t="s">
        <v>16</v>
      </c>
      <c r="G481" s="135"/>
      <c r="H481" s="135"/>
      <c r="I481" s="134"/>
      <c r="J481" s="135"/>
      <c r="K481" s="2"/>
    </row>
    <row r="482" spans="1:11" ht="15.5">
      <c r="A482" s="178" t="s">
        <v>1544</v>
      </c>
      <c r="B482" s="181" t="s">
        <v>1545</v>
      </c>
      <c r="C482" s="174" t="s">
        <v>1546</v>
      </c>
      <c r="D482" s="146"/>
      <c r="E482" s="135"/>
      <c r="F482" s="8" t="s">
        <v>16</v>
      </c>
      <c r="G482" s="135" t="s">
        <v>1547</v>
      </c>
      <c r="H482" s="135" t="s">
        <v>1548</v>
      </c>
      <c r="I482" s="134" t="s">
        <v>26</v>
      </c>
      <c r="J482" s="135" t="s">
        <v>1549</v>
      </c>
      <c r="K482" s="2"/>
    </row>
    <row r="483" spans="1:11" ht="15.5">
      <c r="A483" s="178"/>
      <c r="B483" s="181"/>
      <c r="C483" s="175"/>
      <c r="D483" s="146"/>
      <c r="E483" s="135"/>
      <c r="F483" s="8" t="s">
        <v>16</v>
      </c>
      <c r="G483" s="135"/>
      <c r="H483" s="135"/>
      <c r="I483" s="134"/>
      <c r="J483" s="135"/>
      <c r="K483" s="2"/>
    </row>
    <row r="484" spans="1:11" ht="15.5">
      <c r="A484" s="178"/>
      <c r="B484" s="181"/>
      <c r="C484" s="175"/>
      <c r="D484" s="146"/>
      <c r="E484" s="135"/>
      <c r="F484" s="8" t="s">
        <v>16</v>
      </c>
      <c r="G484" s="135"/>
      <c r="H484" s="135"/>
      <c r="I484" s="134"/>
      <c r="J484" s="135"/>
      <c r="K484" s="2"/>
    </row>
    <row r="485" spans="1:11" ht="15.5">
      <c r="A485" s="178"/>
      <c r="B485" s="181"/>
      <c r="C485" s="175"/>
      <c r="D485" s="146"/>
      <c r="E485" s="135"/>
      <c r="F485" s="8" t="s">
        <v>16</v>
      </c>
      <c r="G485" s="135"/>
      <c r="H485" s="135"/>
      <c r="I485" s="134"/>
      <c r="J485" s="135"/>
      <c r="K485" s="2"/>
    </row>
    <row r="486" spans="1:11" ht="15.5">
      <c r="A486" s="178"/>
      <c r="B486" s="181"/>
      <c r="C486" s="176"/>
      <c r="D486" s="146"/>
      <c r="E486" s="135"/>
      <c r="F486" s="8" t="s">
        <v>16</v>
      </c>
      <c r="G486" s="135"/>
      <c r="H486" s="135"/>
      <c r="I486" s="134"/>
      <c r="J486" s="135"/>
      <c r="K486" s="2"/>
    </row>
    <row r="487" spans="1:11" ht="15.5">
      <c r="A487" s="178"/>
      <c r="B487" s="181"/>
      <c r="C487" s="174" t="s">
        <v>1550</v>
      </c>
      <c r="D487" s="146"/>
      <c r="E487" s="135"/>
      <c r="F487" s="8" t="s">
        <v>16</v>
      </c>
      <c r="G487" s="135"/>
      <c r="H487" s="135"/>
      <c r="I487" s="134"/>
      <c r="J487" s="135"/>
      <c r="K487" s="2"/>
    </row>
    <row r="488" spans="1:11" ht="15.5">
      <c r="A488" s="178"/>
      <c r="B488" s="181"/>
      <c r="C488" s="175"/>
      <c r="D488" s="146"/>
      <c r="E488" s="135"/>
      <c r="F488" s="8" t="s">
        <v>16</v>
      </c>
      <c r="G488" s="135"/>
      <c r="H488" s="135"/>
      <c r="I488" s="134"/>
      <c r="J488" s="135"/>
      <c r="K488" s="2"/>
    </row>
    <row r="489" spans="1:11" ht="15.5">
      <c r="A489" s="178"/>
      <c r="B489" s="181"/>
      <c r="C489" s="175"/>
      <c r="D489" s="146"/>
      <c r="E489" s="135"/>
      <c r="F489" s="8" t="s">
        <v>16</v>
      </c>
      <c r="G489" s="135"/>
      <c r="H489" s="135"/>
      <c r="I489" s="134"/>
      <c r="J489" s="135"/>
      <c r="K489" s="2"/>
    </row>
    <row r="490" spans="1:11" ht="15.5">
      <c r="A490" s="178"/>
      <c r="B490" s="181"/>
      <c r="C490" s="175"/>
      <c r="D490" s="146"/>
      <c r="E490" s="135"/>
      <c r="F490" s="8" t="s">
        <v>16</v>
      </c>
      <c r="G490" s="135"/>
      <c r="H490" s="135"/>
      <c r="I490" s="134"/>
      <c r="J490" s="135"/>
      <c r="K490" s="2"/>
    </row>
    <row r="491" spans="1:11" ht="15.5">
      <c r="A491" s="178"/>
      <c r="B491" s="181"/>
      <c r="C491" s="176"/>
      <c r="D491" s="146"/>
      <c r="E491" s="135"/>
      <c r="F491" s="8" t="s">
        <v>16</v>
      </c>
      <c r="G491" s="135"/>
      <c r="H491" s="135"/>
      <c r="I491" s="134"/>
      <c r="J491" s="135"/>
      <c r="K491" s="2"/>
    </row>
    <row r="492" spans="1:11" ht="15.5">
      <c r="A492" s="178"/>
      <c r="B492" s="181"/>
      <c r="C492" s="174" t="s">
        <v>1551</v>
      </c>
      <c r="D492" s="146"/>
      <c r="E492" s="135"/>
      <c r="F492" s="8" t="s">
        <v>16</v>
      </c>
      <c r="G492" s="135"/>
      <c r="H492" s="135"/>
      <c r="I492" s="134"/>
      <c r="J492" s="135"/>
      <c r="K492" s="2"/>
    </row>
    <row r="493" spans="1:11" ht="15.5">
      <c r="A493" s="178"/>
      <c r="B493" s="181"/>
      <c r="C493" s="175"/>
      <c r="D493" s="146"/>
      <c r="E493" s="135"/>
      <c r="F493" s="8" t="s">
        <v>16</v>
      </c>
      <c r="G493" s="135"/>
      <c r="H493" s="135"/>
      <c r="I493" s="134"/>
      <c r="J493" s="135"/>
      <c r="K493" s="2"/>
    </row>
    <row r="494" spans="1:11" ht="15.5">
      <c r="A494" s="178"/>
      <c r="B494" s="181"/>
      <c r="C494" s="175"/>
      <c r="D494" s="146"/>
      <c r="E494" s="135"/>
      <c r="F494" s="8" t="s">
        <v>16</v>
      </c>
      <c r="G494" s="135"/>
      <c r="H494" s="135"/>
      <c r="I494" s="134"/>
      <c r="J494" s="135"/>
      <c r="K494" s="2"/>
    </row>
    <row r="495" spans="1:11" ht="15.5">
      <c r="A495" s="178"/>
      <c r="B495" s="181"/>
      <c r="C495" s="175"/>
      <c r="D495" s="146"/>
      <c r="E495" s="135"/>
      <c r="F495" s="8" t="s">
        <v>16</v>
      </c>
      <c r="G495" s="135"/>
      <c r="H495" s="135"/>
      <c r="I495" s="134"/>
      <c r="J495" s="135"/>
      <c r="K495" s="2"/>
    </row>
    <row r="496" spans="1:11" ht="15.5">
      <c r="A496" s="178"/>
      <c r="B496" s="181"/>
      <c r="C496" s="176"/>
      <c r="D496" s="146"/>
      <c r="E496" s="135"/>
      <c r="F496" s="8" t="s">
        <v>16</v>
      </c>
      <c r="G496" s="135"/>
      <c r="H496" s="135"/>
      <c r="I496" s="134"/>
      <c r="J496" s="135"/>
      <c r="K496" s="2"/>
    </row>
    <row r="497" spans="1:11" ht="15.5">
      <c r="A497" s="178"/>
      <c r="B497" s="181"/>
      <c r="C497" s="174" t="s">
        <v>1552</v>
      </c>
      <c r="D497" s="146"/>
      <c r="E497" s="135"/>
      <c r="F497" s="8" t="s">
        <v>16</v>
      </c>
      <c r="G497" s="135"/>
      <c r="H497" s="135"/>
      <c r="I497" s="134"/>
      <c r="J497" s="135"/>
      <c r="K497" s="2"/>
    </row>
    <row r="498" spans="1:11" ht="15.5">
      <c r="A498" s="178"/>
      <c r="B498" s="181"/>
      <c r="C498" s="175"/>
      <c r="D498" s="146"/>
      <c r="E498" s="135"/>
      <c r="F498" s="8" t="s">
        <v>16</v>
      </c>
      <c r="G498" s="135"/>
      <c r="H498" s="135"/>
      <c r="I498" s="134"/>
      <c r="J498" s="135"/>
      <c r="K498" s="2"/>
    </row>
    <row r="499" spans="1:11" ht="15.5">
      <c r="A499" s="178"/>
      <c r="B499" s="181"/>
      <c r="C499" s="175"/>
      <c r="D499" s="146"/>
      <c r="E499" s="135"/>
      <c r="F499" s="8" t="s">
        <v>16</v>
      </c>
      <c r="G499" s="135"/>
      <c r="H499" s="135"/>
      <c r="I499" s="134"/>
      <c r="J499" s="135"/>
      <c r="K499" s="2"/>
    </row>
    <row r="500" spans="1:11" ht="15.5">
      <c r="A500" s="178"/>
      <c r="B500" s="181"/>
      <c r="C500" s="175"/>
      <c r="D500" s="146"/>
      <c r="E500" s="135"/>
      <c r="F500" s="8" t="s">
        <v>16</v>
      </c>
      <c r="G500" s="135"/>
      <c r="H500" s="135"/>
      <c r="I500" s="134"/>
      <c r="J500" s="135"/>
      <c r="K500" s="2"/>
    </row>
    <row r="501" spans="1:11" ht="15.5">
      <c r="A501" s="178"/>
      <c r="B501" s="181"/>
      <c r="C501" s="176"/>
      <c r="D501" s="146"/>
      <c r="E501" s="135"/>
      <c r="F501" s="8" t="s">
        <v>16</v>
      </c>
      <c r="G501" s="135"/>
      <c r="H501" s="135"/>
      <c r="I501" s="134"/>
      <c r="J501" s="135"/>
      <c r="K501" s="2"/>
    </row>
    <row r="502" spans="1:11" ht="15.5">
      <c r="A502" s="178"/>
      <c r="B502" s="181"/>
      <c r="C502" s="174" t="s">
        <v>1553</v>
      </c>
      <c r="D502" s="146"/>
      <c r="E502" s="135"/>
      <c r="F502" s="8" t="s">
        <v>16</v>
      </c>
      <c r="G502" s="135"/>
      <c r="H502" s="135"/>
      <c r="I502" s="134"/>
      <c r="J502" s="135"/>
      <c r="K502" s="2"/>
    </row>
    <row r="503" spans="1:11" ht="15.5">
      <c r="A503" s="178"/>
      <c r="B503" s="181"/>
      <c r="C503" s="175"/>
      <c r="D503" s="146"/>
      <c r="E503" s="135"/>
      <c r="F503" s="8" t="s">
        <v>16</v>
      </c>
      <c r="G503" s="135"/>
      <c r="H503" s="135"/>
      <c r="I503" s="134"/>
      <c r="J503" s="135"/>
      <c r="K503" s="2"/>
    </row>
    <row r="504" spans="1:11" ht="15.5">
      <c r="A504" s="178"/>
      <c r="B504" s="181"/>
      <c r="C504" s="175"/>
      <c r="D504" s="146"/>
      <c r="E504" s="135"/>
      <c r="F504" s="8" t="s">
        <v>16</v>
      </c>
      <c r="G504" s="135"/>
      <c r="H504" s="135"/>
      <c r="I504" s="134"/>
      <c r="J504" s="135"/>
      <c r="K504" s="2"/>
    </row>
    <row r="505" spans="1:11" ht="15.5">
      <c r="A505" s="178"/>
      <c r="B505" s="181"/>
      <c r="C505" s="175"/>
      <c r="D505" s="146"/>
      <c r="E505" s="135"/>
      <c r="F505" s="8" t="s">
        <v>16</v>
      </c>
      <c r="G505" s="135"/>
      <c r="H505" s="135"/>
      <c r="I505" s="134"/>
      <c r="J505" s="135"/>
      <c r="K505" s="2"/>
    </row>
    <row r="506" spans="1:11" ht="15.5">
      <c r="A506" s="178"/>
      <c r="B506" s="181"/>
      <c r="C506" s="176"/>
      <c r="D506" s="146"/>
      <c r="E506" s="135"/>
      <c r="F506" s="8" t="s">
        <v>16</v>
      </c>
      <c r="G506" s="135"/>
      <c r="H506" s="135"/>
      <c r="I506" s="134"/>
      <c r="J506" s="135"/>
      <c r="K506" s="2"/>
    </row>
    <row r="507" spans="1:11" ht="15.5">
      <c r="A507" s="178"/>
      <c r="B507" s="181"/>
      <c r="C507" s="174" t="s">
        <v>1554</v>
      </c>
      <c r="D507" s="146"/>
      <c r="E507" s="135"/>
      <c r="F507" s="8" t="s">
        <v>16</v>
      </c>
      <c r="G507" s="135"/>
      <c r="H507" s="135"/>
      <c r="I507" s="134"/>
      <c r="J507" s="135"/>
      <c r="K507" s="2"/>
    </row>
    <row r="508" spans="1:11" ht="15.5">
      <c r="A508" s="178"/>
      <c r="B508" s="181"/>
      <c r="C508" s="175"/>
      <c r="D508" s="146"/>
      <c r="E508" s="135"/>
      <c r="F508" s="8" t="s">
        <v>16</v>
      </c>
      <c r="G508" s="135"/>
      <c r="H508" s="135"/>
      <c r="I508" s="134"/>
      <c r="J508" s="135"/>
      <c r="K508" s="2"/>
    </row>
    <row r="509" spans="1:11" ht="15.5">
      <c r="A509" s="178"/>
      <c r="B509" s="181"/>
      <c r="C509" s="175"/>
      <c r="D509" s="146"/>
      <c r="E509" s="135"/>
      <c r="F509" s="8" t="s">
        <v>16</v>
      </c>
      <c r="G509" s="135"/>
      <c r="H509" s="135"/>
      <c r="I509" s="134"/>
      <c r="J509" s="135"/>
      <c r="K509" s="2"/>
    </row>
    <row r="510" spans="1:11" ht="15.5">
      <c r="A510" s="178"/>
      <c r="B510" s="181"/>
      <c r="C510" s="175"/>
      <c r="D510" s="146" t="s">
        <v>1555</v>
      </c>
      <c r="E510" s="135"/>
      <c r="F510" s="8" t="s">
        <v>16</v>
      </c>
      <c r="G510" s="135"/>
      <c r="H510" s="135"/>
      <c r="I510" s="134"/>
      <c r="J510" s="135"/>
      <c r="K510" s="2"/>
    </row>
    <row r="511" spans="1:11" ht="16" thickBot="1">
      <c r="A511" s="178"/>
      <c r="B511" s="182"/>
      <c r="C511" s="176"/>
      <c r="D511" s="146"/>
      <c r="E511" s="135" t="s">
        <v>1556</v>
      </c>
      <c r="F511" s="8" t="s">
        <v>16</v>
      </c>
      <c r="G511" s="135"/>
      <c r="H511" s="135"/>
      <c r="I511" s="134"/>
      <c r="J511" s="135"/>
      <c r="K511" s="2"/>
    </row>
    <row r="512" spans="1:11" ht="15.5">
      <c r="A512" s="178"/>
      <c r="B512" s="181" t="s">
        <v>1557</v>
      </c>
      <c r="C512" s="174" t="s">
        <v>1558</v>
      </c>
      <c r="D512" s="146"/>
      <c r="E512" s="135"/>
      <c r="F512" s="8" t="s">
        <v>23</v>
      </c>
      <c r="G512" s="135" t="s">
        <v>1559</v>
      </c>
      <c r="H512" s="135" t="s">
        <v>1560</v>
      </c>
      <c r="I512" s="134" t="s">
        <v>213</v>
      </c>
      <c r="J512" s="135" t="s">
        <v>1561</v>
      </c>
      <c r="K512" s="2"/>
    </row>
    <row r="513" spans="1:11" ht="15.5">
      <c r="A513" s="178"/>
      <c r="B513" s="181"/>
      <c r="C513" s="175"/>
      <c r="D513" s="146"/>
      <c r="E513" s="135"/>
      <c r="F513" s="8" t="s">
        <v>23</v>
      </c>
      <c r="G513" s="135"/>
      <c r="H513" s="135"/>
      <c r="I513" s="134"/>
      <c r="J513" s="135"/>
      <c r="K513" s="2"/>
    </row>
    <row r="514" spans="1:11" ht="15.5">
      <c r="A514" s="178"/>
      <c r="B514" s="181"/>
      <c r="C514" s="175"/>
      <c r="D514" s="146"/>
      <c r="E514" s="135"/>
      <c r="F514" s="8" t="s">
        <v>16</v>
      </c>
      <c r="G514" s="135"/>
      <c r="H514" s="135"/>
      <c r="I514" s="134"/>
      <c r="J514" s="135"/>
      <c r="K514" s="2"/>
    </row>
    <row r="515" spans="1:11" ht="15.5">
      <c r="A515" s="178"/>
      <c r="B515" s="181"/>
      <c r="C515" s="175"/>
      <c r="D515" s="146"/>
      <c r="E515" s="135"/>
      <c r="F515" s="8" t="s">
        <v>16</v>
      </c>
      <c r="G515" s="135"/>
      <c r="H515" s="135"/>
      <c r="I515" s="134"/>
      <c r="J515" s="135"/>
      <c r="K515" s="2"/>
    </row>
    <row r="516" spans="1:11" ht="15.5">
      <c r="A516" s="178"/>
      <c r="B516" s="181"/>
      <c r="C516" s="176"/>
      <c r="D516" s="146"/>
      <c r="E516" s="135"/>
      <c r="F516" s="8" t="s">
        <v>16</v>
      </c>
      <c r="G516" s="135"/>
      <c r="H516" s="135"/>
      <c r="I516" s="134"/>
      <c r="J516" s="135"/>
      <c r="K516" s="2"/>
    </row>
    <row r="517" spans="1:11" ht="15.5">
      <c r="A517" s="178"/>
      <c r="B517" s="181"/>
      <c r="C517" s="174" t="s">
        <v>1562</v>
      </c>
      <c r="D517" s="146"/>
      <c r="E517" s="135"/>
      <c r="F517" s="8" t="s">
        <v>16</v>
      </c>
      <c r="G517" s="135"/>
      <c r="H517" s="135"/>
      <c r="I517" s="134"/>
      <c r="J517" s="135"/>
      <c r="K517" s="2"/>
    </row>
    <row r="518" spans="1:11" ht="15.5">
      <c r="A518" s="178"/>
      <c r="B518" s="181"/>
      <c r="C518" s="175"/>
      <c r="D518" s="146"/>
      <c r="E518" s="135"/>
      <c r="F518" s="8" t="s">
        <v>16</v>
      </c>
      <c r="G518" s="135"/>
      <c r="H518" s="135"/>
      <c r="I518" s="134"/>
      <c r="J518" s="135"/>
      <c r="K518" s="2"/>
    </row>
    <row r="519" spans="1:11" ht="15.5">
      <c r="A519" s="178"/>
      <c r="B519" s="181"/>
      <c r="C519" s="175"/>
      <c r="D519" s="146"/>
      <c r="E519" s="135"/>
      <c r="F519" s="8" t="s">
        <v>16</v>
      </c>
      <c r="G519" s="135"/>
      <c r="H519" s="135"/>
      <c r="I519" s="134"/>
      <c r="J519" s="135"/>
      <c r="K519" s="2"/>
    </row>
    <row r="520" spans="1:11" ht="15.5">
      <c r="A520" s="178"/>
      <c r="B520" s="181"/>
      <c r="C520" s="175"/>
      <c r="D520" s="146"/>
      <c r="E520" s="135"/>
      <c r="F520" s="8" t="s">
        <v>16</v>
      </c>
      <c r="G520" s="135"/>
      <c r="H520" s="135"/>
      <c r="I520" s="134"/>
      <c r="J520" s="135"/>
      <c r="K520" s="2"/>
    </row>
    <row r="521" spans="1:11" ht="15.5">
      <c r="A521" s="178"/>
      <c r="B521" s="181"/>
      <c r="C521" s="176"/>
      <c r="D521" s="146"/>
      <c r="E521" s="135"/>
      <c r="F521" s="8" t="s">
        <v>16</v>
      </c>
      <c r="G521" s="135"/>
      <c r="H521" s="135"/>
      <c r="I521" s="134"/>
      <c r="J521" s="135"/>
      <c r="K521" s="2"/>
    </row>
    <row r="522" spans="1:11" ht="15.5">
      <c r="A522" s="178"/>
      <c r="B522" s="181"/>
      <c r="C522" s="174" t="s">
        <v>1563</v>
      </c>
      <c r="D522" s="146"/>
      <c r="E522" s="135"/>
      <c r="F522" s="8" t="s">
        <v>16</v>
      </c>
      <c r="G522" s="135"/>
      <c r="H522" s="135"/>
      <c r="I522" s="134"/>
      <c r="J522" s="135"/>
      <c r="K522" s="2"/>
    </row>
    <row r="523" spans="1:11" ht="15.5">
      <c r="A523" s="178"/>
      <c r="B523" s="181"/>
      <c r="C523" s="175"/>
      <c r="D523" s="146"/>
      <c r="E523" s="135"/>
      <c r="F523" s="8" t="s">
        <v>16</v>
      </c>
      <c r="G523" s="135"/>
      <c r="H523" s="135"/>
      <c r="I523" s="134"/>
      <c r="J523" s="135"/>
      <c r="K523" s="2"/>
    </row>
    <row r="524" spans="1:11" ht="15.5">
      <c r="A524" s="178"/>
      <c r="B524" s="181"/>
      <c r="C524" s="175"/>
      <c r="D524" s="146"/>
      <c r="E524" s="135"/>
      <c r="F524" s="8" t="s">
        <v>16</v>
      </c>
      <c r="G524" s="135"/>
      <c r="H524" s="135"/>
      <c r="I524" s="134"/>
      <c r="J524" s="135"/>
      <c r="K524" s="2"/>
    </row>
    <row r="525" spans="1:11" ht="15.5">
      <c r="A525" s="178"/>
      <c r="B525" s="181"/>
      <c r="C525" s="175"/>
      <c r="D525" s="146"/>
      <c r="E525" s="135"/>
      <c r="F525" s="8" t="s">
        <v>16</v>
      </c>
      <c r="G525" s="135"/>
      <c r="H525" s="135"/>
      <c r="I525" s="134"/>
      <c r="J525" s="135"/>
      <c r="K525" s="2"/>
    </row>
    <row r="526" spans="1:11" ht="15.5">
      <c r="A526" s="178"/>
      <c r="B526" s="181"/>
      <c r="C526" s="176"/>
      <c r="D526" s="146"/>
      <c r="E526" s="135"/>
      <c r="F526" s="8" t="s">
        <v>16</v>
      </c>
      <c r="G526" s="135"/>
      <c r="H526" s="135"/>
      <c r="I526" s="134"/>
      <c r="J526" s="135"/>
      <c r="K526" s="2"/>
    </row>
    <row r="527" spans="1:11" ht="15.5">
      <c r="A527" s="178"/>
      <c r="B527" s="181"/>
      <c r="C527" s="174" t="s">
        <v>1564</v>
      </c>
      <c r="D527" s="146"/>
      <c r="E527" s="135"/>
      <c r="F527" s="8" t="s">
        <v>16</v>
      </c>
      <c r="G527" s="135"/>
      <c r="H527" s="135"/>
      <c r="I527" s="134"/>
      <c r="J527" s="135"/>
      <c r="K527" s="2"/>
    </row>
    <row r="528" spans="1:11" ht="15.5">
      <c r="A528" s="178"/>
      <c r="B528" s="181"/>
      <c r="C528" s="175"/>
      <c r="D528" s="146"/>
      <c r="E528" s="135"/>
      <c r="F528" s="8" t="s">
        <v>16</v>
      </c>
      <c r="G528" s="135"/>
      <c r="H528" s="135"/>
      <c r="I528" s="134"/>
      <c r="J528" s="135"/>
      <c r="K528" s="2"/>
    </row>
    <row r="529" spans="1:11" ht="15.5">
      <c r="A529" s="178"/>
      <c r="B529" s="181"/>
      <c r="C529" s="175"/>
      <c r="D529" s="146"/>
      <c r="E529" s="135"/>
      <c r="F529" s="8" t="s">
        <v>16</v>
      </c>
      <c r="G529" s="135"/>
      <c r="H529" s="135"/>
      <c r="I529" s="134"/>
      <c r="J529" s="135"/>
      <c r="K529" s="2"/>
    </row>
    <row r="530" spans="1:11" ht="15.5">
      <c r="A530" s="178"/>
      <c r="B530" s="181"/>
      <c r="C530" s="175"/>
      <c r="D530" s="146"/>
      <c r="E530" s="135"/>
      <c r="F530" s="8" t="s">
        <v>16</v>
      </c>
      <c r="G530" s="135"/>
      <c r="H530" s="135"/>
      <c r="I530" s="134"/>
      <c r="J530" s="135"/>
      <c r="K530" s="2"/>
    </row>
    <row r="531" spans="1:11" ht="15.5">
      <c r="A531" s="178"/>
      <c r="B531" s="181"/>
      <c r="C531" s="176"/>
      <c r="D531" s="146"/>
      <c r="E531" s="135"/>
      <c r="F531" s="8" t="s">
        <v>16</v>
      </c>
      <c r="G531" s="135"/>
      <c r="H531" s="135"/>
      <c r="I531" s="134"/>
      <c r="J531" s="135"/>
      <c r="K531" s="2"/>
    </row>
    <row r="532" spans="1:11" ht="15.5">
      <c r="A532" s="178"/>
      <c r="B532" s="181"/>
      <c r="C532" s="174" t="s">
        <v>1565</v>
      </c>
      <c r="D532" s="146"/>
      <c r="E532" s="135"/>
      <c r="F532" s="8" t="s">
        <v>16</v>
      </c>
      <c r="G532" s="135"/>
      <c r="H532" s="135"/>
      <c r="I532" s="134"/>
      <c r="J532" s="135"/>
      <c r="K532" s="2"/>
    </row>
    <row r="533" spans="1:11" ht="15.5">
      <c r="A533" s="178"/>
      <c r="B533" s="181"/>
      <c r="C533" s="175"/>
      <c r="D533" s="146"/>
      <c r="E533" s="135"/>
      <c r="F533" s="8" t="s">
        <v>16</v>
      </c>
      <c r="G533" s="135"/>
      <c r="H533" s="135"/>
      <c r="I533" s="134"/>
      <c r="J533" s="135"/>
      <c r="K533" s="2"/>
    </row>
    <row r="534" spans="1:11" ht="15.5">
      <c r="A534" s="178"/>
      <c r="B534" s="181"/>
      <c r="C534" s="175"/>
      <c r="D534" s="146"/>
      <c r="E534" s="135"/>
      <c r="F534" s="8" t="s">
        <v>16</v>
      </c>
      <c r="G534" s="135"/>
      <c r="H534" s="135"/>
      <c r="I534" s="134"/>
      <c r="J534" s="135"/>
      <c r="K534" s="2"/>
    </row>
    <row r="535" spans="1:11" ht="15.5">
      <c r="A535" s="178"/>
      <c r="B535" s="181"/>
      <c r="C535" s="175"/>
      <c r="D535" s="146"/>
      <c r="E535" s="135"/>
      <c r="F535" s="8" t="s">
        <v>16</v>
      </c>
      <c r="G535" s="135"/>
      <c r="H535" s="135"/>
      <c r="I535" s="134"/>
      <c r="J535" s="135"/>
      <c r="K535" s="2"/>
    </row>
    <row r="536" spans="1:11" ht="15.5">
      <c r="A536" s="178"/>
      <c r="B536" s="181"/>
      <c r="C536" s="176"/>
      <c r="D536" s="146"/>
      <c r="E536" s="135"/>
      <c r="F536" s="8" t="s">
        <v>16</v>
      </c>
      <c r="G536" s="135"/>
      <c r="H536" s="135"/>
      <c r="I536" s="134"/>
      <c r="J536" s="135"/>
      <c r="K536" s="2"/>
    </row>
    <row r="537" spans="1:11" ht="15.5">
      <c r="A537" s="178"/>
      <c r="B537" s="181"/>
      <c r="C537" s="174" t="s">
        <v>1566</v>
      </c>
      <c r="D537" s="146"/>
      <c r="E537" s="135"/>
      <c r="F537" s="8" t="s">
        <v>16</v>
      </c>
      <c r="G537" s="135"/>
      <c r="H537" s="135"/>
      <c r="I537" s="134"/>
      <c r="J537" s="135"/>
      <c r="K537" s="2"/>
    </row>
    <row r="538" spans="1:11" ht="15.5">
      <c r="A538" s="178"/>
      <c r="B538" s="181"/>
      <c r="C538" s="175"/>
      <c r="D538" s="146"/>
      <c r="E538" s="135"/>
      <c r="F538" s="8" t="s">
        <v>16</v>
      </c>
      <c r="G538" s="135"/>
      <c r="H538" s="135"/>
      <c r="I538" s="134"/>
      <c r="J538" s="135"/>
      <c r="K538" s="2"/>
    </row>
    <row r="539" spans="1:11" ht="15.5">
      <c r="A539" s="178"/>
      <c r="B539" s="181"/>
      <c r="C539" s="175"/>
      <c r="D539" s="146"/>
      <c r="E539" s="135"/>
      <c r="F539" s="8" t="s">
        <v>16</v>
      </c>
      <c r="G539" s="135"/>
      <c r="H539" s="135"/>
      <c r="I539" s="134"/>
      <c r="J539" s="135"/>
      <c r="K539" s="2"/>
    </row>
    <row r="540" spans="1:11" ht="15.5">
      <c r="A540" s="178"/>
      <c r="B540" s="181"/>
      <c r="C540" s="175"/>
      <c r="D540" s="146" t="s">
        <v>1567</v>
      </c>
      <c r="E540" s="135"/>
      <c r="F540" s="8" t="s">
        <v>16</v>
      </c>
      <c r="G540" s="135"/>
      <c r="H540" s="135"/>
      <c r="I540" s="134"/>
      <c r="J540" s="135"/>
      <c r="K540" s="2"/>
    </row>
    <row r="541" spans="1:11" ht="16" thickBot="1">
      <c r="A541" s="178"/>
      <c r="B541" s="181"/>
      <c r="C541" s="176"/>
      <c r="D541" s="146"/>
      <c r="E541" s="135" t="s">
        <v>1568</v>
      </c>
      <c r="F541" s="8" t="s">
        <v>16</v>
      </c>
      <c r="G541" s="135"/>
      <c r="H541" s="135"/>
      <c r="I541" s="134"/>
      <c r="J541" s="135"/>
      <c r="K541" s="2"/>
    </row>
    <row r="542" spans="1:11" ht="15.5">
      <c r="A542" s="178"/>
      <c r="B542" s="183" t="s">
        <v>1569</v>
      </c>
      <c r="C542" s="174" t="s">
        <v>1570</v>
      </c>
      <c r="D542" s="146"/>
      <c r="E542" s="135"/>
      <c r="F542" s="8" t="s">
        <v>16</v>
      </c>
      <c r="G542" s="135" t="s">
        <v>1571</v>
      </c>
      <c r="H542" s="135" t="s">
        <v>1572</v>
      </c>
      <c r="I542" s="134" t="s">
        <v>213</v>
      </c>
      <c r="J542" s="135" t="s">
        <v>1573</v>
      </c>
      <c r="K542" s="2"/>
    </row>
    <row r="543" spans="1:11" ht="15.5">
      <c r="A543" s="178"/>
      <c r="B543" s="181"/>
      <c r="C543" s="175"/>
      <c r="D543" s="146"/>
      <c r="E543" s="135"/>
      <c r="F543" s="8" t="s">
        <v>16</v>
      </c>
      <c r="G543" s="135"/>
      <c r="H543" s="135"/>
      <c r="I543" s="134"/>
      <c r="J543" s="135"/>
      <c r="K543" s="2"/>
    </row>
    <row r="544" spans="1:11" ht="15.5">
      <c r="A544" s="178"/>
      <c r="B544" s="181"/>
      <c r="C544" s="175"/>
      <c r="D544" s="146"/>
      <c r="E544" s="135"/>
      <c r="F544" s="8" t="s">
        <v>16</v>
      </c>
      <c r="G544" s="135"/>
      <c r="H544" s="135"/>
      <c r="I544" s="134"/>
      <c r="J544" s="135"/>
      <c r="K544" s="2"/>
    </row>
    <row r="545" spans="1:11" ht="15.5">
      <c r="A545" s="178"/>
      <c r="B545" s="181"/>
      <c r="C545" s="175"/>
      <c r="D545" s="146"/>
      <c r="E545" s="135"/>
      <c r="F545" s="8" t="s">
        <v>16</v>
      </c>
      <c r="G545" s="135"/>
      <c r="H545" s="135"/>
      <c r="I545" s="134"/>
      <c r="J545" s="135"/>
      <c r="K545" s="2"/>
    </row>
    <row r="546" spans="1:11" ht="15.5">
      <c r="A546" s="178"/>
      <c r="B546" s="181"/>
      <c r="C546" s="176"/>
      <c r="D546" s="146"/>
      <c r="E546" s="135"/>
      <c r="F546" s="8" t="s">
        <v>16</v>
      </c>
      <c r="G546" s="135"/>
      <c r="H546" s="135"/>
      <c r="I546" s="134"/>
      <c r="J546" s="135"/>
      <c r="K546" s="2"/>
    </row>
    <row r="547" spans="1:11" ht="15.5">
      <c r="A547" s="178"/>
      <c r="B547" s="181"/>
      <c r="C547" s="174" t="s">
        <v>1574</v>
      </c>
      <c r="D547" s="146"/>
      <c r="E547" s="135"/>
      <c r="F547" s="8" t="s">
        <v>16</v>
      </c>
      <c r="G547" s="135"/>
      <c r="H547" s="135"/>
      <c r="I547" s="134"/>
      <c r="J547" s="135"/>
      <c r="K547" s="2"/>
    </row>
    <row r="548" spans="1:11" ht="15.5">
      <c r="A548" s="178"/>
      <c r="B548" s="181"/>
      <c r="C548" s="175"/>
      <c r="D548" s="146"/>
      <c r="E548" s="135"/>
      <c r="F548" s="8" t="s">
        <v>16</v>
      </c>
      <c r="G548" s="135"/>
      <c r="H548" s="135"/>
      <c r="I548" s="134"/>
      <c r="J548" s="135"/>
      <c r="K548" s="2"/>
    </row>
    <row r="549" spans="1:11" ht="15.5">
      <c r="A549" s="178"/>
      <c r="B549" s="181"/>
      <c r="C549" s="175"/>
      <c r="D549" s="146"/>
      <c r="E549" s="135"/>
      <c r="F549" s="8" t="s">
        <v>16</v>
      </c>
      <c r="G549" s="135"/>
      <c r="H549" s="135"/>
      <c r="I549" s="134"/>
      <c r="J549" s="135"/>
      <c r="K549" s="2"/>
    </row>
    <row r="550" spans="1:11" ht="15.5">
      <c r="A550" s="178"/>
      <c r="B550" s="181"/>
      <c r="C550" s="175"/>
      <c r="D550" s="146"/>
      <c r="E550" s="135"/>
      <c r="F550" s="8" t="s">
        <v>16</v>
      </c>
      <c r="G550" s="135"/>
      <c r="H550" s="135"/>
      <c r="I550" s="134"/>
      <c r="J550" s="135"/>
      <c r="K550" s="2"/>
    </row>
    <row r="551" spans="1:11" ht="15.5">
      <c r="A551" s="178"/>
      <c r="B551" s="181"/>
      <c r="C551" s="176"/>
      <c r="D551" s="146"/>
      <c r="E551" s="135"/>
      <c r="F551" s="8" t="s">
        <v>16</v>
      </c>
      <c r="G551" s="135"/>
      <c r="H551" s="135"/>
      <c r="I551" s="134"/>
      <c r="J551" s="135"/>
      <c r="K551" s="2"/>
    </row>
    <row r="552" spans="1:11" ht="15.5">
      <c r="A552" s="178"/>
      <c r="B552" s="181"/>
      <c r="C552" s="174" t="s">
        <v>1575</v>
      </c>
      <c r="D552" s="146"/>
      <c r="E552" s="135"/>
      <c r="F552" s="8" t="s">
        <v>16</v>
      </c>
      <c r="G552" s="135"/>
      <c r="H552" s="135"/>
      <c r="I552" s="134"/>
      <c r="J552" s="135"/>
      <c r="K552" s="2"/>
    </row>
    <row r="553" spans="1:11" ht="15.5">
      <c r="A553" s="178"/>
      <c r="B553" s="181"/>
      <c r="C553" s="175"/>
      <c r="D553" s="146"/>
      <c r="E553" s="135"/>
      <c r="F553" s="8" t="s">
        <v>16</v>
      </c>
      <c r="G553" s="135"/>
      <c r="H553" s="135"/>
      <c r="I553" s="134"/>
      <c r="J553" s="135"/>
      <c r="K553" s="2"/>
    </row>
    <row r="554" spans="1:11" ht="15.5">
      <c r="A554" s="178"/>
      <c r="B554" s="181"/>
      <c r="C554" s="175"/>
      <c r="D554" s="146"/>
      <c r="E554" s="135"/>
      <c r="F554" s="8" t="s">
        <v>16</v>
      </c>
      <c r="G554" s="135"/>
      <c r="H554" s="135"/>
      <c r="I554" s="134"/>
      <c r="J554" s="135"/>
      <c r="K554" s="2"/>
    </row>
    <row r="555" spans="1:11" ht="15.5">
      <c r="A555" s="178"/>
      <c r="B555" s="181"/>
      <c r="C555" s="175"/>
      <c r="D555" s="146"/>
      <c r="E555" s="135"/>
      <c r="F555" s="8" t="s">
        <v>16</v>
      </c>
      <c r="G555" s="135"/>
      <c r="H555" s="135"/>
      <c r="I555" s="134"/>
      <c r="J555" s="135"/>
      <c r="K555" s="2"/>
    </row>
    <row r="556" spans="1:11" ht="15.5">
      <c r="A556" s="178"/>
      <c r="B556" s="181"/>
      <c r="C556" s="176"/>
      <c r="D556" s="146"/>
      <c r="E556" s="135"/>
      <c r="F556" s="8" t="s">
        <v>16</v>
      </c>
      <c r="G556" s="135"/>
      <c r="H556" s="135"/>
      <c r="I556" s="134"/>
      <c r="J556" s="135"/>
      <c r="K556" s="2"/>
    </row>
    <row r="557" spans="1:11" ht="15.5">
      <c r="A557" s="178"/>
      <c r="B557" s="181"/>
      <c r="C557" s="174" t="s">
        <v>1576</v>
      </c>
      <c r="D557" s="146"/>
      <c r="E557" s="135"/>
      <c r="F557" s="8" t="s">
        <v>16</v>
      </c>
      <c r="G557" s="135"/>
      <c r="H557" s="135"/>
      <c r="I557" s="134"/>
      <c r="J557" s="135"/>
      <c r="K557" s="2"/>
    </row>
    <row r="558" spans="1:11" ht="15.5">
      <c r="A558" s="178"/>
      <c r="B558" s="181"/>
      <c r="C558" s="175"/>
      <c r="D558" s="146"/>
      <c r="E558" s="135"/>
      <c r="F558" s="8" t="s">
        <v>16</v>
      </c>
      <c r="G558" s="135"/>
      <c r="H558" s="135"/>
      <c r="I558" s="134"/>
      <c r="J558" s="135"/>
      <c r="K558" s="2"/>
    </row>
    <row r="559" spans="1:11" ht="15.5">
      <c r="A559" s="178"/>
      <c r="B559" s="181"/>
      <c r="C559" s="175"/>
      <c r="D559" s="146"/>
      <c r="E559" s="135"/>
      <c r="F559" s="8" t="s">
        <v>16</v>
      </c>
      <c r="G559" s="135"/>
      <c r="H559" s="135"/>
      <c r="I559" s="134"/>
      <c r="J559" s="135"/>
      <c r="K559" s="2"/>
    </row>
    <row r="560" spans="1:11" ht="15.5">
      <c r="A560" s="178"/>
      <c r="B560" s="181"/>
      <c r="C560" s="175"/>
      <c r="D560" s="146"/>
      <c r="E560" s="135"/>
      <c r="F560" s="8" t="s">
        <v>16</v>
      </c>
      <c r="G560" s="135"/>
      <c r="H560" s="135"/>
      <c r="I560" s="134"/>
      <c r="J560" s="135"/>
      <c r="K560" s="2"/>
    </row>
    <row r="561" spans="1:11" ht="15.5">
      <c r="A561" s="178"/>
      <c r="B561" s="181"/>
      <c r="C561" s="176"/>
      <c r="D561" s="146"/>
      <c r="E561" s="135"/>
      <c r="F561" s="8" t="s">
        <v>16</v>
      </c>
      <c r="G561" s="135"/>
      <c r="H561" s="135"/>
      <c r="I561" s="134"/>
      <c r="J561" s="135"/>
      <c r="K561" s="2"/>
    </row>
    <row r="562" spans="1:11" ht="15.5">
      <c r="A562" s="178"/>
      <c r="B562" s="181"/>
      <c r="C562" s="174" t="s">
        <v>1577</v>
      </c>
      <c r="D562" s="146"/>
      <c r="E562" s="135"/>
      <c r="F562" s="8" t="s">
        <v>16</v>
      </c>
      <c r="G562" s="135"/>
      <c r="H562" s="135"/>
      <c r="I562" s="134"/>
      <c r="J562" s="135"/>
      <c r="K562" s="2"/>
    </row>
    <row r="563" spans="1:11" ht="15.5">
      <c r="A563" s="178"/>
      <c r="B563" s="181"/>
      <c r="C563" s="175"/>
      <c r="D563" s="146"/>
      <c r="E563" s="135"/>
      <c r="F563" s="8" t="s">
        <v>16</v>
      </c>
      <c r="G563" s="135"/>
      <c r="H563" s="135"/>
      <c r="I563" s="134"/>
      <c r="J563" s="135"/>
      <c r="K563" s="2"/>
    </row>
    <row r="564" spans="1:11" ht="15.5">
      <c r="A564" s="178"/>
      <c r="B564" s="181"/>
      <c r="C564" s="175"/>
      <c r="D564" s="146"/>
      <c r="E564" s="135"/>
      <c r="F564" s="8" t="s">
        <v>16</v>
      </c>
      <c r="G564" s="135"/>
      <c r="H564" s="135"/>
      <c r="I564" s="134"/>
      <c r="J564" s="135"/>
      <c r="K564" s="2"/>
    </row>
    <row r="565" spans="1:11" ht="15.5">
      <c r="A565" s="178"/>
      <c r="B565" s="181"/>
      <c r="C565" s="175"/>
      <c r="D565" s="146"/>
      <c r="E565" s="135"/>
      <c r="F565" s="8" t="s">
        <v>16</v>
      </c>
      <c r="G565" s="135"/>
      <c r="H565" s="135"/>
      <c r="I565" s="134"/>
      <c r="J565" s="135"/>
      <c r="K565" s="2"/>
    </row>
    <row r="566" spans="1:11" ht="15.5">
      <c r="A566" s="178"/>
      <c r="B566" s="181"/>
      <c r="C566" s="176"/>
      <c r="D566" s="146"/>
      <c r="E566" s="135"/>
      <c r="F566" s="8" t="s">
        <v>16</v>
      </c>
      <c r="G566" s="135"/>
      <c r="H566" s="135"/>
      <c r="I566" s="134"/>
      <c r="J566" s="135"/>
      <c r="K566" s="2"/>
    </row>
    <row r="567" spans="1:11" ht="15.5">
      <c r="A567" s="178"/>
      <c r="B567" s="181"/>
      <c r="C567" s="174" t="s">
        <v>1578</v>
      </c>
      <c r="D567" s="146"/>
      <c r="E567" s="135"/>
      <c r="F567" s="8" t="s">
        <v>16</v>
      </c>
      <c r="G567" s="135"/>
      <c r="H567" s="135"/>
      <c r="I567" s="134"/>
      <c r="J567" s="135"/>
      <c r="K567" s="2"/>
    </row>
    <row r="568" spans="1:11" ht="15.5">
      <c r="A568" s="178"/>
      <c r="B568" s="181"/>
      <c r="C568" s="175"/>
      <c r="D568" s="146"/>
      <c r="E568" s="135"/>
      <c r="F568" s="8" t="s">
        <v>16</v>
      </c>
      <c r="G568" s="135"/>
      <c r="H568" s="135"/>
      <c r="I568" s="134"/>
      <c r="J568" s="135"/>
      <c r="K568" s="2"/>
    </row>
    <row r="569" spans="1:11" ht="15.5">
      <c r="A569" s="178"/>
      <c r="B569" s="181"/>
      <c r="C569" s="175"/>
      <c r="D569" s="146" t="s">
        <v>1579</v>
      </c>
      <c r="E569" s="135"/>
      <c r="F569" s="8" t="s">
        <v>16</v>
      </c>
      <c r="G569" s="135"/>
      <c r="H569" s="135"/>
      <c r="I569" s="134"/>
      <c r="J569" s="135"/>
      <c r="K569" s="2"/>
    </row>
    <row r="570" spans="1:11" ht="15.5">
      <c r="A570" s="178"/>
      <c r="B570" s="181"/>
      <c r="C570" s="175"/>
      <c r="D570" s="146"/>
      <c r="E570" s="135" t="s">
        <v>1580</v>
      </c>
      <c r="F570" s="8" t="s">
        <v>16</v>
      </c>
      <c r="G570" s="135"/>
      <c r="H570" s="135"/>
      <c r="I570" s="134"/>
      <c r="J570" s="135"/>
      <c r="K570" s="2"/>
    </row>
    <row r="571" spans="1:11" ht="16" thickBot="1">
      <c r="A571" s="178"/>
      <c r="B571" s="182"/>
      <c r="C571" s="176"/>
      <c r="D571" s="146"/>
      <c r="E571" s="135"/>
      <c r="F571" s="8" t="s">
        <v>16</v>
      </c>
      <c r="G571" s="135" t="s">
        <v>1581</v>
      </c>
      <c r="H571" s="135" t="s">
        <v>1582</v>
      </c>
      <c r="I571" s="134" t="s">
        <v>26</v>
      </c>
      <c r="J571" s="135" t="s">
        <v>1583</v>
      </c>
      <c r="K571" s="2"/>
    </row>
    <row r="572" spans="1:11" ht="15.5">
      <c r="A572" s="110"/>
      <c r="B572" s="183" t="s">
        <v>1584</v>
      </c>
      <c r="C572" s="174" t="s">
        <v>1585</v>
      </c>
      <c r="D572" s="146"/>
      <c r="E572" s="135"/>
      <c r="F572" s="8" t="s">
        <v>16</v>
      </c>
      <c r="G572" s="135"/>
      <c r="H572" s="135"/>
      <c r="I572" s="134"/>
      <c r="J572" s="135"/>
      <c r="K572" s="2"/>
    </row>
    <row r="573" spans="1:11" ht="15.5">
      <c r="A573" s="110"/>
      <c r="B573" s="181"/>
      <c r="C573" s="175"/>
      <c r="D573" s="146"/>
      <c r="E573" s="135"/>
      <c r="F573" s="8" t="s">
        <v>16</v>
      </c>
      <c r="G573" s="135"/>
      <c r="H573" s="135"/>
      <c r="I573" s="134"/>
      <c r="J573" s="135"/>
      <c r="K573" s="2"/>
    </row>
    <row r="574" spans="1:11" ht="15.5">
      <c r="A574" s="110"/>
      <c r="B574" s="181"/>
      <c r="C574" s="175"/>
      <c r="D574" s="146"/>
      <c r="E574" s="135"/>
      <c r="F574" s="8" t="s">
        <v>16</v>
      </c>
      <c r="G574" s="135"/>
      <c r="H574" s="135"/>
      <c r="I574" s="134"/>
      <c r="J574" s="135"/>
      <c r="K574" s="2"/>
    </row>
    <row r="575" spans="1:11" ht="15.5">
      <c r="A575" s="110"/>
      <c r="B575" s="181"/>
      <c r="C575" s="175"/>
      <c r="D575" s="146"/>
      <c r="E575" s="135"/>
      <c r="F575" s="8" t="s">
        <v>16</v>
      </c>
      <c r="G575" s="135"/>
      <c r="H575" s="135"/>
      <c r="I575" s="134"/>
      <c r="J575" s="135"/>
      <c r="K575" s="2"/>
    </row>
    <row r="576" spans="1:11" ht="15.5">
      <c r="A576" s="110"/>
      <c r="B576" s="181"/>
      <c r="C576" s="176"/>
      <c r="D576" s="146"/>
      <c r="E576" s="135"/>
      <c r="F576" s="8" t="s">
        <v>16</v>
      </c>
      <c r="G576" s="135"/>
      <c r="H576" s="135"/>
      <c r="I576" s="134"/>
      <c r="J576" s="135"/>
      <c r="K576" s="2"/>
    </row>
    <row r="577" spans="1:11" ht="15.5">
      <c r="A577" s="110"/>
      <c r="B577" s="181"/>
      <c r="C577" s="174" t="s">
        <v>1586</v>
      </c>
      <c r="D577" s="146"/>
      <c r="E577" s="135"/>
      <c r="F577" s="8" t="s">
        <v>16</v>
      </c>
      <c r="G577" s="135"/>
      <c r="H577" s="135"/>
      <c r="I577" s="134"/>
      <c r="J577" s="135"/>
      <c r="K577" s="2"/>
    </row>
    <row r="578" spans="1:11" ht="15.5">
      <c r="A578" s="110"/>
      <c r="B578" s="181"/>
      <c r="C578" s="175"/>
      <c r="D578" s="146"/>
      <c r="E578" s="135"/>
      <c r="F578" s="8" t="s">
        <v>16</v>
      </c>
      <c r="G578" s="135"/>
      <c r="H578" s="135"/>
      <c r="I578" s="134"/>
      <c r="J578" s="135"/>
      <c r="K578" s="2"/>
    </row>
    <row r="579" spans="1:11" ht="15.5">
      <c r="A579" s="110"/>
      <c r="B579" s="181"/>
      <c r="C579" s="175"/>
      <c r="D579" s="146"/>
      <c r="E579" s="135"/>
      <c r="F579" s="8" t="s">
        <v>16</v>
      </c>
      <c r="G579" s="135"/>
      <c r="H579" s="135"/>
      <c r="I579" s="134"/>
      <c r="J579" s="135"/>
      <c r="K579" s="2"/>
    </row>
    <row r="580" spans="1:11" ht="15.5">
      <c r="A580" s="110"/>
      <c r="B580" s="181"/>
      <c r="C580" s="175"/>
      <c r="D580" s="146"/>
      <c r="E580" s="135"/>
      <c r="F580" s="8" t="s">
        <v>16</v>
      </c>
      <c r="G580" s="135"/>
      <c r="H580" s="135"/>
      <c r="I580" s="134"/>
      <c r="J580" s="135"/>
      <c r="K580" s="2"/>
    </row>
    <row r="581" spans="1:11" ht="15.5">
      <c r="A581" s="110"/>
      <c r="B581" s="181"/>
      <c r="C581" s="176"/>
      <c r="D581" s="146"/>
      <c r="E581" s="135"/>
      <c r="F581" s="8" t="s">
        <v>16</v>
      </c>
      <c r="G581" s="135"/>
      <c r="H581" s="135"/>
      <c r="I581" s="134"/>
      <c r="J581" s="135"/>
      <c r="K581" s="2"/>
    </row>
    <row r="582" spans="1:11" ht="15.5">
      <c r="A582" s="110"/>
      <c r="B582" s="181"/>
      <c r="C582" s="174" t="s">
        <v>1587</v>
      </c>
      <c r="D582" s="146"/>
      <c r="E582" s="135"/>
      <c r="F582" s="8" t="s">
        <v>16</v>
      </c>
      <c r="G582" s="135"/>
      <c r="H582" s="135"/>
      <c r="I582" s="134"/>
      <c r="J582" s="135"/>
      <c r="K582" s="2"/>
    </row>
    <row r="583" spans="1:11" ht="15.5">
      <c r="A583" s="110"/>
      <c r="B583" s="181"/>
      <c r="C583" s="175"/>
      <c r="D583" s="146"/>
      <c r="E583" s="135"/>
      <c r="F583" s="8" t="s">
        <v>16</v>
      </c>
      <c r="G583" s="135"/>
      <c r="H583" s="135"/>
      <c r="I583" s="134"/>
      <c r="J583" s="135"/>
      <c r="K583" s="2"/>
    </row>
    <row r="584" spans="1:11" ht="15.5">
      <c r="A584" s="110"/>
      <c r="B584" s="181"/>
      <c r="C584" s="175"/>
      <c r="D584" s="146"/>
      <c r="E584" s="135"/>
      <c r="F584" s="8" t="s">
        <v>16</v>
      </c>
      <c r="G584" s="135"/>
      <c r="H584" s="135"/>
      <c r="I584" s="134"/>
      <c r="J584" s="135"/>
      <c r="K584" s="2"/>
    </row>
    <row r="585" spans="1:11" ht="15.5">
      <c r="A585" s="110"/>
      <c r="B585" s="181"/>
      <c r="C585" s="175"/>
      <c r="D585" s="146"/>
      <c r="E585" s="135"/>
      <c r="F585" s="8" t="s">
        <v>16</v>
      </c>
      <c r="G585" s="135"/>
      <c r="H585" s="135"/>
      <c r="I585" s="134"/>
      <c r="J585" s="135"/>
      <c r="K585" s="2"/>
    </row>
    <row r="586" spans="1:11" ht="15.5">
      <c r="A586" s="110"/>
      <c r="B586" s="181"/>
      <c r="C586" s="176"/>
      <c r="D586" s="146"/>
      <c r="E586" s="135"/>
      <c r="F586" s="8" t="s">
        <v>16</v>
      </c>
      <c r="G586" s="135"/>
      <c r="H586" s="135"/>
      <c r="I586" s="134"/>
      <c r="J586" s="135"/>
      <c r="K586" s="2"/>
    </row>
    <row r="587" spans="1:11" ht="15.5">
      <c r="A587" s="110"/>
      <c r="B587" s="181"/>
      <c r="C587" s="174" t="s">
        <v>1588</v>
      </c>
      <c r="D587" s="146"/>
      <c r="E587" s="135"/>
      <c r="F587" s="8" t="s">
        <v>16</v>
      </c>
      <c r="G587" s="135"/>
      <c r="H587" s="135"/>
      <c r="I587" s="134"/>
      <c r="J587" s="135"/>
      <c r="K587" s="2"/>
    </row>
    <row r="588" spans="1:11" ht="15.5">
      <c r="A588" s="110"/>
      <c r="B588" s="181"/>
      <c r="C588" s="175"/>
      <c r="D588" s="146"/>
      <c r="E588" s="135"/>
      <c r="F588" s="8" t="s">
        <v>16</v>
      </c>
      <c r="G588" s="135"/>
      <c r="H588" s="135"/>
      <c r="I588" s="134"/>
      <c r="J588" s="135"/>
      <c r="K588" s="2"/>
    </row>
    <row r="589" spans="1:11" ht="15.5">
      <c r="A589" s="110"/>
      <c r="B589" s="181"/>
      <c r="C589" s="175"/>
      <c r="D589" s="146"/>
      <c r="E589" s="135"/>
      <c r="F589" s="8" t="s">
        <v>16</v>
      </c>
      <c r="G589" s="135"/>
      <c r="H589" s="135"/>
      <c r="I589" s="134"/>
      <c r="J589" s="135"/>
      <c r="K589" s="2"/>
    </row>
    <row r="590" spans="1:11" ht="15.5">
      <c r="A590" s="110"/>
      <c r="B590" s="181"/>
      <c r="C590" s="175"/>
      <c r="D590" s="146"/>
      <c r="E590" s="135"/>
      <c r="F590" s="8" t="s">
        <v>16</v>
      </c>
      <c r="G590" s="135"/>
      <c r="H590" s="135"/>
      <c r="I590" s="134"/>
      <c r="J590" s="135"/>
      <c r="K590" s="2"/>
    </row>
    <row r="591" spans="1:11" ht="15.5">
      <c r="A591" s="110"/>
      <c r="B591" s="181"/>
      <c r="C591" s="176"/>
      <c r="D591" s="146"/>
      <c r="E591" s="135"/>
      <c r="F591" s="8" t="s">
        <v>16</v>
      </c>
      <c r="G591" s="135"/>
      <c r="H591" s="135"/>
      <c r="I591" s="134"/>
      <c r="J591" s="135"/>
      <c r="K591" s="2"/>
    </row>
    <row r="592" spans="1:11" ht="15.5">
      <c r="A592" s="110"/>
      <c r="B592" s="181"/>
      <c r="C592" s="174" t="s">
        <v>1589</v>
      </c>
      <c r="D592" s="146"/>
      <c r="E592" s="135"/>
      <c r="F592" s="8" t="s">
        <v>16</v>
      </c>
      <c r="G592" s="135"/>
      <c r="H592" s="135"/>
      <c r="I592" s="134"/>
      <c r="J592" s="135"/>
      <c r="K592" s="2"/>
    </row>
    <row r="593" spans="1:11" ht="15.5">
      <c r="A593" s="110"/>
      <c r="B593" s="181"/>
      <c r="C593" s="175"/>
      <c r="D593" s="146"/>
      <c r="E593" s="135"/>
      <c r="F593" s="8" t="s">
        <v>16</v>
      </c>
      <c r="G593" s="135"/>
      <c r="H593" s="135"/>
      <c r="I593" s="134"/>
      <c r="J593" s="135"/>
      <c r="K593" s="2"/>
    </row>
    <row r="594" spans="1:11" ht="15.5">
      <c r="A594" s="110"/>
      <c r="B594" s="181"/>
      <c r="C594" s="175"/>
      <c r="D594" s="146"/>
      <c r="E594" s="135"/>
      <c r="F594" s="8" t="s">
        <v>16</v>
      </c>
      <c r="G594" s="135"/>
      <c r="H594" s="135"/>
      <c r="I594" s="134"/>
      <c r="J594" s="135"/>
      <c r="K594" s="2"/>
    </row>
    <row r="595" spans="1:11" ht="15.5">
      <c r="A595" s="110"/>
      <c r="B595" s="181"/>
      <c r="C595" s="175"/>
      <c r="D595" s="146"/>
      <c r="E595" s="135"/>
      <c r="F595" s="8" t="s">
        <v>16</v>
      </c>
      <c r="G595" s="135"/>
      <c r="H595" s="135"/>
      <c r="I595" s="134"/>
      <c r="J595" s="135"/>
      <c r="K595" s="2"/>
    </row>
    <row r="596" spans="1:11" ht="15.5">
      <c r="A596" s="110"/>
      <c r="B596" s="181"/>
      <c r="C596" s="176"/>
      <c r="D596" s="146"/>
      <c r="E596" s="135"/>
      <c r="F596" s="8" t="s">
        <v>16</v>
      </c>
      <c r="G596" s="135"/>
      <c r="H596" s="135"/>
      <c r="I596" s="134"/>
      <c r="J596" s="135"/>
      <c r="K596" s="2"/>
    </row>
    <row r="597" spans="1:11" ht="15.5">
      <c r="A597" s="110"/>
      <c r="B597" s="181"/>
      <c r="C597" s="174" t="s">
        <v>1590</v>
      </c>
      <c r="D597" s="146"/>
      <c r="E597" s="135"/>
      <c r="F597" s="8" t="s">
        <v>16</v>
      </c>
      <c r="G597" s="135"/>
      <c r="H597" s="135"/>
      <c r="I597" s="134"/>
      <c r="J597" s="135"/>
      <c r="K597" s="2"/>
    </row>
    <row r="598" spans="1:11" ht="15.5">
      <c r="A598" s="110"/>
      <c r="B598" s="181"/>
      <c r="C598" s="175"/>
      <c r="D598" s="146"/>
      <c r="E598" s="135"/>
      <c r="F598" s="8" t="s">
        <v>16</v>
      </c>
      <c r="G598" s="135"/>
      <c r="H598" s="135"/>
      <c r="I598" s="134"/>
      <c r="J598" s="135"/>
      <c r="K598" s="2"/>
    </row>
    <row r="599" spans="1:11" ht="15.5">
      <c r="A599" s="110"/>
      <c r="B599" s="181"/>
      <c r="C599" s="175"/>
      <c r="D599" s="146" t="s">
        <v>1591</v>
      </c>
      <c r="E599" s="135"/>
      <c r="F599" s="8" t="s">
        <v>16</v>
      </c>
      <c r="G599" s="135"/>
      <c r="H599" s="135"/>
      <c r="I599" s="134"/>
      <c r="J599" s="135"/>
      <c r="K599" s="2"/>
    </row>
    <row r="600" spans="1:11" ht="15.5">
      <c r="A600" s="110"/>
      <c r="B600" s="181"/>
      <c r="C600" s="175"/>
      <c r="D600" s="146"/>
      <c r="E600" s="135" t="s">
        <v>1592</v>
      </c>
      <c r="F600" s="8" t="s">
        <v>16</v>
      </c>
      <c r="G600" s="135"/>
      <c r="H600" s="135"/>
      <c r="I600" s="134"/>
      <c r="J600" s="135"/>
      <c r="K600" s="2"/>
    </row>
    <row r="601" spans="1:11" ht="16" thickBot="1">
      <c r="A601" s="178" t="s">
        <v>1593</v>
      </c>
      <c r="B601" s="182"/>
      <c r="C601" s="176"/>
      <c r="D601" s="146"/>
      <c r="E601" s="135"/>
      <c r="F601" s="8" t="s">
        <v>16</v>
      </c>
      <c r="G601" s="135" t="s">
        <v>1594</v>
      </c>
      <c r="H601" s="135" t="s">
        <v>1595</v>
      </c>
      <c r="I601" s="134" t="s">
        <v>213</v>
      </c>
      <c r="J601" s="135" t="s">
        <v>1596</v>
      </c>
      <c r="K601" s="2"/>
    </row>
    <row r="602" spans="1:11" ht="15.5">
      <c r="A602" s="178"/>
      <c r="B602" s="181" t="s">
        <v>1597</v>
      </c>
      <c r="C602" s="174" t="s">
        <v>1598</v>
      </c>
      <c r="D602" s="146"/>
      <c r="E602" s="135"/>
      <c r="F602" s="8" t="s">
        <v>16</v>
      </c>
      <c r="G602" s="135"/>
      <c r="H602" s="135"/>
      <c r="I602" s="134"/>
      <c r="J602" s="135"/>
      <c r="K602" s="2"/>
    </row>
    <row r="603" spans="1:11" ht="15.5">
      <c r="A603" s="178"/>
      <c r="B603" s="181"/>
      <c r="C603" s="175"/>
      <c r="D603" s="146"/>
      <c r="E603" s="135"/>
      <c r="F603" s="8" t="s">
        <v>16</v>
      </c>
      <c r="G603" s="135"/>
      <c r="H603" s="135"/>
      <c r="I603" s="134"/>
      <c r="J603" s="135"/>
      <c r="K603" s="2"/>
    </row>
    <row r="604" spans="1:11" ht="15.5">
      <c r="A604" s="178"/>
      <c r="B604" s="181"/>
      <c r="C604" s="175"/>
      <c r="D604" s="146"/>
      <c r="E604" s="135"/>
      <c r="F604" s="8" t="s">
        <v>16</v>
      </c>
      <c r="G604" s="135"/>
      <c r="H604" s="135"/>
      <c r="I604" s="134"/>
      <c r="J604" s="135"/>
      <c r="K604" s="2"/>
    </row>
    <row r="605" spans="1:11" ht="15.5">
      <c r="A605" s="178"/>
      <c r="B605" s="181"/>
      <c r="C605" s="175"/>
      <c r="D605" s="146"/>
      <c r="E605" s="135"/>
      <c r="F605" s="8" t="s">
        <v>16</v>
      </c>
      <c r="G605" s="135"/>
      <c r="H605" s="135"/>
      <c r="I605" s="134"/>
      <c r="J605" s="135"/>
      <c r="K605" s="2"/>
    </row>
    <row r="606" spans="1:11" ht="15.5">
      <c r="A606" s="178"/>
      <c r="B606" s="181"/>
      <c r="C606" s="176"/>
      <c r="D606" s="146"/>
      <c r="E606" s="135"/>
      <c r="F606" s="8" t="s">
        <v>16</v>
      </c>
      <c r="G606" s="135"/>
      <c r="H606" s="135"/>
      <c r="I606" s="134"/>
      <c r="J606" s="135"/>
      <c r="K606" s="2"/>
    </row>
    <row r="607" spans="1:11" ht="15.5">
      <c r="A607" s="178"/>
      <c r="B607" s="181"/>
      <c r="C607" s="174" t="s">
        <v>1599</v>
      </c>
      <c r="D607" s="146"/>
      <c r="E607" s="135"/>
      <c r="F607" s="8" t="s">
        <v>16</v>
      </c>
      <c r="G607" s="135"/>
      <c r="H607" s="135"/>
      <c r="I607" s="134"/>
      <c r="J607" s="135"/>
      <c r="K607" s="2"/>
    </row>
    <row r="608" spans="1:11" ht="15.5">
      <c r="A608" s="178"/>
      <c r="B608" s="181"/>
      <c r="C608" s="175"/>
      <c r="D608" s="146"/>
      <c r="E608" s="135"/>
      <c r="F608" s="8" t="s">
        <v>16</v>
      </c>
      <c r="G608" s="135"/>
      <c r="H608" s="135"/>
      <c r="I608" s="134"/>
      <c r="J608" s="135"/>
      <c r="K608" s="2"/>
    </row>
    <row r="609" spans="1:11" ht="15.5">
      <c r="A609" s="178"/>
      <c r="B609" s="181"/>
      <c r="C609" s="175"/>
      <c r="D609" s="146"/>
      <c r="E609" s="135"/>
      <c r="F609" s="8" t="s">
        <v>16</v>
      </c>
      <c r="G609" s="135"/>
      <c r="H609" s="135"/>
      <c r="I609" s="134"/>
      <c r="J609" s="135"/>
      <c r="K609" s="2"/>
    </row>
    <row r="610" spans="1:11" ht="15.5">
      <c r="A610" s="178"/>
      <c r="B610" s="181"/>
      <c r="C610" s="175"/>
      <c r="D610" s="146"/>
      <c r="E610" s="135"/>
      <c r="F610" s="8" t="s">
        <v>16</v>
      </c>
      <c r="G610" s="135"/>
      <c r="H610" s="135"/>
      <c r="I610" s="134"/>
      <c r="J610" s="135"/>
      <c r="K610" s="2"/>
    </row>
    <row r="611" spans="1:11" ht="15.5">
      <c r="A611" s="178"/>
      <c r="B611" s="181"/>
      <c r="C611" s="176"/>
      <c r="D611" s="146"/>
      <c r="E611" s="135"/>
      <c r="F611" s="8" t="s">
        <v>16</v>
      </c>
      <c r="G611" s="135"/>
      <c r="H611" s="135"/>
      <c r="I611" s="134"/>
      <c r="J611" s="135"/>
      <c r="K611" s="2"/>
    </row>
    <row r="612" spans="1:11" ht="15.5">
      <c r="A612" s="178"/>
      <c r="B612" s="181"/>
      <c r="C612" s="174" t="s">
        <v>1600</v>
      </c>
      <c r="D612" s="146"/>
      <c r="E612" s="135"/>
      <c r="F612" s="8" t="s">
        <v>16</v>
      </c>
      <c r="G612" s="135"/>
      <c r="H612" s="135"/>
      <c r="I612" s="134"/>
      <c r="J612" s="135"/>
      <c r="K612" s="2"/>
    </row>
    <row r="613" spans="1:11" ht="15.5">
      <c r="A613" s="178"/>
      <c r="B613" s="181"/>
      <c r="C613" s="175"/>
      <c r="D613" s="146"/>
      <c r="E613" s="135"/>
      <c r="F613" s="8" t="s">
        <v>16</v>
      </c>
      <c r="G613" s="135"/>
      <c r="H613" s="135"/>
      <c r="I613" s="134"/>
      <c r="J613" s="135"/>
      <c r="K613" s="2"/>
    </row>
    <row r="614" spans="1:11" ht="15.5">
      <c r="A614" s="178"/>
      <c r="B614" s="181"/>
      <c r="C614" s="175"/>
      <c r="D614" s="146"/>
      <c r="E614" s="135"/>
      <c r="F614" s="8" t="s">
        <v>16</v>
      </c>
      <c r="G614" s="135"/>
      <c r="H614" s="135"/>
      <c r="I614" s="134"/>
      <c r="J614" s="135"/>
      <c r="K614" s="2"/>
    </row>
    <row r="615" spans="1:11" ht="15.5">
      <c r="A615" s="178"/>
      <c r="B615" s="181"/>
      <c r="C615" s="175"/>
      <c r="D615" s="146"/>
      <c r="E615" s="135"/>
      <c r="F615" s="8" t="s">
        <v>16</v>
      </c>
      <c r="G615" s="135"/>
      <c r="H615" s="135"/>
      <c r="I615" s="134"/>
      <c r="J615" s="135"/>
      <c r="K615" s="2"/>
    </row>
    <row r="616" spans="1:11" ht="15.5">
      <c r="A616" s="178"/>
      <c r="B616" s="181"/>
      <c r="C616" s="176"/>
      <c r="D616" s="146"/>
      <c r="E616" s="135"/>
      <c r="F616" s="8" t="s">
        <v>16</v>
      </c>
      <c r="G616" s="135"/>
      <c r="H616" s="135"/>
      <c r="I616" s="134"/>
      <c r="J616" s="135"/>
      <c r="K616" s="2"/>
    </row>
    <row r="617" spans="1:11" ht="15.5">
      <c r="A617" s="178"/>
      <c r="B617" s="181"/>
      <c r="C617" s="174" t="s">
        <v>1601</v>
      </c>
      <c r="D617" s="146"/>
      <c r="E617" s="135"/>
      <c r="F617" s="8" t="s">
        <v>16</v>
      </c>
      <c r="G617" s="135"/>
      <c r="H617" s="135"/>
      <c r="I617" s="134"/>
      <c r="J617" s="135"/>
      <c r="K617" s="2"/>
    </row>
    <row r="618" spans="1:11" ht="15.5">
      <c r="A618" s="178"/>
      <c r="B618" s="181"/>
      <c r="C618" s="175"/>
      <c r="D618" s="146"/>
      <c r="E618" s="135"/>
      <c r="F618" s="8" t="s">
        <v>16</v>
      </c>
      <c r="G618" s="135"/>
      <c r="H618" s="135"/>
      <c r="I618" s="134"/>
      <c r="J618" s="135"/>
      <c r="K618" s="2"/>
    </row>
    <row r="619" spans="1:11" ht="15.5">
      <c r="A619" s="178"/>
      <c r="B619" s="181"/>
      <c r="C619" s="175"/>
      <c r="D619" s="146"/>
      <c r="E619" s="135"/>
      <c r="F619" s="8" t="s">
        <v>16</v>
      </c>
      <c r="G619" s="135"/>
      <c r="H619" s="135"/>
      <c r="I619" s="134"/>
      <c r="J619" s="135"/>
      <c r="K619" s="2"/>
    </row>
    <row r="620" spans="1:11" ht="15.5">
      <c r="A620" s="178"/>
      <c r="B620" s="181"/>
      <c r="C620" s="175"/>
      <c r="D620" s="146"/>
      <c r="E620" s="135"/>
      <c r="F620" s="8" t="s">
        <v>16</v>
      </c>
      <c r="G620" s="135"/>
      <c r="H620" s="135"/>
      <c r="I620" s="134"/>
      <c r="J620" s="135"/>
      <c r="K620" s="2"/>
    </row>
    <row r="621" spans="1:11" ht="15.5">
      <c r="A621" s="178"/>
      <c r="B621" s="181"/>
      <c r="C621" s="176"/>
      <c r="D621" s="146"/>
      <c r="E621" s="135"/>
      <c r="F621" s="8" t="s">
        <v>16</v>
      </c>
      <c r="G621" s="135"/>
      <c r="H621" s="135"/>
      <c r="I621" s="134"/>
      <c r="J621" s="135"/>
      <c r="K621" s="2"/>
    </row>
    <row r="622" spans="1:11" ht="15.5">
      <c r="A622" s="178"/>
      <c r="B622" s="181"/>
      <c r="C622" s="174" t="s">
        <v>1602</v>
      </c>
      <c r="D622" s="146"/>
      <c r="E622" s="135"/>
      <c r="F622" s="8" t="s">
        <v>16</v>
      </c>
      <c r="G622" s="135"/>
      <c r="H622" s="135"/>
      <c r="I622" s="134"/>
      <c r="J622" s="135"/>
      <c r="K622" s="2"/>
    </row>
    <row r="623" spans="1:11" ht="15.5">
      <c r="A623" s="178"/>
      <c r="B623" s="181"/>
      <c r="C623" s="175"/>
      <c r="D623" s="146"/>
      <c r="E623" s="135"/>
      <c r="F623" s="8" t="s">
        <v>16</v>
      </c>
      <c r="G623" s="135"/>
      <c r="H623" s="135"/>
      <c r="I623" s="134"/>
      <c r="J623" s="135"/>
      <c r="K623" s="2"/>
    </row>
    <row r="624" spans="1:11" ht="15.5">
      <c r="A624" s="178"/>
      <c r="B624" s="181"/>
      <c r="C624" s="175"/>
      <c r="D624" s="146"/>
      <c r="E624" s="135"/>
      <c r="F624" s="8" t="s">
        <v>16</v>
      </c>
      <c r="G624" s="135"/>
      <c r="H624" s="135"/>
      <c r="I624" s="134"/>
      <c r="J624" s="135"/>
      <c r="K624" s="2"/>
    </row>
    <row r="625" spans="1:11" ht="15.5">
      <c r="A625" s="178"/>
      <c r="B625" s="181"/>
      <c r="C625" s="175"/>
      <c r="D625" s="146"/>
      <c r="E625" s="135"/>
      <c r="F625" s="8" t="s">
        <v>16</v>
      </c>
      <c r="G625" s="135"/>
      <c r="H625" s="135"/>
      <c r="I625" s="134"/>
      <c r="J625" s="135"/>
      <c r="K625" s="2"/>
    </row>
    <row r="626" spans="1:11" ht="15.5">
      <c r="A626" s="178"/>
      <c r="B626" s="181"/>
      <c r="C626" s="176"/>
      <c r="D626" s="146"/>
      <c r="E626" s="135"/>
      <c r="F626" s="8" t="s">
        <v>16</v>
      </c>
      <c r="G626" s="135"/>
      <c r="H626" s="135"/>
      <c r="I626" s="134"/>
      <c r="J626" s="135"/>
      <c r="K626" s="2"/>
    </row>
    <row r="627" spans="1:11" ht="15.5">
      <c r="A627" s="178"/>
      <c r="B627" s="181"/>
      <c r="C627" s="174" t="s">
        <v>1603</v>
      </c>
      <c r="D627" s="146"/>
      <c r="E627" s="135"/>
      <c r="F627" s="8" t="s">
        <v>16</v>
      </c>
      <c r="G627" s="135"/>
      <c r="H627" s="135"/>
      <c r="I627" s="134"/>
      <c r="J627" s="135"/>
      <c r="K627" s="2"/>
    </row>
    <row r="628" spans="1:11" ht="15.5">
      <c r="A628" s="178"/>
      <c r="B628" s="181"/>
      <c r="C628" s="175"/>
      <c r="D628" s="146"/>
      <c r="E628" s="135"/>
      <c r="F628" s="8" t="s">
        <v>16</v>
      </c>
      <c r="G628" s="135"/>
      <c r="H628" s="135"/>
      <c r="I628" s="134"/>
      <c r="J628" s="135"/>
      <c r="K628" s="2"/>
    </row>
    <row r="629" spans="1:11" ht="15.5">
      <c r="A629" s="178"/>
      <c r="B629" s="181"/>
      <c r="C629" s="175"/>
      <c r="D629" s="146" t="s">
        <v>1604</v>
      </c>
      <c r="E629" s="135"/>
      <c r="F629" s="8" t="s">
        <v>16</v>
      </c>
      <c r="G629" s="135"/>
      <c r="H629" s="135"/>
      <c r="I629" s="134"/>
      <c r="J629" s="135"/>
      <c r="K629" s="2"/>
    </row>
    <row r="630" spans="1:11" ht="15.5">
      <c r="A630" s="178"/>
      <c r="B630" s="181"/>
      <c r="C630" s="175"/>
      <c r="D630" s="146"/>
      <c r="E630" s="135" t="s">
        <v>1605</v>
      </c>
      <c r="F630" s="8" t="s">
        <v>16</v>
      </c>
      <c r="G630" s="135"/>
      <c r="H630" s="135"/>
      <c r="I630" s="134"/>
      <c r="J630" s="135"/>
      <c r="K630" s="2"/>
    </row>
    <row r="631" spans="1:11" ht="16" thickBot="1">
      <c r="A631" s="178"/>
      <c r="B631" s="181"/>
      <c r="C631" s="176"/>
      <c r="D631" s="146"/>
      <c r="E631" s="135"/>
      <c r="F631" s="8" t="s">
        <v>16</v>
      </c>
      <c r="G631" s="135" t="s">
        <v>1606</v>
      </c>
      <c r="H631" s="135" t="s">
        <v>1607</v>
      </c>
      <c r="I631" s="134" t="s">
        <v>213</v>
      </c>
      <c r="J631" s="135" t="s">
        <v>1608</v>
      </c>
      <c r="K631" s="2"/>
    </row>
    <row r="632" spans="1:11" ht="15.5">
      <c r="A632" s="110"/>
      <c r="B632" s="183" t="s">
        <v>1609</v>
      </c>
      <c r="C632" s="174" t="s">
        <v>1610</v>
      </c>
      <c r="D632" s="146"/>
      <c r="E632" s="135"/>
      <c r="F632" s="8" t="s">
        <v>16</v>
      </c>
      <c r="G632" s="135"/>
      <c r="H632" s="135"/>
      <c r="I632" s="134"/>
      <c r="J632" s="135"/>
      <c r="K632" s="2"/>
    </row>
    <row r="633" spans="1:11" ht="15.5">
      <c r="A633" s="110"/>
      <c r="B633" s="181"/>
      <c r="C633" s="175"/>
      <c r="D633" s="146"/>
      <c r="E633" s="135"/>
      <c r="F633" s="8" t="s">
        <v>16</v>
      </c>
      <c r="G633" s="135"/>
      <c r="H633" s="135"/>
      <c r="I633" s="134"/>
      <c r="J633" s="135"/>
      <c r="K633" s="2"/>
    </row>
    <row r="634" spans="1:11" ht="15.5">
      <c r="A634" s="110"/>
      <c r="B634" s="181"/>
      <c r="C634" s="175"/>
      <c r="D634" s="146"/>
      <c r="E634" s="135"/>
      <c r="F634" s="8" t="s">
        <v>16</v>
      </c>
      <c r="G634" s="135"/>
      <c r="H634" s="135"/>
      <c r="I634" s="134"/>
      <c r="J634" s="135"/>
      <c r="K634" s="2"/>
    </row>
    <row r="635" spans="1:11" ht="15.5">
      <c r="A635" s="110"/>
      <c r="B635" s="181"/>
      <c r="C635" s="175"/>
      <c r="D635" s="146"/>
      <c r="E635" s="135"/>
      <c r="F635" s="8" t="s">
        <v>16</v>
      </c>
      <c r="G635" s="135"/>
      <c r="H635" s="135"/>
      <c r="I635" s="134"/>
      <c r="J635" s="135"/>
      <c r="K635" s="2"/>
    </row>
    <row r="636" spans="1:11" ht="15.5">
      <c r="A636" s="110"/>
      <c r="B636" s="181"/>
      <c r="C636" s="176"/>
      <c r="D636" s="146"/>
      <c r="E636" s="135"/>
      <c r="F636" s="8" t="s">
        <v>16</v>
      </c>
      <c r="G636" s="135"/>
      <c r="H636" s="135"/>
      <c r="I636" s="134"/>
      <c r="J636" s="135"/>
      <c r="K636" s="2"/>
    </row>
    <row r="637" spans="1:11" ht="15.5">
      <c r="A637" s="110"/>
      <c r="B637" s="181"/>
      <c r="C637" s="174" t="s">
        <v>1611</v>
      </c>
      <c r="D637" s="146"/>
      <c r="E637" s="135"/>
      <c r="F637" s="8" t="s">
        <v>16</v>
      </c>
      <c r="G637" s="135"/>
      <c r="H637" s="135"/>
      <c r="I637" s="134"/>
      <c r="J637" s="135"/>
      <c r="K637" s="2"/>
    </row>
    <row r="638" spans="1:11" ht="15.5">
      <c r="A638" s="110"/>
      <c r="B638" s="181"/>
      <c r="C638" s="175"/>
      <c r="D638" s="146"/>
      <c r="E638" s="135"/>
      <c r="F638" s="8" t="s">
        <v>16</v>
      </c>
      <c r="G638" s="135"/>
      <c r="H638" s="135"/>
      <c r="I638" s="134"/>
      <c r="J638" s="135"/>
      <c r="K638" s="2"/>
    </row>
    <row r="639" spans="1:11" ht="15.5">
      <c r="A639" s="110"/>
      <c r="B639" s="181"/>
      <c r="C639" s="175"/>
      <c r="D639" s="146"/>
      <c r="E639" s="135"/>
      <c r="F639" s="8" t="s">
        <v>16</v>
      </c>
      <c r="G639" s="135"/>
      <c r="H639" s="135"/>
      <c r="I639" s="134"/>
      <c r="J639" s="135"/>
      <c r="K639" s="2"/>
    </row>
    <row r="640" spans="1:11" ht="15.5">
      <c r="A640" s="110"/>
      <c r="B640" s="181"/>
      <c r="C640" s="175"/>
      <c r="D640" s="146"/>
      <c r="E640" s="135"/>
      <c r="F640" s="8" t="s">
        <v>16</v>
      </c>
      <c r="G640" s="135"/>
      <c r="H640" s="135"/>
      <c r="I640" s="134"/>
      <c r="J640" s="135"/>
      <c r="K640" s="2"/>
    </row>
    <row r="641" spans="1:11" ht="15.5">
      <c r="A641" s="110"/>
      <c r="B641" s="181"/>
      <c r="C641" s="176"/>
      <c r="D641" s="146"/>
      <c r="E641" s="135"/>
      <c r="F641" s="8" t="s">
        <v>16</v>
      </c>
      <c r="G641" s="135"/>
      <c r="H641" s="135"/>
      <c r="I641" s="134"/>
      <c r="J641" s="135"/>
      <c r="K641" s="2"/>
    </row>
    <row r="642" spans="1:11" ht="15.5">
      <c r="A642" s="110"/>
      <c r="B642" s="181"/>
      <c r="C642" s="174" t="s">
        <v>1612</v>
      </c>
      <c r="D642" s="146"/>
      <c r="E642" s="135"/>
      <c r="F642" s="8" t="s">
        <v>16</v>
      </c>
      <c r="G642" s="135"/>
      <c r="H642" s="135"/>
      <c r="I642" s="134"/>
      <c r="J642" s="135"/>
      <c r="K642" s="2"/>
    </row>
    <row r="643" spans="1:11" ht="15.5">
      <c r="A643" s="110"/>
      <c r="B643" s="181"/>
      <c r="C643" s="175"/>
      <c r="D643" s="146"/>
      <c r="E643" s="135"/>
      <c r="F643" s="8" t="s">
        <v>16</v>
      </c>
      <c r="G643" s="135"/>
      <c r="H643" s="135"/>
      <c r="I643" s="134"/>
      <c r="J643" s="135"/>
      <c r="K643" s="2"/>
    </row>
    <row r="644" spans="1:11" ht="15.5">
      <c r="A644" s="110"/>
      <c r="B644" s="181"/>
      <c r="C644" s="175"/>
      <c r="D644" s="146"/>
      <c r="E644" s="135"/>
      <c r="F644" s="8" t="s">
        <v>16</v>
      </c>
      <c r="G644" s="135"/>
      <c r="H644" s="135"/>
      <c r="I644" s="134"/>
      <c r="J644" s="135"/>
      <c r="K644" s="2"/>
    </row>
    <row r="645" spans="1:11" ht="15.5">
      <c r="A645" s="110"/>
      <c r="B645" s="181"/>
      <c r="C645" s="175"/>
      <c r="D645" s="146"/>
      <c r="E645" s="135"/>
      <c r="F645" s="8" t="s">
        <v>16</v>
      </c>
      <c r="G645" s="135"/>
      <c r="H645" s="135"/>
      <c r="I645" s="134"/>
      <c r="J645" s="135"/>
      <c r="K645" s="2"/>
    </row>
    <row r="646" spans="1:11" ht="15.5">
      <c r="A646" s="110"/>
      <c r="B646" s="181"/>
      <c r="C646" s="176"/>
      <c r="D646" s="146"/>
      <c r="E646" s="135"/>
      <c r="F646" s="8" t="s">
        <v>16</v>
      </c>
      <c r="G646" s="135"/>
      <c r="H646" s="135"/>
      <c r="I646" s="134"/>
      <c r="J646" s="135"/>
      <c r="K646" s="2"/>
    </row>
    <row r="647" spans="1:11" ht="15.5">
      <c r="A647" s="110"/>
      <c r="B647" s="181"/>
      <c r="C647" s="174" t="s">
        <v>1613</v>
      </c>
      <c r="D647" s="146"/>
      <c r="E647" s="135"/>
      <c r="F647" s="8" t="s">
        <v>16</v>
      </c>
      <c r="G647" s="135"/>
      <c r="H647" s="135"/>
      <c r="I647" s="134"/>
      <c r="J647" s="135"/>
      <c r="K647" s="2"/>
    </row>
    <row r="648" spans="1:11" ht="15.5">
      <c r="A648" s="110"/>
      <c r="B648" s="181"/>
      <c r="C648" s="175"/>
      <c r="D648" s="146"/>
      <c r="E648" s="135"/>
      <c r="F648" s="8" t="s">
        <v>16</v>
      </c>
      <c r="G648" s="135"/>
      <c r="H648" s="135"/>
      <c r="I648" s="134"/>
      <c r="J648" s="135"/>
      <c r="K648" s="2"/>
    </row>
    <row r="649" spans="1:11" ht="15.5">
      <c r="A649" s="110"/>
      <c r="B649" s="181"/>
      <c r="C649" s="175"/>
      <c r="D649" s="146"/>
      <c r="E649" s="135"/>
      <c r="F649" s="8" t="s">
        <v>16</v>
      </c>
      <c r="G649" s="135"/>
      <c r="H649" s="135"/>
      <c r="I649" s="134"/>
      <c r="J649" s="135"/>
      <c r="K649" s="2"/>
    </row>
    <row r="650" spans="1:11" ht="15.5">
      <c r="A650" s="110"/>
      <c r="B650" s="181"/>
      <c r="C650" s="175"/>
      <c r="D650" s="146"/>
      <c r="E650" s="135"/>
      <c r="F650" s="8" t="s">
        <v>16</v>
      </c>
      <c r="G650" s="135"/>
      <c r="H650" s="135"/>
      <c r="I650" s="134"/>
      <c r="J650" s="135"/>
      <c r="K650" s="2"/>
    </row>
    <row r="651" spans="1:11" ht="15.5">
      <c r="A651" s="110"/>
      <c r="B651" s="181"/>
      <c r="C651" s="176"/>
      <c r="D651" s="146"/>
      <c r="E651" s="135"/>
      <c r="F651" s="8" t="s">
        <v>16</v>
      </c>
      <c r="G651" s="135"/>
      <c r="H651" s="135"/>
      <c r="I651" s="134"/>
      <c r="J651" s="135"/>
      <c r="K651" s="2"/>
    </row>
    <row r="652" spans="1:11" ht="15.5">
      <c r="A652" s="110"/>
      <c r="B652" s="181"/>
      <c r="C652" s="174" t="s">
        <v>1614</v>
      </c>
      <c r="D652" s="146"/>
      <c r="E652" s="135"/>
      <c r="F652" s="8" t="s">
        <v>16</v>
      </c>
      <c r="G652" s="135"/>
      <c r="H652" s="135"/>
      <c r="I652" s="134"/>
      <c r="J652" s="135"/>
      <c r="K652" s="2"/>
    </row>
    <row r="653" spans="1:11" ht="15.5">
      <c r="A653" s="110"/>
      <c r="B653" s="181"/>
      <c r="C653" s="175"/>
      <c r="D653" s="146"/>
      <c r="E653" s="135"/>
      <c r="F653" s="8" t="s">
        <v>16</v>
      </c>
      <c r="G653" s="135"/>
      <c r="H653" s="135"/>
      <c r="I653" s="134"/>
      <c r="J653" s="135"/>
      <c r="K653" s="2"/>
    </row>
    <row r="654" spans="1:11" ht="15.5">
      <c r="A654" s="110"/>
      <c r="B654" s="181"/>
      <c r="C654" s="175"/>
      <c r="D654" s="146"/>
      <c r="E654" s="135"/>
      <c r="F654" s="8" t="s">
        <v>16</v>
      </c>
      <c r="G654" s="135"/>
      <c r="H654" s="135"/>
      <c r="I654" s="134"/>
      <c r="J654" s="135"/>
      <c r="K654" s="2"/>
    </row>
    <row r="655" spans="1:11" ht="15.5">
      <c r="A655" s="110"/>
      <c r="B655" s="181"/>
      <c r="C655" s="175"/>
      <c r="D655" s="146"/>
      <c r="E655" s="135"/>
      <c r="F655" s="8" t="s">
        <v>16</v>
      </c>
      <c r="G655" s="135"/>
      <c r="H655" s="135"/>
      <c r="I655" s="134"/>
      <c r="J655" s="135"/>
      <c r="K655" s="2"/>
    </row>
    <row r="656" spans="1:11" ht="15.5">
      <c r="A656" s="110"/>
      <c r="B656" s="181"/>
      <c r="C656" s="176"/>
      <c r="D656" s="146"/>
      <c r="E656" s="135"/>
      <c r="F656" s="8" t="s">
        <v>16</v>
      </c>
      <c r="G656" s="135"/>
      <c r="H656" s="135"/>
      <c r="I656" s="134"/>
      <c r="J656" s="135"/>
      <c r="K656" s="2"/>
    </row>
    <row r="657" spans="1:11" ht="15.5">
      <c r="A657" s="110"/>
      <c r="B657" s="181"/>
      <c r="C657" s="174" t="s">
        <v>1615</v>
      </c>
      <c r="D657" s="146"/>
      <c r="E657" s="135"/>
      <c r="F657" s="8" t="s">
        <v>16</v>
      </c>
      <c r="G657" s="135"/>
      <c r="H657" s="135"/>
      <c r="I657" s="134"/>
      <c r="J657" s="135"/>
      <c r="K657" s="2"/>
    </row>
    <row r="658" spans="1:11" ht="15.5">
      <c r="A658" s="110"/>
      <c r="B658" s="181"/>
      <c r="C658" s="175"/>
      <c r="D658" s="146"/>
      <c r="E658" s="135"/>
      <c r="F658" s="8" t="s">
        <v>16</v>
      </c>
      <c r="G658" s="135"/>
      <c r="H658" s="135"/>
      <c r="I658" s="134"/>
      <c r="J658" s="135"/>
      <c r="K658" s="2"/>
    </row>
    <row r="659" spans="1:11" ht="15.5">
      <c r="A659" s="110"/>
      <c r="B659" s="181"/>
      <c r="C659" s="175"/>
      <c r="D659" s="146" t="s">
        <v>1616</v>
      </c>
      <c r="E659" s="135"/>
      <c r="F659" s="8" t="s">
        <v>16</v>
      </c>
      <c r="G659" s="135"/>
      <c r="H659" s="135"/>
      <c r="I659" s="134"/>
      <c r="J659" s="135"/>
      <c r="K659" s="2"/>
    </row>
    <row r="660" spans="1:11" ht="15.5">
      <c r="A660" s="110"/>
      <c r="B660" s="181"/>
      <c r="C660" s="175"/>
      <c r="D660" s="146"/>
      <c r="E660" s="135" t="s">
        <v>1617</v>
      </c>
      <c r="F660" s="8" t="s">
        <v>16</v>
      </c>
      <c r="G660" s="135"/>
      <c r="H660" s="135"/>
      <c r="I660" s="134"/>
      <c r="J660" s="135"/>
      <c r="K660" s="2"/>
    </row>
    <row r="661" spans="1:11" ht="16" thickBot="1">
      <c r="A661" s="178" t="s">
        <v>1618</v>
      </c>
      <c r="B661" s="182"/>
      <c r="C661" s="176"/>
      <c r="D661" s="146"/>
      <c r="E661" s="135"/>
      <c r="F661" s="8" t="s">
        <v>16</v>
      </c>
      <c r="G661" s="135" t="s">
        <v>1619</v>
      </c>
      <c r="H661" s="135" t="s">
        <v>1620</v>
      </c>
      <c r="I661" s="134" t="s">
        <v>213</v>
      </c>
      <c r="J661" s="135" t="s">
        <v>1621</v>
      </c>
      <c r="K661" s="2"/>
    </row>
    <row r="662" spans="1:11" ht="15.5">
      <c r="A662" s="178"/>
      <c r="B662" s="181" t="s">
        <v>1622</v>
      </c>
      <c r="C662" s="174" t="s">
        <v>1623</v>
      </c>
      <c r="D662" s="146"/>
      <c r="E662" s="135"/>
      <c r="F662" s="8" t="s">
        <v>16</v>
      </c>
      <c r="G662" s="135"/>
      <c r="H662" s="135"/>
      <c r="I662" s="134"/>
      <c r="J662" s="135"/>
      <c r="K662" s="2"/>
    </row>
    <row r="663" spans="1:11" ht="15.5">
      <c r="A663" s="178"/>
      <c r="B663" s="181"/>
      <c r="C663" s="175"/>
      <c r="D663" s="146"/>
      <c r="E663" s="135"/>
      <c r="F663" s="8" t="s">
        <v>16</v>
      </c>
      <c r="G663" s="135"/>
      <c r="H663" s="135"/>
      <c r="I663" s="134"/>
      <c r="J663" s="135"/>
      <c r="K663" s="2"/>
    </row>
    <row r="664" spans="1:11" ht="15.5">
      <c r="A664" s="178"/>
      <c r="B664" s="181"/>
      <c r="C664" s="175"/>
      <c r="D664" s="146"/>
      <c r="E664" s="135"/>
      <c r="F664" s="8" t="s">
        <v>16</v>
      </c>
      <c r="G664" s="135"/>
      <c r="H664" s="135"/>
      <c r="I664" s="134"/>
      <c r="J664" s="135"/>
      <c r="K664" s="2"/>
    </row>
    <row r="665" spans="1:11" ht="15.5">
      <c r="A665" s="178"/>
      <c r="B665" s="181"/>
      <c r="C665" s="175"/>
      <c r="D665" s="146"/>
      <c r="E665" s="135"/>
      <c r="F665" s="8" t="s">
        <v>16</v>
      </c>
      <c r="G665" s="135"/>
      <c r="H665" s="135"/>
      <c r="I665" s="134"/>
      <c r="J665" s="135"/>
      <c r="K665" s="2"/>
    </row>
    <row r="666" spans="1:11" ht="15.5">
      <c r="A666" s="178"/>
      <c r="B666" s="181"/>
      <c r="C666" s="176"/>
      <c r="D666" s="146"/>
      <c r="E666" s="135"/>
      <c r="F666" s="8" t="s">
        <v>16</v>
      </c>
      <c r="G666" s="135"/>
      <c r="H666" s="135"/>
      <c r="I666" s="134"/>
      <c r="J666" s="135"/>
      <c r="K666" s="2"/>
    </row>
    <row r="667" spans="1:11" ht="15.5">
      <c r="A667" s="178"/>
      <c r="B667" s="181"/>
      <c r="C667" s="174" t="s">
        <v>1624</v>
      </c>
      <c r="D667" s="146"/>
      <c r="E667" s="135"/>
      <c r="F667" s="8" t="s">
        <v>16</v>
      </c>
      <c r="G667" s="135"/>
      <c r="H667" s="135"/>
      <c r="I667" s="134"/>
      <c r="J667" s="135"/>
      <c r="K667" s="2"/>
    </row>
    <row r="668" spans="1:11" ht="15.5">
      <c r="A668" s="178"/>
      <c r="B668" s="181"/>
      <c r="C668" s="175"/>
      <c r="D668" s="146"/>
      <c r="E668" s="135"/>
      <c r="F668" s="8" t="s">
        <v>16</v>
      </c>
      <c r="G668" s="135"/>
      <c r="H668" s="135"/>
      <c r="I668" s="134"/>
      <c r="J668" s="135"/>
      <c r="K668" s="2"/>
    </row>
    <row r="669" spans="1:11" ht="15.5">
      <c r="A669" s="178"/>
      <c r="B669" s="181"/>
      <c r="C669" s="175"/>
      <c r="D669" s="146"/>
      <c r="E669" s="135"/>
      <c r="F669" s="8" t="s">
        <v>16</v>
      </c>
      <c r="G669" s="135"/>
      <c r="H669" s="135"/>
      <c r="I669" s="134"/>
      <c r="J669" s="135"/>
      <c r="K669" s="2"/>
    </row>
    <row r="670" spans="1:11" ht="15.5">
      <c r="A670" s="178"/>
      <c r="B670" s="181"/>
      <c r="C670" s="175"/>
      <c r="D670" s="146"/>
      <c r="E670" s="135"/>
      <c r="F670" s="8" t="s">
        <v>16</v>
      </c>
      <c r="G670" s="135"/>
      <c r="H670" s="135"/>
      <c r="I670" s="134"/>
      <c r="J670" s="135"/>
      <c r="K670" s="2"/>
    </row>
    <row r="671" spans="1:11" ht="15.5">
      <c r="A671" s="178"/>
      <c r="B671" s="181"/>
      <c r="C671" s="176"/>
      <c r="D671" s="146"/>
      <c r="E671" s="135"/>
      <c r="F671" s="8" t="s">
        <v>16</v>
      </c>
      <c r="G671" s="135"/>
      <c r="H671" s="135"/>
      <c r="I671" s="134"/>
      <c r="J671" s="135"/>
      <c r="K671" s="2"/>
    </row>
    <row r="672" spans="1:11" ht="15.5">
      <c r="A672" s="178"/>
      <c r="B672" s="181"/>
      <c r="C672" s="174" t="s">
        <v>1625</v>
      </c>
      <c r="D672" s="146"/>
      <c r="E672" s="135"/>
      <c r="F672" s="8" t="s">
        <v>16</v>
      </c>
      <c r="G672" s="135"/>
      <c r="H672" s="135"/>
      <c r="I672" s="134"/>
      <c r="J672" s="135"/>
      <c r="K672" s="2"/>
    </row>
    <row r="673" spans="1:11" ht="15.5">
      <c r="A673" s="178"/>
      <c r="B673" s="181"/>
      <c r="C673" s="175"/>
      <c r="D673" s="146"/>
      <c r="E673" s="135"/>
      <c r="F673" s="8" t="s">
        <v>16</v>
      </c>
      <c r="G673" s="135"/>
      <c r="H673" s="135"/>
      <c r="I673" s="134"/>
      <c r="J673" s="135"/>
      <c r="K673" s="2"/>
    </row>
    <row r="674" spans="1:11" ht="15.5">
      <c r="A674" s="178"/>
      <c r="B674" s="181"/>
      <c r="C674" s="175"/>
      <c r="D674" s="146"/>
      <c r="E674" s="135"/>
      <c r="F674" s="8" t="s">
        <v>16</v>
      </c>
      <c r="G674" s="135"/>
      <c r="H674" s="135"/>
      <c r="I674" s="134"/>
      <c r="J674" s="135"/>
      <c r="K674" s="2"/>
    </row>
    <row r="675" spans="1:11" ht="15.5">
      <c r="A675" s="178"/>
      <c r="B675" s="181"/>
      <c r="C675" s="175"/>
      <c r="D675" s="146"/>
      <c r="E675" s="135"/>
      <c r="F675" s="8" t="s">
        <v>16</v>
      </c>
      <c r="G675" s="135"/>
      <c r="H675" s="135"/>
      <c r="I675" s="134"/>
      <c r="J675" s="135"/>
      <c r="K675" s="2"/>
    </row>
    <row r="676" spans="1:11" ht="15.5">
      <c r="A676" s="178"/>
      <c r="B676" s="181"/>
      <c r="C676" s="176"/>
      <c r="D676" s="146"/>
      <c r="E676" s="135"/>
      <c r="F676" s="8" t="s">
        <v>16</v>
      </c>
      <c r="G676" s="135"/>
      <c r="H676" s="135"/>
      <c r="I676" s="134"/>
      <c r="J676" s="135"/>
      <c r="K676" s="2"/>
    </row>
    <row r="677" spans="1:11" ht="15.5">
      <c r="A677" s="178"/>
      <c r="B677" s="181"/>
      <c r="C677" s="174" t="s">
        <v>1626</v>
      </c>
      <c r="D677" s="146"/>
      <c r="E677" s="135"/>
      <c r="F677" s="8" t="s">
        <v>16</v>
      </c>
      <c r="G677" s="135"/>
      <c r="H677" s="135"/>
      <c r="I677" s="134"/>
      <c r="J677" s="135"/>
      <c r="K677" s="2"/>
    </row>
    <row r="678" spans="1:11" ht="15.5">
      <c r="A678" s="178"/>
      <c r="B678" s="181"/>
      <c r="C678" s="175"/>
      <c r="D678" s="146"/>
      <c r="E678" s="135"/>
      <c r="F678" s="8" t="s">
        <v>16</v>
      </c>
      <c r="G678" s="135"/>
      <c r="H678" s="135"/>
      <c r="I678" s="134"/>
      <c r="J678" s="135"/>
      <c r="K678" s="2"/>
    </row>
    <row r="679" spans="1:11" ht="15.5">
      <c r="A679" s="178"/>
      <c r="B679" s="181"/>
      <c r="C679" s="175"/>
      <c r="D679" s="146"/>
      <c r="E679" s="135"/>
      <c r="F679" s="8" t="s">
        <v>16</v>
      </c>
      <c r="G679" s="135"/>
      <c r="H679" s="135"/>
      <c r="I679" s="134"/>
      <c r="J679" s="135"/>
      <c r="K679" s="2"/>
    </row>
    <row r="680" spans="1:11" ht="15.5">
      <c r="A680" s="178"/>
      <c r="B680" s="181"/>
      <c r="C680" s="175"/>
      <c r="D680" s="146"/>
      <c r="E680" s="135"/>
      <c r="F680" s="8" t="s">
        <v>16</v>
      </c>
      <c r="G680" s="135"/>
      <c r="H680" s="135"/>
      <c r="I680" s="134"/>
      <c r="J680" s="135"/>
      <c r="K680" s="2"/>
    </row>
    <row r="681" spans="1:11" ht="15.5">
      <c r="A681" s="178"/>
      <c r="B681" s="181"/>
      <c r="C681" s="176"/>
      <c r="D681" s="146"/>
      <c r="E681" s="135"/>
      <c r="F681" s="8" t="s">
        <v>16</v>
      </c>
      <c r="G681" s="135"/>
      <c r="H681" s="135"/>
      <c r="I681" s="134"/>
      <c r="J681" s="135"/>
      <c r="K681" s="2"/>
    </row>
    <row r="682" spans="1:11" ht="15.5">
      <c r="A682" s="178"/>
      <c r="B682" s="181"/>
      <c r="C682" s="174" t="s">
        <v>1627</v>
      </c>
      <c r="D682" s="146"/>
      <c r="E682" s="135"/>
      <c r="F682" s="8" t="s">
        <v>16</v>
      </c>
      <c r="G682" s="135"/>
      <c r="H682" s="135"/>
      <c r="I682" s="134"/>
      <c r="J682" s="135"/>
      <c r="K682" s="2"/>
    </row>
    <row r="683" spans="1:11" ht="15.5">
      <c r="A683" s="178"/>
      <c r="B683" s="181"/>
      <c r="C683" s="175"/>
      <c r="D683" s="146"/>
      <c r="E683" s="135"/>
      <c r="F683" s="8" t="s">
        <v>16</v>
      </c>
      <c r="G683" s="135"/>
      <c r="H683" s="135"/>
      <c r="I683" s="134"/>
      <c r="J683" s="135"/>
      <c r="K683" s="2"/>
    </row>
    <row r="684" spans="1:11" ht="15.5">
      <c r="A684" s="178"/>
      <c r="B684" s="181"/>
      <c r="C684" s="175"/>
      <c r="D684" s="146"/>
      <c r="E684" s="135"/>
      <c r="F684" s="8" t="s">
        <v>16</v>
      </c>
      <c r="G684" s="135"/>
      <c r="H684" s="135"/>
      <c r="I684" s="134"/>
      <c r="J684" s="135"/>
      <c r="K684" s="2"/>
    </row>
    <row r="685" spans="1:11" ht="15.5">
      <c r="A685" s="178"/>
      <c r="B685" s="181"/>
      <c r="C685" s="175"/>
      <c r="D685" s="146"/>
      <c r="E685" s="135"/>
      <c r="F685" s="8" t="s">
        <v>16</v>
      </c>
      <c r="G685" s="135"/>
      <c r="H685" s="135"/>
      <c r="I685" s="134"/>
      <c r="J685" s="135"/>
      <c r="K685" s="2"/>
    </row>
    <row r="686" spans="1:11" ht="15.5">
      <c r="A686" s="178"/>
      <c r="B686" s="181"/>
      <c r="C686" s="176"/>
      <c r="D686" s="146"/>
      <c r="E686" s="135"/>
      <c r="F686" s="8" t="s">
        <v>58</v>
      </c>
      <c r="G686" s="135"/>
      <c r="H686" s="135"/>
      <c r="I686" s="134"/>
      <c r="J686" s="135"/>
      <c r="K686" s="2"/>
    </row>
    <row r="687" spans="1:11" ht="15.5">
      <c r="A687" s="178"/>
      <c r="B687" s="181"/>
      <c r="C687" s="174" t="s">
        <v>1628</v>
      </c>
      <c r="D687" s="146"/>
      <c r="E687" s="135"/>
      <c r="F687" s="8" t="s">
        <v>58</v>
      </c>
      <c r="G687" s="135"/>
      <c r="H687" s="135"/>
      <c r="I687" s="134"/>
      <c r="J687" s="135"/>
      <c r="K687" s="2"/>
    </row>
    <row r="688" spans="1:11" ht="15.5">
      <c r="A688" s="178"/>
      <c r="B688" s="181"/>
      <c r="C688" s="175"/>
      <c r="D688" s="146"/>
      <c r="E688" s="135"/>
      <c r="F688" s="8" t="s">
        <v>58</v>
      </c>
      <c r="G688" s="135"/>
      <c r="H688" s="135"/>
      <c r="I688" s="134"/>
      <c r="J688" s="135"/>
      <c r="K688" s="2"/>
    </row>
    <row r="689" spans="1:11" ht="15.5">
      <c r="A689" s="178"/>
      <c r="B689" s="181"/>
      <c r="C689" s="175"/>
      <c r="D689" s="146" t="s">
        <v>1629</v>
      </c>
      <c r="E689" s="135"/>
      <c r="F689" s="8" t="s">
        <v>58</v>
      </c>
      <c r="G689" s="135"/>
      <c r="H689" s="135"/>
      <c r="I689" s="134"/>
      <c r="J689" s="135"/>
      <c r="K689" s="2"/>
    </row>
    <row r="690" spans="1:11" ht="15.5">
      <c r="A690" s="178"/>
      <c r="B690" s="181"/>
      <c r="C690" s="175"/>
      <c r="D690" s="152"/>
      <c r="E690" s="135" t="s">
        <v>1630</v>
      </c>
      <c r="F690" s="8" t="s">
        <v>58</v>
      </c>
      <c r="G690" s="135"/>
      <c r="H690" s="135"/>
      <c r="I690" s="134"/>
      <c r="J690" s="135"/>
      <c r="K690" s="2"/>
    </row>
    <row r="691" spans="1:11" ht="16" thickBot="1">
      <c r="A691" s="178"/>
      <c r="B691" s="182"/>
      <c r="C691" s="176"/>
      <c r="D691" s="152"/>
      <c r="E691" s="136"/>
      <c r="F691" s="8" t="s">
        <v>58</v>
      </c>
      <c r="G691" s="135" t="s">
        <v>1631</v>
      </c>
      <c r="H691" s="135" t="s">
        <v>1632</v>
      </c>
      <c r="I691" s="134" t="s">
        <v>213</v>
      </c>
      <c r="J691" s="135" t="s">
        <v>1633</v>
      </c>
      <c r="K691" s="2"/>
    </row>
    <row r="692" spans="1:11" ht="15.5">
      <c r="A692" s="179"/>
      <c r="B692" s="181" t="s">
        <v>1634</v>
      </c>
      <c r="C692" s="174" t="s">
        <v>1635</v>
      </c>
      <c r="D692" s="152"/>
      <c r="E692" s="136"/>
      <c r="F692" s="113" t="s">
        <v>23</v>
      </c>
      <c r="G692" s="136"/>
      <c r="H692" s="136"/>
      <c r="I692" s="112"/>
      <c r="J692" s="136"/>
      <c r="K692" s="9"/>
    </row>
    <row r="693" spans="1:11" ht="15.5">
      <c r="A693" s="179"/>
      <c r="B693" s="181"/>
      <c r="C693" s="175"/>
      <c r="D693" s="152"/>
      <c r="E693" s="136"/>
      <c r="F693" s="113" t="s">
        <v>23</v>
      </c>
      <c r="G693" s="136"/>
      <c r="H693" s="136"/>
      <c r="I693" s="112"/>
      <c r="J693" s="136"/>
      <c r="K693" s="9"/>
    </row>
    <row r="694" spans="1:11" ht="15.5">
      <c r="A694" s="179"/>
      <c r="B694" s="181"/>
      <c r="C694" s="175"/>
      <c r="D694" s="152"/>
      <c r="E694" s="136"/>
      <c r="F694" s="113" t="s">
        <v>23</v>
      </c>
      <c r="G694" s="136"/>
      <c r="H694" s="136"/>
      <c r="I694" s="112"/>
      <c r="J694" s="136"/>
      <c r="K694" s="9"/>
    </row>
    <row r="695" spans="1:11" ht="15.5">
      <c r="A695" s="179"/>
      <c r="B695" s="181"/>
      <c r="C695" s="175"/>
      <c r="D695" s="152"/>
      <c r="E695" s="136"/>
      <c r="F695" s="113" t="s">
        <v>23</v>
      </c>
      <c r="G695" s="136"/>
      <c r="H695" s="136"/>
      <c r="I695" s="112"/>
      <c r="J695" s="136"/>
      <c r="K695" s="9"/>
    </row>
    <row r="696" spans="1:11" ht="15.5">
      <c r="A696" s="179"/>
      <c r="B696" s="181"/>
      <c r="C696" s="176"/>
      <c r="D696" s="152"/>
      <c r="E696" s="136"/>
      <c r="F696" s="113" t="s">
        <v>23</v>
      </c>
      <c r="G696" s="136"/>
      <c r="H696" s="136"/>
      <c r="I696" s="112"/>
      <c r="J696" s="136"/>
      <c r="K696" s="9"/>
    </row>
    <row r="697" spans="1:11" ht="15.5">
      <c r="A697" s="179"/>
      <c r="B697" s="181"/>
      <c r="C697" s="174" t="s">
        <v>1636</v>
      </c>
      <c r="D697" s="152"/>
      <c r="E697" s="136"/>
      <c r="F697" s="113" t="s">
        <v>23</v>
      </c>
      <c r="G697" s="136"/>
      <c r="H697" s="136"/>
      <c r="I697" s="112"/>
      <c r="J697" s="136"/>
      <c r="K697" s="9"/>
    </row>
    <row r="698" spans="1:11" ht="15.5">
      <c r="A698" s="179"/>
      <c r="B698" s="181"/>
      <c r="C698" s="175"/>
      <c r="D698" s="152"/>
      <c r="E698" s="136"/>
      <c r="F698" s="113" t="s">
        <v>23</v>
      </c>
      <c r="G698" s="136"/>
      <c r="H698" s="136"/>
      <c r="I698" s="112"/>
      <c r="J698" s="136"/>
      <c r="K698" s="9"/>
    </row>
    <row r="699" spans="1:11" ht="15.5">
      <c r="A699" s="179"/>
      <c r="B699" s="181"/>
      <c r="C699" s="175"/>
      <c r="D699" s="152"/>
      <c r="E699" s="136"/>
      <c r="F699" s="113" t="s">
        <v>23</v>
      </c>
      <c r="G699" s="136"/>
      <c r="H699" s="136"/>
      <c r="I699" s="112"/>
      <c r="J699" s="136"/>
      <c r="K699" s="9"/>
    </row>
    <row r="700" spans="1:11" ht="15.5">
      <c r="A700" s="179"/>
      <c r="B700" s="181"/>
      <c r="C700" s="175"/>
      <c r="D700" s="152"/>
      <c r="E700" s="136"/>
      <c r="F700" s="113" t="s">
        <v>23</v>
      </c>
      <c r="G700" s="136"/>
      <c r="H700" s="136"/>
      <c r="I700" s="112"/>
      <c r="J700" s="136"/>
      <c r="K700" s="9"/>
    </row>
    <row r="701" spans="1:11" ht="15.5">
      <c r="A701" s="179"/>
      <c r="B701" s="181"/>
      <c r="C701" s="176"/>
      <c r="D701" s="152"/>
      <c r="E701" s="136"/>
      <c r="F701" s="113" t="s">
        <v>23</v>
      </c>
      <c r="G701" s="136"/>
      <c r="H701" s="136"/>
      <c r="I701" s="112"/>
      <c r="J701" s="136"/>
      <c r="K701" s="9"/>
    </row>
    <row r="702" spans="1:11" ht="15.5">
      <c r="A702" s="179"/>
      <c r="B702" s="181"/>
      <c r="C702" s="174" t="s">
        <v>1637</v>
      </c>
      <c r="D702" s="152"/>
      <c r="E702" s="136"/>
      <c r="F702" s="113" t="s">
        <v>23</v>
      </c>
      <c r="G702" s="136"/>
      <c r="H702" s="136"/>
      <c r="I702" s="112"/>
      <c r="J702" s="136"/>
      <c r="K702" s="9"/>
    </row>
    <row r="703" spans="1:11" ht="15.5">
      <c r="A703" s="179"/>
      <c r="B703" s="181"/>
      <c r="C703" s="175"/>
      <c r="D703" s="152"/>
      <c r="E703" s="136"/>
      <c r="F703" s="113" t="s">
        <v>23</v>
      </c>
      <c r="G703" s="136"/>
      <c r="H703" s="136"/>
      <c r="I703" s="112"/>
      <c r="J703" s="136"/>
      <c r="K703" s="9"/>
    </row>
    <row r="704" spans="1:11" ht="15.5">
      <c r="A704" s="179"/>
      <c r="B704" s="181"/>
      <c r="C704" s="175"/>
      <c r="D704" s="152"/>
      <c r="E704" s="136"/>
      <c r="F704" s="113" t="s">
        <v>23</v>
      </c>
      <c r="G704" s="136"/>
      <c r="H704" s="136"/>
      <c r="I704" s="112"/>
      <c r="J704" s="136"/>
      <c r="K704" s="9"/>
    </row>
    <row r="705" spans="1:11" ht="15.5">
      <c r="A705" s="179"/>
      <c r="B705" s="181"/>
      <c r="C705" s="175"/>
      <c r="D705" s="152"/>
      <c r="E705" s="136"/>
      <c r="F705" s="113" t="s">
        <v>23</v>
      </c>
      <c r="G705" s="136"/>
      <c r="H705" s="136"/>
      <c r="I705" s="112"/>
      <c r="J705" s="136"/>
      <c r="K705" s="9"/>
    </row>
    <row r="706" spans="1:11" ht="16" thickBot="1">
      <c r="A706" s="179"/>
      <c r="B706" s="181"/>
      <c r="C706" s="176"/>
      <c r="D706" s="152"/>
      <c r="E706" s="136"/>
      <c r="F706" s="138" t="s">
        <v>16</v>
      </c>
      <c r="G706" s="136"/>
      <c r="H706" s="136"/>
      <c r="I706" s="112"/>
      <c r="J706" s="136"/>
      <c r="K706" s="9"/>
    </row>
    <row r="707" spans="1:11" ht="16" thickBot="1">
      <c r="A707" s="179"/>
      <c r="B707" s="181"/>
      <c r="C707" s="174" t="s">
        <v>1638</v>
      </c>
      <c r="D707" s="152"/>
      <c r="E707" s="136"/>
      <c r="F707" s="138" t="s">
        <v>16</v>
      </c>
      <c r="G707" s="136"/>
      <c r="H707" s="136"/>
      <c r="I707" s="112"/>
      <c r="J707" s="136"/>
      <c r="K707" s="9"/>
    </row>
    <row r="708" spans="1:11" ht="16" thickBot="1">
      <c r="A708" s="179"/>
      <c r="B708" s="181"/>
      <c r="C708" s="175"/>
      <c r="D708" s="152"/>
      <c r="E708" s="136"/>
      <c r="F708" s="138" t="s">
        <v>16</v>
      </c>
      <c r="G708" s="136"/>
      <c r="H708" s="136"/>
      <c r="I708" s="112"/>
      <c r="J708" s="136"/>
      <c r="K708" s="9"/>
    </row>
    <row r="709" spans="1:11" ht="16" thickBot="1">
      <c r="A709" s="179"/>
      <c r="B709" s="181"/>
      <c r="C709" s="175"/>
      <c r="D709" s="152"/>
      <c r="E709" s="136"/>
      <c r="F709" s="138" t="s">
        <v>16</v>
      </c>
      <c r="G709" s="136"/>
      <c r="H709" s="136"/>
      <c r="I709" s="112"/>
      <c r="J709" s="136"/>
      <c r="K709" s="9"/>
    </row>
    <row r="710" spans="1:11" ht="16" thickBot="1">
      <c r="A710" s="179"/>
      <c r="B710" s="181"/>
      <c r="C710" s="175"/>
      <c r="D710" s="152"/>
      <c r="E710" s="136"/>
      <c r="F710" s="138" t="s">
        <v>16</v>
      </c>
      <c r="G710" s="136"/>
      <c r="H710" s="136"/>
      <c r="I710" s="112"/>
      <c r="J710" s="136"/>
      <c r="K710" s="9"/>
    </row>
    <row r="711" spans="1:11" ht="16" thickBot="1">
      <c r="A711" s="179"/>
      <c r="B711" s="181"/>
      <c r="C711" s="176"/>
      <c r="D711" s="152"/>
      <c r="E711" s="136"/>
      <c r="F711" s="138" t="s">
        <v>16</v>
      </c>
      <c r="G711" s="136"/>
      <c r="H711" s="136"/>
      <c r="I711" s="112"/>
      <c r="J711" s="136"/>
      <c r="K711" s="9"/>
    </row>
    <row r="712" spans="1:11" ht="16" thickBot="1">
      <c r="A712" s="179"/>
      <c r="B712" s="181"/>
      <c r="C712" s="174" t="s">
        <v>1639</v>
      </c>
      <c r="D712" s="152"/>
      <c r="E712" s="136"/>
      <c r="F712" s="138" t="s">
        <v>16</v>
      </c>
      <c r="G712" s="136"/>
      <c r="H712" s="136"/>
      <c r="I712" s="112"/>
      <c r="J712" s="136"/>
      <c r="K712" s="9"/>
    </row>
    <row r="713" spans="1:11" ht="16" thickBot="1">
      <c r="A713" s="179"/>
      <c r="B713" s="181"/>
      <c r="C713" s="175"/>
      <c r="D713" s="152"/>
      <c r="E713" s="136"/>
      <c r="F713" s="138" t="s">
        <v>16</v>
      </c>
      <c r="G713" s="136"/>
      <c r="H713" s="136"/>
      <c r="I713" s="112"/>
      <c r="J713" s="136"/>
      <c r="K713" s="9"/>
    </row>
    <row r="714" spans="1:11" ht="16" thickBot="1">
      <c r="A714" s="179"/>
      <c r="B714" s="181"/>
      <c r="C714" s="175"/>
      <c r="D714" s="152"/>
      <c r="E714" s="136"/>
      <c r="F714" s="138" t="s">
        <v>16</v>
      </c>
      <c r="G714" s="136"/>
      <c r="H714" s="136"/>
      <c r="I714" s="112"/>
      <c r="J714" s="136"/>
      <c r="K714" s="9"/>
    </row>
    <row r="715" spans="1:11" ht="16" thickBot="1">
      <c r="A715" s="179"/>
      <c r="B715" s="181"/>
      <c r="C715" s="175"/>
      <c r="D715" s="152"/>
      <c r="E715" s="136"/>
      <c r="F715" s="138" t="s">
        <v>16</v>
      </c>
      <c r="G715" s="136"/>
      <c r="H715" s="136"/>
      <c r="I715" s="112"/>
      <c r="J715" s="136"/>
      <c r="K715" s="9"/>
    </row>
    <row r="716" spans="1:11" ht="16" thickBot="1">
      <c r="A716" s="179"/>
      <c r="B716" s="181"/>
      <c r="C716" s="176"/>
      <c r="D716" s="152"/>
      <c r="E716" s="136"/>
      <c r="F716" s="138" t="s">
        <v>16</v>
      </c>
      <c r="G716" s="136"/>
      <c r="H716" s="136"/>
      <c r="I716" s="112"/>
      <c r="J716" s="136"/>
      <c r="K716" s="9"/>
    </row>
    <row r="717" spans="1:11" ht="16" thickBot="1">
      <c r="A717" s="179"/>
      <c r="B717" s="181"/>
      <c r="C717" s="174" t="s">
        <v>1640</v>
      </c>
      <c r="D717" s="152"/>
      <c r="E717" s="136"/>
      <c r="F717" s="138" t="s">
        <v>16</v>
      </c>
      <c r="G717" s="136"/>
      <c r="H717" s="136"/>
      <c r="I717" s="112"/>
      <c r="J717" s="136"/>
      <c r="K717" s="9"/>
    </row>
    <row r="718" spans="1:11" ht="16" thickBot="1">
      <c r="A718" s="179"/>
      <c r="B718" s="181"/>
      <c r="C718" s="175"/>
      <c r="D718" s="152"/>
      <c r="E718" s="136"/>
      <c r="F718" s="138" t="s">
        <v>16</v>
      </c>
      <c r="G718" s="136"/>
      <c r="H718" s="136"/>
      <c r="I718" s="112"/>
      <c r="J718" s="136"/>
      <c r="K718" s="9"/>
    </row>
    <row r="719" spans="1:11" ht="16" thickBot="1">
      <c r="A719" s="179"/>
      <c r="B719" s="181"/>
      <c r="C719" s="175"/>
      <c r="D719" s="152" t="s">
        <v>1641</v>
      </c>
      <c r="E719" s="136"/>
      <c r="F719" s="138" t="s">
        <v>16</v>
      </c>
      <c r="G719" s="136"/>
      <c r="H719" s="136"/>
      <c r="I719" s="112"/>
      <c r="J719" s="136"/>
      <c r="K719" s="9"/>
    </row>
    <row r="720" spans="1:11" ht="16" thickBot="1">
      <c r="A720" s="179"/>
      <c r="B720" s="181"/>
      <c r="C720" s="175"/>
      <c r="D720" s="145"/>
      <c r="E720" s="137" t="s">
        <v>1642</v>
      </c>
      <c r="F720" s="138" t="s">
        <v>16</v>
      </c>
      <c r="G720" s="136"/>
      <c r="H720" s="136"/>
      <c r="I720" s="112"/>
      <c r="J720" s="136"/>
      <c r="K720" s="9"/>
    </row>
    <row r="721" spans="1:11" ht="16" thickBot="1">
      <c r="A721" s="180"/>
      <c r="B721" s="181"/>
      <c r="C721" s="177"/>
      <c r="D721" s="145"/>
      <c r="E721" s="7"/>
      <c r="F721" s="138" t="s">
        <v>16</v>
      </c>
      <c r="G721" s="139" t="s">
        <v>1643</v>
      </c>
      <c r="H721" s="139" t="s">
        <v>1644</v>
      </c>
      <c r="I721" s="140" t="s">
        <v>26</v>
      </c>
      <c r="J721" s="139" t="s">
        <v>1645</v>
      </c>
      <c r="K721" s="3"/>
    </row>
  </sheetData>
  <mergeCells count="176">
    <mergeCell ref="C37:C41"/>
    <mergeCell ref="C42:C46"/>
    <mergeCell ref="C47:C51"/>
    <mergeCell ref="C52:C56"/>
    <mergeCell ref="C57:C61"/>
    <mergeCell ref="B62:B91"/>
    <mergeCell ref="C62:C66"/>
    <mergeCell ref="C67:C71"/>
    <mergeCell ref="C72:C76"/>
    <mergeCell ref="C77:C81"/>
    <mergeCell ref="B32:B61"/>
    <mergeCell ref="C32:C36"/>
    <mergeCell ref="C82:C86"/>
    <mergeCell ref="C87:C91"/>
    <mergeCell ref="A92:A182"/>
    <mergeCell ref="B92:B121"/>
    <mergeCell ref="C92:C96"/>
    <mergeCell ref="C97:C101"/>
    <mergeCell ref="C102:C106"/>
    <mergeCell ref="C107:C111"/>
    <mergeCell ref="C112:C116"/>
    <mergeCell ref="C117:C121"/>
    <mergeCell ref="A2:A91"/>
    <mergeCell ref="B2:B31"/>
    <mergeCell ref="C2:C6"/>
    <mergeCell ref="C7:C11"/>
    <mergeCell ref="C12:C16"/>
    <mergeCell ref="C17:C21"/>
    <mergeCell ref="C22:C26"/>
    <mergeCell ref="C27:C31"/>
    <mergeCell ref="B152:B181"/>
    <mergeCell ref="C152:C156"/>
    <mergeCell ref="C157:C161"/>
    <mergeCell ref="C162:C166"/>
    <mergeCell ref="C167:C171"/>
    <mergeCell ref="C172:C176"/>
    <mergeCell ref="C177:C181"/>
    <mergeCell ref="B122:B151"/>
    <mergeCell ref="C122:C126"/>
    <mergeCell ref="C127:C131"/>
    <mergeCell ref="C132:C136"/>
    <mergeCell ref="C137:C141"/>
    <mergeCell ref="C142:C146"/>
    <mergeCell ref="C147:C151"/>
    <mergeCell ref="B182:B211"/>
    <mergeCell ref="C182:C186"/>
    <mergeCell ref="A183:A307"/>
    <mergeCell ref="C187:C191"/>
    <mergeCell ref="C192:C196"/>
    <mergeCell ref="C197:C201"/>
    <mergeCell ref="C202:C206"/>
    <mergeCell ref="C207:C211"/>
    <mergeCell ref="B212:B241"/>
    <mergeCell ref="C212:C216"/>
    <mergeCell ref="C217:C221"/>
    <mergeCell ref="C222:C226"/>
    <mergeCell ref="C227:C231"/>
    <mergeCell ref="C232:C236"/>
    <mergeCell ref="C237:C241"/>
    <mergeCell ref="B242:B271"/>
    <mergeCell ref="C242:C246"/>
    <mergeCell ref="C247:C251"/>
    <mergeCell ref="C252:C256"/>
    <mergeCell ref="C257:C261"/>
    <mergeCell ref="C262:C266"/>
    <mergeCell ref="C267:C271"/>
    <mergeCell ref="B272:B301"/>
    <mergeCell ref="C272:C276"/>
    <mergeCell ref="C277:C281"/>
    <mergeCell ref="C282:C286"/>
    <mergeCell ref="C287:C291"/>
    <mergeCell ref="C292:C296"/>
    <mergeCell ref="C297:C301"/>
    <mergeCell ref="B302:B331"/>
    <mergeCell ref="C302:C306"/>
    <mergeCell ref="C307:C311"/>
    <mergeCell ref="A308:A397"/>
    <mergeCell ref="C312:C316"/>
    <mergeCell ref="C317:C321"/>
    <mergeCell ref="C322:C326"/>
    <mergeCell ref="C327:C331"/>
    <mergeCell ref="B332:B361"/>
    <mergeCell ref="C332:C336"/>
    <mergeCell ref="C337:C341"/>
    <mergeCell ref="C342:C346"/>
    <mergeCell ref="C347:C351"/>
    <mergeCell ref="C352:C356"/>
    <mergeCell ref="C357:C361"/>
    <mergeCell ref="B362:B391"/>
    <mergeCell ref="C362:C366"/>
    <mergeCell ref="C367:C371"/>
    <mergeCell ref="C372:C376"/>
    <mergeCell ref="C377:C381"/>
    <mergeCell ref="C382:C386"/>
    <mergeCell ref="C387:C391"/>
    <mergeCell ref="B392:B421"/>
    <mergeCell ref="C392:C396"/>
    <mergeCell ref="C397:C401"/>
    <mergeCell ref="C402:C406"/>
    <mergeCell ref="C407:C411"/>
    <mergeCell ref="C412:C416"/>
    <mergeCell ref="C417:C421"/>
    <mergeCell ref="B422:B451"/>
    <mergeCell ref="C422:C426"/>
    <mergeCell ref="A427:A453"/>
    <mergeCell ref="C427:C431"/>
    <mergeCell ref="C432:C436"/>
    <mergeCell ref="C437:C441"/>
    <mergeCell ref="C442:C446"/>
    <mergeCell ref="C447:C451"/>
    <mergeCell ref="B452:B481"/>
    <mergeCell ref="C452:C456"/>
    <mergeCell ref="C457:C461"/>
    <mergeCell ref="C462:C466"/>
    <mergeCell ref="C467:C471"/>
    <mergeCell ref="C472:C476"/>
    <mergeCell ref="C477:C481"/>
    <mergeCell ref="A482:A571"/>
    <mergeCell ref="B482:B511"/>
    <mergeCell ref="C482:C486"/>
    <mergeCell ref="C487:C491"/>
    <mergeCell ref="C492:C496"/>
    <mergeCell ref="B542:B571"/>
    <mergeCell ref="C542:C546"/>
    <mergeCell ref="C547:C551"/>
    <mergeCell ref="C552:C556"/>
    <mergeCell ref="C557:C561"/>
    <mergeCell ref="C562:C566"/>
    <mergeCell ref="C567:C571"/>
    <mergeCell ref="C497:C501"/>
    <mergeCell ref="C502:C506"/>
    <mergeCell ref="C507:C511"/>
    <mergeCell ref="B512:B541"/>
    <mergeCell ref="C512:C516"/>
    <mergeCell ref="C517:C521"/>
    <mergeCell ref="C522:C526"/>
    <mergeCell ref="C527:C531"/>
    <mergeCell ref="C532:C536"/>
    <mergeCell ref="C537:C541"/>
    <mergeCell ref="A601:A631"/>
    <mergeCell ref="B602:B631"/>
    <mergeCell ref="C602:C606"/>
    <mergeCell ref="C607:C611"/>
    <mergeCell ref="C612:C616"/>
    <mergeCell ref="C617:C621"/>
    <mergeCell ref="C622:C626"/>
    <mergeCell ref="C627:C631"/>
    <mergeCell ref="B572:B601"/>
    <mergeCell ref="C572:C576"/>
    <mergeCell ref="C577:C581"/>
    <mergeCell ref="C582:C586"/>
    <mergeCell ref="C587:C591"/>
    <mergeCell ref="C592:C596"/>
    <mergeCell ref="C597:C601"/>
    <mergeCell ref="C697:C701"/>
    <mergeCell ref="C702:C706"/>
    <mergeCell ref="C707:C711"/>
    <mergeCell ref="C712:C716"/>
    <mergeCell ref="C717:C721"/>
    <mergeCell ref="A661:A721"/>
    <mergeCell ref="B662:B691"/>
    <mergeCell ref="C662:C666"/>
    <mergeCell ref="C667:C671"/>
    <mergeCell ref="C672:C676"/>
    <mergeCell ref="C677:C681"/>
    <mergeCell ref="C682:C686"/>
    <mergeCell ref="C687:C691"/>
    <mergeCell ref="B692:B721"/>
    <mergeCell ref="C692:C696"/>
    <mergeCell ref="B632:B661"/>
    <mergeCell ref="C632:C636"/>
    <mergeCell ref="C637:C641"/>
    <mergeCell ref="C642:C646"/>
    <mergeCell ref="C647:C651"/>
    <mergeCell ref="C652:C656"/>
    <mergeCell ref="C657:C661"/>
  </mergeCells>
  <conditionalFormatting sqref="I31:I300 I307:I330 I337:I721 I302:I305 I332:I335">
    <cfRule type="containsText" dxfId="259" priority="13" operator="containsText" text="Faible">
      <formula>NOT(ISERROR(SEARCH("Faible",I31)))</formula>
    </cfRule>
    <cfRule type="containsText" dxfId="258" priority="14" operator="containsText" text="Elevée">
      <formula>NOT(ISERROR(SEARCH("Elevée",I31)))</formula>
    </cfRule>
    <cfRule type="containsText" dxfId="257" priority="15" operator="containsText" text="Moyenne">
      <formula>NOT(ISERROR(SEARCH("Moyenne",I31)))</formula>
    </cfRule>
  </conditionalFormatting>
  <conditionalFormatting sqref="I306">
    <cfRule type="containsText" dxfId="256" priority="10" operator="containsText" text="Faible">
      <formula>NOT(ISERROR(SEARCH("Faible",I306)))</formula>
    </cfRule>
    <cfRule type="containsText" dxfId="255" priority="11" operator="containsText" text="Elevée">
      <formula>NOT(ISERROR(SEARCH("Elevée",I306)))</formula>
    </cfRule>
    <cfRule type="containsText" dxfId="254" priority="12" operator="containsText" text="Moyenne">
      <formula>NOT(ISERROR(SEARCH("Moyenne",I306)))</formula>
    </cfRule>
  </conditionalFormatting>
  <conditionalFormatting sqref="I336">
    <cfRule type="containsText" dxfId="253" priority="7" operator="containsText" text="Faible">
      <formula>NOT(ISERROR(SEARCH("Faible",I336)))</formula>
    </cfRule>
    <cfRule type="containsText" dxfId="252" priority="8" operator="containsText" text="Elevée">
      <formula>NOT(ISERROR(SEARCH("Elevée",I336)))</formula>
    </cfRule>
    <cfRule type="containsText" dxfId="251" priority="9" operator="containsText" text="Moyenne">
      <formula>NOT(ISERROR(SEARCH("Moyenne",I336)))</formula>
    </cfRule>
  </conditionalFormatting>
  <conditionalFormatting sqref="I301">
    <cfRule type="containsText" dxfId="250" priority="4" operator="containsText" text="Faible">
      <formula>NOT(ISERROR(SEARCH("Faible",I301)))</formula>
    </cfRule>
    <cfRule type="containsText" dxfId="249" priority="5" operator="containsText" text="Elevée">
      <formula>NOT(ISERROR(SEARCH("Elevée",I301)))</formula>
    </cfRule>
    <cfRule type="containsText" dxfId="248" priority="6" operator="containsText" text="Moyenne">
      <formula>NOT(ISERROR(SEARCH("Moyenne",I301)))</formula>
    </cfRule>
  </conditionalFormatting>
  <conditionalFormatting sqref="I331">
    <cfRule type="containsText" dxfId="247" priority="1" operator="containsText" text="Faible">
      <formula>NOT(ISERROR(SEARCH("Faible",I331)))</formula>
    </cfRule>
    <cfRule type="containsText" dxfId="246" priority="2" operator="containsText" text="Elevée">
      <formula>NOT(ISERROR(SEARCH("Elevée",I331)))</formula>
    </cfRule>
    <cfRule type="containsText" dxfId="245" priority="3" operator="containsText" text="Moyenne">
      <formula>NOT(ISERROR(SEARCH("Moyenne",I331)))</formula>
    </cfRule>
  </conditionalFormatting>
  <dataValidations count="2">
    <dataValidation type="list" allowBlank="1" showInputMessage="1" showErrorMessage="1" sqref="H338 F31:F721">
      <formula1>"OUI,NON,PAS"</formula1>
    </dataValidation>
    <dataValidation type="list" allowBlank="1" showInputMessage="1" showErrorMessage="1" sqref="I31:I721">
      <formula1>"Elevée,Moyenne,Faible"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1"/>
  <sheetViews>
    <sheetView zoomScale="40" zoomScaleNormal="40" workbookViewId="0">
      <selection activeCell="K376" sqref="A2:K376"/>
    </sheetView>
  </sheetViews>
  <sheetFormatPr baseColWidth="10" defaultRowHeight="14.5"/>
  <cols>
    <col min="1" max="1" width="43.08984375" bestFit="1" customWidth="1"/>
    <col min="2" max="2" width="40.36328125" bestFit="1" customWidth="1"/>
    <col min="3" max="3" width="168.08984375" bestFit="1" customWidth="1"/>
    <col min="4" max="4" width="55.81640625" bestFit="1" customWidth="1"/>
    <col min="5" max="5" width="100.54296875" bestFit="1" customWidth="1"/>
    <col min="6" max="6" width="14.1796875" bestFit="1" customWidth="1"/>
    <col min="7" max="7" width="117.36328125" bestFit="1" customWidth="1"/>
    <col min="8" max="8" width="45.54296875" bestFit="1" customWidth="1"/>
    <col min="9" max="9" width="18.7265625" bestFit="1" customWidth="1"/>
    <col min="10" max="10" width="20.81640625" bestFit="1" customWidth="1"/>
    <col min="11" max="11" width="25.54296875" bestFit="1" customWidth="1"/>
  </cols>
  <sheetData>
    <row r="1" spans="1:11" ht="16" thickBot="1">
      <c r="A1" s="199" t="s">
        <v>0</v>
      </c>
      <c r="B1" s="202" t="s">
        <v>1</v>
      </c>
      <c r="C1" s="128" t="s">
        <v>2</v>
      </c>
      <c r="D1" s="237" t="s">
        <v>1032</v>
      </c>
      <c r="E1" s="237" t="s">
        <v>4</v>
      </c>
      <c r="F1" s="237" t="s">
        <v>5</v>
      </c>
      <c r="G1" s="237" t="s">
        <v>6</v>
      </c>
      <c r="H1" s="237" t="s">
        <v>7</v>
      </c>
      <c r="I1" s="238" t="s">
        <v>8</v>
      </c>
      <c r="J1" s="237" t="s">
        <v>9</v>
      </c>
      <c r="K1" s="239" t="s">
        <v>10</v>
      </c>
    </row>
    <row r="2" spans="1:11" s="1" customFormat="1" ht="16" thickBot="1">
      <c r="A2" s="206" t="s">
        <v>1646</v>
      </c>
      <c r="B2" s="203" t="s">
        <v>1647</v>
      </c>
      <c r="C2" s="236" t="s">
        <v>1661</v>
      </c>
      <c r="D2" s="215" t="s">
        <v>1761</v>
      </c>
      <c r="E2" s="217" t="s">
        <v>1734</v>
      </c>
      <c r="F2" s="217" t="s">
        <v>16</v>
      </c>
      <c r="G2" s="242" t="s">
        <v>2064</v>
      </c>
      <c r="H2" s="243"/>
      <c r="I2" s="241"/>
      <c r="J2" s="240"/>
      <c r="K2" s="240"/>
    </row>
    <row r="3" spans="1:11" s="1" customFormat="1" ht="16" thickBot="1">
      <c r="A3" s="207"/>
      <c r="B3" s="204"/>
      <c r="C3" s="236"/>
      <c r="D3" s="219" t="s">
        <v>1763</v>
      </c>
      <c r="E3" s="221" t="s">
        <v>1764</v>
      </c>
      <c r="F3" s="221" t="s">
        <v>23</v>
      </c>
      <c r="G3" s="242" t="s">
        <v>2065</v>
      </c>
      <c r="H3" s="243"/>
      <c r="I3" s="241"/>
      <c r="J3" s="240"/>
      <c r="K3" s="240"/>
    </row>
    <row r="4" spans="1:11" s="1" customFormat="1" ht="16" thickBot="1">
      <c r="A4" s="207"/>
      <c r="B4" s="204"/>
      <c r="C4" s="236"/>
      <c r="D4" s="219" t="s">
        <v>1766</v>
      </c>
      <c r="E4" s="221" t="s">
        <v>1767</v>
      </c>
      <c r="F4" s="221" t="s">
        <v>58</v>
      </c>
      <c r="G4" s="242" t="s">
        <v>2066</v>
      </c>
      <c r="H4" s="243"/>
      <c r="I4" s="241"/>
      <c r="J4" s="240"/>
      <c r="K4" s="240"/>
    </row>
    <row r="5" spans="1:11" s="1" customFormat="1" ht="16" thickBot="1">
      <c r="A5" s="207"/>
      <c r="B5" s="204"/>
      <c r="C5" s="236"/>
      <c r="D5" s="219" t="s">
        <v>1769</v>
      </c>
      <c r="E5" s="221" t="s">
        <v>1770</v>
      </c>
      <c r="F5" s="221" t="s">
        <v>16</v>
      </c>
      <c r="G5" s="242" t="s">
        <v>2067</v>
      </c>
      <c r="H5" s="243"/>
      <c r="I5" s="241"/>
      <c r="J5" s="240"/>
      <c r="K5" s="240"/>
    </row>
    <row r="6" spans="1:11" s="1" customFormat="1" ht="16" thickBot="1">
      <c r="A6" s="207"/>
      <c r="B6" s="204"/>
      <c r="C6" s="236"/>
      <c r="D6" s="219" t="s">
        <v>1772</v>
      </c>
      <c r="E6" s="221" t="s">
        <v>1773</v>
      </c>
      <c r="F6" s="221" t="s">
        <v>23</v>
      </c>
      <c r="G6" s="242" t="s">
        <v>2068</v>
      </c>
      <c r="H6" s="243"/>
      <c r="I6" s="241"/>
      <c r="J6" s="240"/>
      <c r="K6" s="240"/>
    </row>
    <row r="7" spans="1:11" s="1" customFormat="1" ht="16" thickBot="1">
      <c r="A7" s="207"/>
      <c r="B7" s="204"/>
      <c r="C7" s="236" t="s">
        <v>1662</v>
      </c>
      <c r="D7" s="219" t="s">
        <v>1775</v>
      </c>
      <c r="E7" s="221" t="s">
        <v>1776</v>
      </c>
      <c r="F7" s="221" t="s">
        <v>23</v>
      </c>
      <c r="G7" s="242" t="s">
        <v>1783</v>
      </c>
      <c r="H7" s="243"/>
      <c r="I7" s="241"/>
      <c r="J7" s="240"/>
      <c r="K7" s="240"/>
    </row>
    <row r="8" spans="1:11" s="1" customFormat="1" ht="16" thickBot="1">
      <c r="A8" s="207"/>
      <c r="B8" s="204"/>
      <c r="C8" s="236"/>
      <c r="D8" s="219" t="s">
        <v>1778</v>
      </c>
      <c r="E8" s="221" t="s">
        <v>1779</v>
      </c>
      <c r="F8" s="221" t="s">
        <v>16</v>
      </c>
      <c r="G8" s="242" t="s">
        <v>2069</v>
      </c>
      <c r="H8" s="243"/>
      <c r="I8" s="241"/>
      <c r="J8" s="240"/>
      <c r="K8" s="240"/>
    </row>
    <row r="9" spans="1:11" s="1" customFormat="1" ht="16" thickBot="1">
      <c r="A9" s="207"/>
      <c r="B9" s="204"/>
      <c r="C9" s="236"/>
      <c r="D9" s="219" t="s">
        <v>1781</v>
      </c>
      <c r="E9" s="221" t="s">
        <v>1782</v>
      </c>
      <c r="F9" s="221" t="s">
        <v>58</v>
      </c>
      <c r="G9" s="242" t="s">
        <v>1803</v>
      </c>
      <c r="H9" s="243"/>
      <c r="I9" s="241"/>
      <c r="J9" s="240"/>
      <c r="K9" s="240"/>
    </row>
    <row r="10" spans="1:11" s="1" customFormat="1" ht="16" thickBot="1">
      <c r="A10" s="207"/>
      <c r="B10" s="204"/>
      <c r="C10" s="236"/>
      <c r="D10" s="219" t="s">
        <v>1784</v>
      </c>
      <c r="E10" s="221" t="s">
        <v>1785</v>
      </c>
      <c r="F10" s="221" t="s">
        <v>16</v>
      </c>
      <c r="G10" s="242" t="s">
        <v>2070</v>
      </c>
      <c r="H10" s="243"/>
      <c r="I10" s="241"/>
      <c r="J10" s="240"/>
      <c r="K10" s="240"/>
    </row>
    <row r="11" spans="1:11" s="1" customFormat="1" ht="16" thickBot="1">
      <c r="A11" s="207"/>
      <c r="B11" s="204"/>
      <c r="C11" s="236"/>
      <c r="D11" s="219" t="s">
        <v>1787</v>
      </c>
      <c r="E11" s="221" t="s">
        <v>1788</v>
      </c>
      <c r="F11" s="221" t="s">
        <v>23</v>
      </c>
      <c r="G11" s="242" t="s">
        <v>2071</v>
      </c>
      <c r="H11" s="243"/>
      <c r="I11" s="241"/>
      <c r="J11" s="240"/>
      <c r="K11" s="240"/>
    </row>
    <row r="12" spans="1:11" s="1" customFormat="1" ht="16" thickBot="1">
      <c r="A12" s="207"/>
      <c r="B12" s="204"/>
      <c r="C12" s="236" t="s">
        <v>1663</v>
      </c>
      <c r="D12" s="219" t="s">
        <v>1789</v>
      </c>
      <c r="E12" s="221" t="s">
        <v>1790</v>
      </c>
      <c r="F12" s="221" t="s">
        <v>16</v>
      </c>
      <c r="G12" s="242" t="s">
        <v>2072</v>
      </c>
      <c r="H12" s="243"/>
      <c r="I12" s="241"/>
      <c r="J12" s="240"/>
      <c r="K12" s="240"/>
    </row>
    <row r="13" spans="1:11" s="1" customFormat="1" ht="16" thickBot="1">
      <c r="A13" s="207"/>
      <c r="B13" s="204"/>
      <c r="C13" s="236"/>
      <c r="D13" s="219" t="s">
        <v>1791</v>
      </c>
      <c r="E13" s="221" t="s">
        <v>1792</v>
      </c>
      <c r="F13" s="221" t="s">
        <v>23</v>
      </c>
      <c r="G13" s="242" t="s">
        <v>1777</v>
      </c>
      <c r="H13" s="243"/>
      <c r="I13" s="241"/>
      <c r="J13" s="240"/>
      <c r="K13" s="240"/>
    </row>
    <row r="14" spans="1:11" s="1" customFormat="1" ht="16" thickBot="1">
      <c r="A14" s="207"/>
      <c r="B14" s="204"/>
      <c r="C14" s="236"/>
      <c r="D14" s="219" t="s">
        <v>1794</v>
      </c>
      <c r="E14" s="221" t="s">
        <v>1795</v>
      </c>
      <c r="F14" s="221" t="s">
        <v>58</v>
      </c>
      <c r="G14" s="242" t="s">
        <v>2072</v>
      </c>
      <c r="H14" s="243"/>
      <c r="I14" s="241"/>
      <c r="J14" s="240"/>
      <c r="K14" s="240"/>
    </row>
    <row r="15" spans="1:11" s="1" customFormat="1" ht="16" thickBot="1">
      <c r="A15" s="207"/>
      <c r="B15" s="204"/>
      <c r="C15" s="236"/>
      <c r="D15" s="219" t="s">
        <v>1797</v>
      </c>
      <c r="E15" s="221" t="s">
        <v>1798</v>
      </c>
      <c r="F15" s="221" t="s">
        <v>16</v>
      </c>
      <c r="G15" s="242" t="s">
        <v>2073</v>
      </c>
      <c r="H15" s="243"/>
      <c r="I15" s="241"/>
      <c r="J15" s="240"/>
      <c r="K15" s="240"/>
    </row>
    <row r="16" spans="1:11" s="1" customFormat="1" ht="16" thickBot="1">
      <c r="A16" s="207"/>
      <c r="B16" s="204"/>
      <c r="C16" s="236"/>
      <c r="D16" s="219" t="s">
        <v>1799</v>
      </c>
      <c r="E16" s="221" t="s">
        <v>1800</v>
      </c>
      <c r="F16" s="221" t="s">
        <v>23</v>
      </c>
      <c r="G16" s="242" t="s">
        <v>2074</v>
      </c>
      <c r="H16" s="243"/>
      <c r="I16" s="241"/>
      <c r="J16" s="240"/>
      <c r="K16" s="240"/>
    </row>
    <row r="17" spans="1:11" s="1" customFormat="1" ht="16" thickBot="1">
      <c r="A17" s="207"/>
      <c r="B17" s="204"/>
      <c r="C17" s="236" t="s">
        <v>1664</v>
      </c>
      <c r="D17" s="219" t="s">
        <v>1801</v>
      </c>
      <c r="E17" s="221" t="s">
        <v>1802</v>
      </c>
      <c r="F17" s="221" t="s">
        <v>23</v>
      </c>
      <c r="G17" s="242" t="s">
        <v>2075</v>
      </c>
      <c r="H17" s="243"/>
      <c r="I17" s="241"/>
      <c r="J17" s="240"/>
      <c r="K17" s="240"/>
    </row>
    <row r="18" spans="1:11" s="1" customFormat="1" ht="16" thickBot="1">
      <c r="A18" s="207"/>
      <c r="B18" s="204"/>
      <c r="C18" s="236"/>
      <c r="D18" s="219" t="s">
        <v>1804</v>
      </c>
      <c r="E18" s="221" t="s">
        <v>1805</v>
      </c>
      <c r="F18" s="221" t="s">
        <v>16</v>
      </c>
      <c r="G18" s="242" t="s">
        <v>2076</v>
      </c>
      <c r="H18" s="243"/>
      <c r="I18" s="241"/>
      <c r="J18" s="240"/>
      <c r="K18" s="240"/>
    </row>
    <row r="19" spans="1:11" s="1" customFormat="1" ht="16" thickBot="1">
      <c r="A19" s="207"/>
      <c r="B19" s="204"/>
      <c r="C19" s="236"/>
      <c r="D19" s="219" t="s">
        <v>1806</v>
      </c>
      <c r="E19" s="221" t="s">
        <v>1807</v>
      </c>
      <c r="F19" s="221" t="s">
        <v>16</v>
      </c>
      <c r="G19" s="242" t="s">
        <v>671</v>
      </c>
      <c r="H19" s="243"/>
      <c r="I19" s="241"/>
      <c r="J19" s="240"/>
      <c r="K19" s="240"/>
    </row>
    <row r="20" spans="1:11" s="1" customFormat="1" ht="16" thickBot="1">
      <c r="A20" s="207"/>
      <c r="B20" s="204"/>
      <c r="C20" s="236"/>
      <c r="D20" s="219" t="s">
        <v>1808</v>
      </c>
      <c r="E20" s="221" t="s">
        <v>1809</v>
      </c>
      <c r="F20" s="221" t="s">
        <v>58</v>
      </c>
      <c r="G20" s="242" t="s">
        <v>2077</v>
      </c>
      <c r="H20" s="243"/>
      <c r="I20" s="241"/>
      <c r="J20" s="240"/>
      <c r="K20" s="240"/>
    </row>
    <row r="21" spans="1:11" s="1" customFormat="1" ht="16" thickBot="1">
      <c r="A21" s="207"/>
      <c r="B21" s="204"/>
      <c r="C21" s="236"/>
      <c r="D21" s="222" t="s">
        <v>1810</v>
      </c>
      <c r="E21" s="223" t="s">
        <v>1811</v>
      </c>
      <c r="F21" s="221" t="s">
        <v>23</v>
      </c>
      <c r="G21" s="242" t="s">
        <v>2072</v>
      </c>
      <c r="H21" s="243"/>
      <c r="I21" s="241"/>
      <c r="J21" s="240"/>
      <c r="K21" s="240"/>
    </row>
    <row r="22" spans="1:11" s="1" customFormat="1" ht="16" thickBot="1">
      <c r="A22" s="207"/>
      <c r="B22" s="204"/>
      <c r="C22" s="236" t="s">
        <v>1665</v>
      </c>
      <c r="D22" s="219" t="s">
        <v>1813</v>
      </c>
      <c r="E22" s="221" t="s">
        <v>1814</v>
      </c>
      <c r="F22" s="221" t="s">
        <v>23</v>
      </c>
      <c r="G22" s="242" t="s">
        <v>2076</v>
      </c>
      <c r="H22" s="243"/>
      <c r="I22" s="241"/>
      <c r="J22" s="240"/>
      <c r="K22" s="240"/>
    </row>
    <row r="23" spans="1:11" s="1" customFormat="1" ht="16" thickBot="1">
      <c r="A23" s="207"/>
      <c r="B23" s="204"/>
      <c r="C23" s="236"/>
      <c r="D23" s="219" t="s">
        <v>1815</v>
      </c>
      <c r="E23" s="221" t="s">
        <v>1816</v>
      </c>
      <c r="F23" s="221" t="s">
        <v>16</v>
      </c>
      <c r="G23" s="242" t="s">
        <v>2078</v>
      </c>
      <c r="H23" s="243"/>
      <c r="I23" s="241"/>
      <c r="J23" s="240"/>
      <c r="K23" s="240"/>
    </row>
    <row r="24" spans="1:11" s="1" customFormat="1" ht="16" thickBot="1">
      <c r="A24" s="207"/>
      <c r="B24" s="204"/>
      <c r="C24" s="236"/>
      <c r="D24" s="222" t="s">
        <v>1817</v>
      </c>
      <c r="E24" s="223" t="s">
        <v>1818</v>
      </c>
      <c r="F24" s="221" t="s">
        <v>58</v>
      </c>
      <c r="G24" s="242" t="s">
        <v>2068</v>
      </c>
      <c r="H24" s="243"/>
      <c r="I24" s="241"/>
      <c r="J24" s="240"/>
      <c r="K24" s="240"/>
    </row>
    <row r="25" spans="1:11" s="1" customFormat="1" ht="16" thickBot="1">
      <c r="A25" s="207"/>
      <c r="B25" s="204"/>
      <c r="C25" s="236"/>
      <c r="D25" s="222" t="s">
        <v>1819</v>
      </c>
      <c r="E25" s="221" t="s">
        <v>1820</v>
      </c>
      <c r="F25" s="221" t="s">
        <v>23</v>
      </c>
      <c r="G25" s="242" t="s">
        <v>2078</v>
      </c>
      <c r="H25" s="243"/>
      <c r="I25" s="241"/>
      <c r="J25" s="240"/>
      <c r="K25" s="240"/>
    </row>
    <row r="26" spans="1:11" ht="16" thickBot="1">
      <c r="A26" s="207"/>
      <c r="B26" s="205"/>
      <c r="C26" s="236"/>
      <c r="D26" s="219" t="s">
        <v>1822</v>
      </c>
      <c r="E26" s="221" t="s">
        <v>1823</v>
      </c>
      <c r="F26" s="221" t="s">
        <v>16</v>
      </c>
      <c r="G26" s="242" t="s">
        <v>2079</v>
      </c>
      <c r="H26" s="244"/>
      <c r="I26" s="242"/>
      <c r="J26" s="242"/>
      <c r="K26" s="242"/>
    </row>
    <row r="27" spans="1:11" s="1" customFormat="1" ht="15" thickBot="1">
      <c r="A27" s="207"/>
      <c r="B27" s="203" t="s">
        <v>1648</v>
      </c>
      <c r="C27" s="236" t="s">
        <v>1666</v>
      </c>
      <c r="D27" s="214" t="s">
        <v>1824</v>
      </c>
      <c r="E27" s="216" t="s">
        <v>1825</v>
      </c>
      <c r="F27" s="216" t="s">
        <v>16</v>
      </c>
      <c r="G27" s="242" t="s">
        <v>1768</v>
      </c>
      <c r="H27" s="244"/>
      <c r="I27" s="242"/>
      <c r="J27" s="242"/>
      <c r="K27" s="242"/>
    </row>
    <row r="28" spans="1:11" s="1" customFormat="1" ht="15" thickBot="1">
      <c r="A28" s="207"/>
      <c r="B28" s="204"/>
      <c r="C28" s="236"/>
      <c r="D28" s="218" t="s">
        <v>1826</v>
      </c>
      <c r="E28" s="220" t="s">
        <v>1827</v>
      </c>
      <c r="F28" s="220" t="s">
        <v>23</v>
      </c>
      <c r="G28" s="242" t="s">
        <v>2079</v>
      </c>
      <c r="H28" s="244"/>
      <c r="I28" s="242"/>
      <c r="J28" s="242"/>
      <c r="K28" s="242"/>
    </row>
    <row r="29" spans="1:11" s="1" customFormat="1" ht="15" thickBot="1">
      <c r="A29" s="207"/>
      <c r="B29" s="204"/>
      <c r="C29" s="236"/>
      <c r="D29" s="218" t="s">
        <v>1828</v>
      </c>
      <c r="E29" s="220" t="s">
        <v>1829</v>
      </c>
      <c r="F29" s="220" t="s">
        <v>58</v>
      </c>
      <c r="G29" s="242" t="s">
        <v>2078</v>
      </c>
      <c r="H29" s="244"/>
      <c r="I29" s="242"/>
      <c r="J29" s="242"/>
      <c r="K29" s="242"/>
    </row>
    <row r="30" spans="1:11" s="1" customFormat="1" ht="15" thickBot="1">
      <c r="A30" s="207"/>
      <c r="B30" s="204"/>
      <c r="C30" s="236"/>
      <c r="D30" s="218" t="s">
        <v>1830</v>
      </c>
      <c r="E30" s="220" t="s">
        <v>1831</v>
      </c>
      <c r="F30" s="220" t="s">
        <v>16</v>
      </c>
      <c r="G30" s="242" t="s">
        <v>2079</v>
      </c>
      <c r="H30" s="244"/>
      <c r="I30" s="242"/>
      <c r="J30" s="242"/>
      <c r="K30" s="242"/>
    </row>
    <row r="31" spans="1:11" s="1" customFormat="1" ht="15" thickBot="1">
      <c r="A31" s="207"/>
      <c r="B31" s="204"/>
      <c r="C31" s="236"/>
      <c r="D31" s="218" t="s">
        <v>1832</v>
      </c>
      <c r="E31" s="220" t="s">
        <v>1833</v>
      </c>
      <c r="F31" s="220" t="s">
        <v>23</v>
      </c>
      <c r="G31" s="242" t="s">
        <v>2080</v>
      </c>
      <c r="H31" s="244"/>
      <c r="I31" s="242"/>
      <c r="J31" s="242"/>
      <c r="K31" s="242"/>
    </row>
    <row r="32" spans="1:11" s="1" customFormat="1" ht="15" thickBot="1">
      <c r="A32" s="207"/>
      <c r="B32" s="204"/>
      <c r="C32" s="236" t="s">
        <v>1667</v>
      </c>
      <c r="D32" s="218" t="s">
        <v>1834</v>
      </c>
      <c r="E32" s="220" t="s">
        <v>1835</v>
      </c>
      <c r="F32" s="220" t="s">
        <v>16</v>
      </c>
      <c r="G32" s="242" t="s">
        <v>2081</v>
      </c>
      <c r="H32" s="244"/>
      <c r="I32" s="242"/>
      <c r="J32" s="242"/>
      <c r="K32" s="242"/>
    </row>
    <row r="33" spans="1:11" s="1" customFormat="1" ht="15" thickBot="1">
      <c r="A33" s="207"/>
      <c r="B33" s="204"/>
      <c r="C33" s="236"/>
      <c r="D33" s="218" t="s">
        <v>1836</v>
      </c>
      <c r="E33" s="220" t="s">
        <v>1837</v>
      </c>
      <c r="F33" s="220" t="s">
        <v>23</v>
      </c>
      <c r="G33" s="242" t="s">
        <v>2082</v>
      </c>
      <c r="H33" s="244"/>
      <c r="I33" s="242"/>
      <c r="J33" s="242"/>
      <c r="K33" s="242"/>
    </row>
    <row r="34" spans="1:11" s="1" customFormat="1" ht="15" thickBot="1">
      <c r="A34" s="207"/>
      <c r="B34" s="204"/>
      <c r="C34" s="236"/>
      <c r="D34" s="218" t="s">
        <v>1838</v>
      </c>
      <c r="E34" s="220" t="s">
        <v>1839</v>
      </c>
      <c r="F34" s="220" t="s">
        <v>58</v>
      </c>
      <c r="G34" s="242" t="s">
        <v>1762</v>
      </c>
      <c r="H34" s="244"/>
      <c r="I34" s="242"/>
      <c r="J34" s="242"/>
      <c r="K34" s="242"/>
    </row>
    <row r="35" spans="1:11" s="1" customFormat="1" ht="15" thickBot="1">
      <c r="A35" s="207"/>
      <c r="B35" s="204"/>
      <c r="C35" s="236"/>
      <c r="D35" s="218" t="s">
        <v>1840</v>
      </c>
      <c r="E35" s="220" t="s">
        <v>1841</v>
      </c>
      <c r="F35" s="220" t="s">
        <v>16</v>
      </c>
      <c r="G35" s="242" t="s">
        <v>2083</v>
      </c>
      <c r="H35" s="244"/>
      <c r="I35" s="242"/>
      <c r="J35" s="242"/>
      <c r="K35" s="242"/>
    </row>
    <row r="36" spans="1:11" s="1" customFormat="1" ht="15" thickBot="1">
      <c r="A36" s="207"/>
      <c r="B36" s="204"/>
      <c r="C36" s="236"/>
      <c r="D36" s="218" t="s">
        <v>1873</v>
      </c>
      <c r="E36" s="220" t="s">
        <v>1842</v>
      </c>
      <c r="F36" s="220" t="s">
        <v>23</v>
      </c>
      <c r="G36" s="242" t="s">
        <v>646</v>
      </c>
      <c r="H36" s="244"/>
      <c r="I36" s="242"/>
      <c r="J36" s="242"/>
      <c r="K36" s="242"/>
    </row>
    <row r="37" spans="1:11" s="1" customFormat="1" ht="15" thickBot="1">
      <c r="A37" s="207"/>
      <c r="B37" s="204"/>
      <c r="C37" s="236" t="s">
        <v>1668</v>
      </c>
      <c r="D37" s="218" t="s">
        <v>1843</v>
      </c>
      <c r="E37" s="220" t="s">
        <v>1844</v>
      </c>
      <c r="F37" s="220" t="s">
        <v>16</v>
      </c>
      <c r="G37" s="242" t="s">
        <v>2077</v>
      </c>
      <c r="H37" s="244"/>
      <c r="I37" s="242"/>
      <c r="J37" s="242"/>
      <c r="K37" s="242"/>
    </row>
    <row r="38" spans="1:11" s="1" customFormat="1" ht="15" thickBot="1">
      <c r="A38" s="207"/>
      <c r="B38" s="204"/>
      <c r="C38" s="236"/>
      <c r="D38" s="218" t="s">
        <v>1845</v>
      </c>
      <c r="E38" s="220" t="s">
        <v>1846</v>
      </c>
      <c r="F38" s="220" t="s">
        <v>23</v>
      </c>
      <c r="G38" s="242" t="s">
        <v>2077</v>
      </c>
      <c r="H38" s="244"/>
      <c r="I38" s="242"/>
      <c r="J38" s="242"/>
      <c r="K38" s="242"/>
    </row>
    <row r="39" spans="1:11" s="1" customFormat="1" ht="15" thickBot="1">
      <c r="A39" s="207"/>
      <c r="B39" s="204"/>
      <c r="C39" s="236"/>
      <c r="D39" s="218" t="s">
        <v>1847</v>
      </c>
      <c r="E39" s="220" t="s">
        <v>1848</v>
      </c>
      <c r="F39" s="220" t="s">
        <v>58</v>
      </c>
      <c r="G39" s="242" t="s">
        <v>2084</v>
      </c>
      <c r="H39" s="244"/>
      <c r="I39" s="242"/>
      <c r="J39" s="242"/>
      <c r="K39" s="242"/>
    </row>
    <row r="40" spans="1:11" s="1" customFormat="1" ht="15" thickBot="1">
      <c r="A40" s="207"/>
      <c r="B40" s="204"/>
      <c r="C40" s="236"/>
      <c r="D40" s="218" t="s">
        <v>1849</v>
      </c>
      <c r="E40" s="220" t="s">
        <v>1850</v>
      </c>
      <c r="F40" s="220" t="s">
        <v>16</v>
      </c>
      <c r="G40" s="242" t="s">
        <v>2085</v>
      </c>
      <c r="H40" s="244"/>
      <c r="I40" s="242"/>
      <c r="J40" s="242"/>
      <c r="K40" s="242"/>
    </row>
    <row r="41" spans="1:11" s="1" customFormat="1" ht="15" thickBot="1">
      <c r="A41" s="207"/>
      <c r="B41" s="204"/>
      <c r="C41" s="236"/>
      <c r="D41" s="218" t="s">
        <v>1851</v>
      </c>
      <c r="E41" s="220" t="s">
        <v>1852</v>
      </c>
      <c r="F41" s="220" t="s">
        <v>23</v>
      </c>
      <c r="G41" s="242" t="s">
        <v>2079</v>
      </c>
      <c r="H41" s="244"/>
      <c r="I41" s="242"/>
      <c r="J41" s="242"/>
      <c r="K41" s="242"/>
    </row>
    <row r="42" spans="1:11" s="1" customFormat="1" ht="15" thickBot="1">
      <c r="A42" s="207"/>
      <c r="B42" s="204"/>
      <c r="C42" s="236" t="s">
        <v>1669</v>
      </c>
      <c r="D42" s="218" t="s">
        <v>1853</v>
      </c>
      <c r="E42" s="220" t="s">
        <v>1854</v>
      </c>
      <c r="F42" s="220" t="s">
        <v>16</v>
      </c>
      <c r="G42" s="242" t="s">
        <v>2085</v>
      </c>
      <c r="H42" s="244"/>
      <c r="I42" s="242"/>
      <c r="J42" s="242"/>
      <c r="K42" s="242"/>
    </row>
    <row r="43" spans="1:11" s="1" customFormat="1" ht="15" thickBot="1">
      <c r="A43" s="207"/>
      <c r="B43" s="204"/>
      <c r="C43" s="236"/>
      <c r="D43" s="218" t="s">
        <v>1855</v>
      </c>
      <c r="E43" s="220" t="s">
        <v>1856</v>
      </c>
      <c r="F43" s="220" t="s">
        <v>23</v>
      </c>
      <c r="G43" s="242" t="s">
        <v>1768</v>
      </c>
      <c r="H43" s="244"/>
      <c r="I43" s="242"/>
      <c r="J43" s="242"/>
      <c r="K43" s="242"/>
    </row>
    <row r="44" spans="1:11" s="1" customFormat="1" ht="15" thickBot="1">
      <c r="A44" s="207"/>
      <c r="B44" s="204"/>
      <c r="C44" s="236"/>
      <c r="D44" s="218" t="s">
        <v>1857</v>
      </c>
      <c r="E44" s="220" t="s">
        <v>1858</v>
      </c>
      <c r="F44" s="220" t="s">
        <v>58</v>
      </c>
      <c r="G44" s="242" t="s">
        <v>2065</v>
      </c>
      <c r="H44" s="244"/>
      <c r="I44" s="242"/>
      <c r="J44" s="242"/>
      <c r="K44" s="242"/>
    </row>
    <row r="45" spans="1:11" s="1" customFormat="1" ht="15" thickBot="1">
      <c r="A45" s="207"/>
      <c r="B45" s="204"/>
      <c r="C45" s="236"/>
      <c r="D45" s="218" t="s">
        <v>1859</v>
      </c>
      <c r="E45" s="220" t="s">
        <v>1860</v>
      </c>
      <c r="F45" s="220" t="s">
        <v>16</v>
      </c>
      <c r="G45" s="242" t="s">
        <v>2080</v>
      </c>
      <c r="H45" s="244"/>
      <c r="I45" s="242"/>
      <c r="J45" s="242"/>
      <c r="K45" s="242"/>
    </row>
    <row r="46" spans="1:11" s="1" customFormat="1" ht="15" thickBot="1">
      <c r="A46" s="207"/>
      <c r="B46" s="204"/>
      <c r="C46" s="236"/>
      <c r="D46" s="218" t="s">
        <v>1861</v>
      </c>
      <c r="E46" s="220" t="s">
        <v>1862</v>
      </c>
      <c r="F46" s="220" t="s">
        <v>23</v>
      </c>
      <c r="G46" s="242" t="s">
        <v>658</v>
      </c>
      <c r="H46" s="244"/>
      <c r="I46" s="242"/>
      <c r="J46" s="242"/>
      <c r="K46" s="242"/>
    </row>
    <row r="47" spans="1:11" s="1" customFormat="1" ht="15" thickBot="1">
      <c r="A47" s="207"/>
      <c r="B47" s="204"/>
      <c r="C47" s="236" t="s">
        <v>1670</v>
      </c>
      <c r="D47" s="218" t="s">
        <v>1863</v>
      </c>
      <c r="E47" s="220" t="s">
        <v>1864</v>
      </c>
      <c r="F47" s="220" t="s">
        <v>16</v>
      </c>
      <c r="G47" s="242" t="s">
        <v>2082</v>
      </c>
      <c r="H47" s="244"/>
      <c r="I47" s="242"/>
      <c r="J47" s="242"/>
      <c r="K47" s="242"/>
    </row>
    <row r="48" spans="1:11" s="1" customFormat="1" ht="15" thickBot="1">
      <c r="A48" s="207"/>
      <c r="B48" s="204"/>
      <c r="C48" s="236"/>
      <c r="D48" s="218" t="s">
        <v>1865</v>
      </c>
      <c r="E48" s="220" t="s">
        <v>1866</v>
      </c>
      <c r="F48" s="220" t="s">
        <v>23</v>
      </c>
      <c r="G48" s="242" t="s">
        <v>671</v>
      </c>
      <c r="H48" s="244"/>
      <c r="I48" s="242"/>
      <c r="J48" s="242"/>
      <c r="K48" s="242"/>
    </row>
    <row r="49" spans="1:11" s="1" customFormat="1" ht="15" thickBot="1">
      <c r="A49" s="207"/>
      <c r="B49" s="204"/>
      <c r="C49" s="236"/>
      <c r="D49" s="218" t="s">
        <v>1867</v>
      </c>
      <c r="E49" s="220" t="s">
        <v>1868</v>
      </c>
      <c r="F49" s="220" t="s">
        <v>58</v>
      </c>
      <c r="G49" s="242" t="s">
        <v>2086</v>
      </c>
      <c r="H49" s="244"/>
      <c r="I49" s="242"/>
      <c r="J49" s="242"/>
      <c r="K49" s="242"/>
    </row>
    <row r="50" spans="1:11" s="1" customFormat="1" ht="15" thickBot="1">
      <c r="A50" s="207"/>
      <c r="B50" s="204"/>
      <c r="C50" s="236"/>
      <c r="D50" s="218" t="s">
        <v>1869</v>
      </c>
      <c r="E50" s="220" t="s">
        <v>1870</v>
      </c>
      <c r="F50" s="220" t="s">
        <v>16</v>
      </c>
      <c r="G50" s="242" t="s">
        <v>2068</v>
      </c>
      <c r="H50" s="244"/>
      <c r="I50" s="242"/>
      <c r="J50" s="242"/>
      <c r="K50" s="242"/>
    </row>
    <row r="51" spans="1:11" ht="15" thickBot="1">
      <c r="A51" s="207"/>
      <c r="B51" s="205"/>
      <c r="C51" s="236"/>
      <c r="D51" s="225" t="s">
        <v>1871</v>
      </c>
      <c r="E51" s="226" t="s">
        <v>1872</v>
      </c>
      <c r="F51" s="226" t="s">
        <v>23</v>
      </c>
      <c r="G51" s="242" t="s">
        <v>2087</v>
      </c>
      <c r="H51" s="244"/>
      <c r="I51" s="242"/>
      <c r="J51" s="242"/>
      <c r="K51" s="242"/>
    </row>
    <row r="52" spans="1:11" s="1" customFormat="1" ht="15" thickBot="1">
      <c r="A52" s="207"/>
      <c r="B52" s="203" t="s">
        <v>1649</v>
      </c>
      <c r="C52" s="236" t="s">
        <v>1671</v>
      </c>
      <c r="D52" s="229" t="s">
        <v>1874</v>
      </c>
      <c r="E52" s="232" t="s">
        <v>1875</v>
      </c>
      <c r="F52" s="229" t="s">
        <v>16</v>
      </c>
      <c r="G52" s="242" t="s">
        <v>658</v>
      </c>
      <c r="H52" s="244"/>
      <c r="I52" s="242"/>
      <c r="J52" s="242"/>
      <c r="K52" s="242"/>
    </row>
    <row r="53" spans="1:11" s="1" customFormat="1" ht="15" thickBot="1">
      <c r="A53" s="207"/>
      <c r="B53" s="204"/>
      <c r="C53" s="236"/>
      <c r="D53" s="229" t="s">
        <v>1876</v>
      </c>
      <c r="E53" s="233" t="s">
        <v>1877</v>
      </c>
      <c r="F53" s="229" t="s">
        <v>23</v>
      </c>
      <c r="G53" s="242" t="s">
        <v>1765</v>
      </c>
      <c r="H53" s="244"/>
      <c r="I53" s="242"/>
      <c r="J53" s="242"/>
      <c r="K53" s="242"/>
    </row>
    <row r="54" spans="1:11" s="1" customFormat="1" ht="15" thickBot="1">
      <c r="A54" s="207"/>
      <c r="B54" s="204"/>
      <c r="C54" s="236"/>
      <c r="D54" s="229" t="s">
        <v>1878</v>
      </c>
      <c r="E54" s="227" t="s">
        <v>1879</v>
      </c>
      <c r="F54" s="229" t="s">
        <v>58</v>
      </c>
      <c r="G54" s="242" t="s">
        <v>1762</v>
      </c>
      <c r="H54" s="244"/>
      <c r="I54" s="242"/>
      <c r="J54" s="242"/>
      <c r="K54" s="242"/>
    </row>
    <row r="55" spans="1:11" s="1" customFormat="1" ht="15" thickBot="1">
      <c r="A55" s="207"/>
      <c r="B55" s="204"/>
      <c r="C55" s="236"/>
      <c r="D55" s="229" t="s">
        <v>1880</v>
      </c>
      <c r="E55" s="227" t="s">
        <v>1881</v>
      </c>
      <c r="F55" s="229" t="s">
        <v>16</v>
      </c>
      <c r="G55" s="242" t="s">
        <v>2077</v>
      </c>
      <c r="H55" s="244"/>
      <c r="I55" s="242"/>
      <c r="J55" s="242"/>
      <c r="K55" s="242"/>
    </row>
    <row r="56" spans="1:11" s="1" customFormat="1" ht="15" thickBot="1">
      <c r="A56" s="207"/>
      <c r="B56" s="204"/>
      <c r="C56" s="236"/>
      <c r="D56" s="229" t="s">
        <v>1882</v>
      </c>
      <c r="E56" s="227" t="s">
        <v>1883</v>
      </c>
      <c r="F56" s="227" t="s">
        <v>23</v>
      </c>
      <c r="G56" s="242" t="s">
        <v>2077</v>
      </c>
      <c r="H56" s="244"/>
      <c r="I56" s="242"/>
      <c r="J56" s="242"/>
      <c r="K56" s="242"/>
    </row>
    <row r="57" spans="1:11" s="1" customFormat="1" ht="15" thickBot="1">
      <c r="A57" s="207"/>
      <c r="B57" s="204"/>
      <c r="C57" s="236" t="s">
        <v>1672</v>
      </c>
      <c r="D57" s="229" t="s">
        <v>1884</v>
      </c>
      <c r="E57" s="227" t="s">
        <v>1885</v>
      </c>
      <c r="F57" s="224" t="s">
        <v>23</v>
      </c>
      <c r="G57" s="242" t="s">
        <v>2076</v>
      </c>
      <c r="H57" s="244"/>
      <c r="I57" s="242"/>
      <c r="J57" s="242"/>
      <c r="K57" s="242"/>
    </row>
    <row r="58" spans="1:11" s="1" customFormat="1" ht="15" thickBot="1">
      <c r="A58" s="207"/>
      <c r="B58" s="204"/>
      <c r="C58" s="236"/>
      <c r="D58" s="229" t="s">
        <v>1886</v>
      </c>
      <c r="E58" s="227" t="s">
        <v>1887</v>
      </c>
      <c r="F58" s="224" t="s">
        <v>16</v>
      </c>
      <c r="G58" s="242" t="s">
        <v>2067</v>
      </c>
      <c r="H58" s="244"/>
      <c r="I58" s="242"/>
      <c r="J58" s="242"/>
      <c r="K58" s="242"/>
    </row>
    <row r="59" spans="1:11" s="1" customFormat="1" ht="15" thickBot="1">
      <c r="A59" s="207"/>
      <c r="B59" s="204"/>
      <c r="C59" s="236"/>
      <c r="D59" s="229" t="s">
        <v>1888</v>
      </c>
      <c r="E59" s="227" t="s">
        <v>1889</v>
      </c>
      <c r="F59" s="231" t="s">
        <v>58</v>
      </c>
      <c r="G59" s="242" t="s">
        <v>2086</v>
      </c>
      <c r="H59" s="244"/>
      <c r="I59" s="242"/>
      <c r="J59" s="242"/>
      <c r="K59" s="242"/>
    </row>
    <row r="60" spans="1:11" s="1" customFormat="1" ht="15" thickBot="1">
      <c r="A60" s="207"/>
      <c r="B60" s="204"/>
      <c r="C60" s="236"/>
      <c r="D60" s="227" t="s">
        <v>1890</v>
      </c>
      <c r="E60" s="227" t="s">
        <v>1891</v>
      </c>
      <c r="F60" s="229" t="s">
        <v>16</v>
      </c>
      <c r="G60" s="242" t="s">
        <v>2074</v>
      </c>
      <c r="H60" s="244"/>
      <c r="I60" s="242"/>
      <c r="J60" s="242"/>
      <c r="K60" s="242"/>
    </row>
    <row r="61" spans="1:11" s="1" customFormat="1" ht="15" thickBot="1">
      <c r="A61" s="207"/>
      <c r="B61" s="204"/>
      <c r="C61" s="236"/>
      <c r="D61" s="224" t="s">
        <v>1892</v>
      </c>
      <c r="E61" s="227" t="s">
        <v>1893</v>
      </c>
      <c r="F61" s="229" t="s">
        <v>23</v>
      </c>
      <c r="G61" s="242" t="s">
        <v>1765</v>
      </c>
      <c r="H61" s="244"/>
      <c r="I61" s="242"/>
      <c r="J61" s="242"/>
      <c r="K61" s="242"/>
    </row>
    <row r="62" spans="1:11" s="1" customFormat="1" ht="15" thickBot="1">
      <c r="A62" s="207"/>
      <c r="B62" s="204"/>
      <c r="C62" s="236" t="s">
        <v>1673</v>
      </c>
      <c r="D62" s="224" t="s">
        <v>1894</v>
      </c>
      <c r="E62" s="227" t="s">
        <v>1895</v>
      </c>
      <c r="F62" s="227" t="s">
        <v>16</v>
      </c>
      <c r="G62" s="242" t="s">
        <v>1777</v>
      </c>
      <c r="H62" s="244"/>
      <c r="I62" s="242"/>
      <c r="J62" s="242"/>
      <c r="K62" s="242"/>
    </row>
    <row r="63" spans="1:11" s="1" customFormat="1" ht="15" thickBot="1">
      <c r="A63" s="207"/>
      <c r="B63" s="204"/>
      <c r="C63" s="236"/>
      <c r="D63" s="224" t="s">
        <v>1896</v>
      </c>
      <c r="E63" s="227" t="s">
        <v>1897</v>
      </c>
      <c r="F63" s="224" t="s">
        <v>23</v>
      </c>
      <c r="G63" s="242" t="s">
        <v>2084</v>
      </c>
      <c r="H63" s="244"/>
      <c r="I63" s="242"/>
      <c r="J63" s="242"/>
      <c r="K63" s="242"/>
    </row>
    <row r="64" spans="1:11" s="1" customFormat="1" ht="15" thickBot="1">
      <c r="A64" s="207"/>
      <c r="B64" s="204"/>
      <c r="C64" s="236"/>
      <c r="D64" s="231" t="s">
        <v>1898</v>
      </c>
      <c r="E64" s="227" t="s">
        <v>1899</v>
      </c>
      <c r="F64" s="224" t="s">
        <v>58</v>
      </c>
      <c r="G64" s="242" t="s">
        <v>2088</v>
      </c>
      <c r="H64" s="244"/>
      <c r="I64" s="242"/>
      <c r="J64" s="242"/>
      <c r="K64" s="242"/>
    </row>
    <row r="65" spans="1:11" s="1" customFormat="1" ht="15" thickBot="1">
      <c r="A65" s="207"/>
      <c r="B65" s="204"/>
      <c r="C65" s="236"/>
      <c r="D65" s="229" t="s">
        <v>1900</v>
      </c>
      <c r="E65" s="224" t="s">
        <v>1901</v>
      </c>
      <c r="F65" s="224" t="s">
        <v>16</v>
      </c>
      <c r="G65" s="242" t="s">
        <v>646</v>
      </c>
      <c r="H65" s="244"/>
      <c r="I65" s="242"/>
      <c r="J65" s="242"/>
      <c r="K65" s="242"/>
    </row>
    <row r="66" spans="1:11" s="1" customFormat="1" ht="15" thickBot="1">
      <c r="A66" s="207"/>
      <c r="B66" s="204"/>
      <c r="C66" s="236"/>
      <c r="D66" s="229" t="s">
        <v>1902</v>
      </c>
      <c r="E66" s="224" t="s">
        <v>1903</v>
      </c>
      <c r="F66" s="224" t="s">
        <v>23</v>
      </c>
      <c r="G66" s="242" t="s">
        <v>1783</v>
      </c>
      <c r="H66" s="244"/>
      <c r="I66" s="242"/>
      <c r="J66" s="242"/>
      <c r="K66" s="242"/>
    </row>
    <row r="67" spans="1:11" s="1" customFormat="1" ht="15" thickBot="1">
      <c r="A67" s="207"/>
      <c r="B67" s="204"/>
      <c r="C67" s="236" t="s">
        <v>1674</v>
      </c>
      <c r="D67" s="229" t="s">
        <v>1904</v>
      </c>
      <c r="E67" s="227" t="s">
        <v>1905</v>
      </c>
      <c r="F67" s="224" t="s">
        <v>16</v>
      </c>
      <c r="G67" s="242" t="s">
        <v>671</v>
      </c>
      <c r="H67" s="244"/>
      <c r="I67" s="242"/>
      <c r="J67" s="242"/>
      <c r="K67" s="242"/>
    </row>
    <row r="68" spans="1:11" s="1" customFormat="1" ht="15" thickBot="1">
      <c r="A68" s="207"/>
      <c r="B68" s="204"/>
      <c r="C68" s="236"/>
      <c r="D68" s="229" t="s">
        <v>1906</v>
      </c>
      <c r="E68" s="234" t="s">
        <v>1907</v>
      </c>
      <c r="F68" s="224" t="s">
        <v>23</v>
      </c>
      <c r="G68" s="242" t="s">
        <v>2079</v>
      </c>
      <c r="H68" s="244"/>
      <c r="I68" s="242"/>
      <c r="J68" s="242"/>
      <c r="K68" s="242"/>
    </row>
    <row r="69" spans="1:11" s="1" customFormat="1" ht="15" thickBot="1">
      <c r="A69" s="207"/>
      <c r="B69" s="204"/>
      <c r="C69" s="236"/>
      <c r="D69" s="229" t="s">
        <v>1908</v>
      </c>
      <c r="E69" s="227" t="s">
        <v>1909</v>
      </c>
      <c r="F69" s="235" t="s">
        <v>58</v>
      </c>
      <c r="G69" s="242" t="s">
        <v>2071</v>
      </c>
      <c r="H69" s="244"/>
      <c r="I69" s="242"/>
      <c r="J69" s="242"/>
      <c r="K69" s="242"/>
    </row>
    <row r="70" spans="1:11" s="1" customFormat="1" ht="15" thickBot="1">
      <c r="A70" s="207"/>
      <c r="B70" s="204"/>
      <c r="C70" s="236"/>
      <c r="D70" s="229" t="s">
        <v>1910</v>
      </c>
      <c r="E70" s="230" t="s">
        <v>1911</v>
      </c>
      <c r="F70" s="229" t="s">
        <v>16</v>
      </c>
      <c r="G70" s="242" t="s">
        <v>2080</v>
      </c>
      <c r="H70" s="244"/>
      <c r="I70" s="242"/>
      <c r="J70" s="242"/>
      <c r="K70" s="242"/>
    </row>
    <row r="71" spans="1:11" s="1" customFormat="1" ht="15" thickBot="1">
      <c r="A71" s="207"/>
      <c r="B71" s="204"/>
      <c r="C71" s="236"/>
      <c r="D71" s="227" t="s">
        <v>1912</v>
      </c>
      <c r="E71" s="229" t="s">
        <v>1913</v>
      </c>
      <c r="F71" s="229" t="s">
        <v>23</v>
      </c>
      <c r="G71" s="242" t="s">
        <v>2085</v>
      </c>
      <c r="H71" s="244"/>
      <c r="I71" s="242"/>
      <c r="J71" s="242"/>
      <c r="K71" s="242"/>
    </row>
    <row r="72" spans="1:11" s="1" customFormat="1" ht="15" thickBot="1">
      <c r="A72" s="207"/>
      <c r="B72" s="204"/>
      <c r="C72" s="236" t="s">
        <v>1675</v>
      </c>
      <c r="D72" s="224" t="s">
        <v>1914</v>
      </c>
      <c r="E72" s="229" t="s">
        <v>1915</v>
      </c>
      <c r="F72" s="229" t="s">
        <v>16</v>
      </c>
      <c r="G72" s="242" t="s">
        <v>2079</v>
      </c>
      <c r="H72" s="244"/>
      <c r="I72" s="242"/>
      <c r="J72" s="242"/>
      <c r="K72" s="242"/>
    </row>
    <row r="73" spans="1:11" s="1" customFormat="1" ht="15" thickBot="1">
      <c r="A73" s="207"/>
      <c r="B73" s="204"/>
      <c r="C73" s="236"/>
      <c r="D73" s="224" t="s">
        <v>1916</v>
      </c>
      <c r="E73" s="227" t="s">
        <v>1917</v>
      </c>
      <c r="F73" s="227" t="s">
        <v>23</v>
      </c>
      <c r="G73" s="242" t="s">
        <v>2085</v>
      </c>
      <c r="H73" s="244"/>
      <c r="I73" s="242"/>
      <c r="J73" s="242"/>
      <c r="K73" s="242"/>
    </row>
    <row r="74" spans="1:11" s="1" customFormat="1" ht="15" thickBot="1">
      <c r="A74" s="207"/>
      <c r="B74" s="204"/>
      <c r="C74" s="236"/>
      <c r="D74" s="224" t="s">
        <v>1918</v>
      </c>
      <c r="E74" s="224" t="s">
        <v>1919</v>
      </c>
      <c r="F74" s="224" t="s">
        <v>58</v>
      </c>
      <c r="G74" s="242" t="s">
        <v>2089</v>
      </c>
      <c r="H74" s="244"/>
      <c r="I74" s="242"/>
      <c r="J74" s="242"/>
      <c r="K74" s="242"/>
    </row>
    <row r="75" spans="1:11" s="1" customFormat="1" ht="15" thickBot="1">
      <c r="A75" s="207"/>
      <c r="B75" s="204"/>
      <c r="C75" s="236"/>
      <c r="D75" s="224" t="s">
        <v>1920</v>
      </c>
      <c r="E75" s="224" t="s">
        <v>1921</v>
      </c>
      <c r="F75" s="224" t="s">
        <v>16</v>
      </c>
      <c r="G75" s="242" t="s">
        <v>2085</v>
      </c>
      <c r="H75" s="244"/>
      <c r="I75" s="242"/>
      <c r="J75" s="242"/>
      <c r="K75" s="242"/>
    </row>
    <row r="76" spans="1:11" ht="15" thickBot="1">
      <c r="A76" s="207"/>
      <c r="B76" s="205"/>
      <c r="C76" s="236"/>
      <c r="D76" s="227" t="s">
        <v>1922</v>
      </c>
      <c r="E76" s="228" t="s">
        <v>1923</v>
      </c>
      <c r="F76" s="227" t="s">
        <v>23</v>
      </c>
      <c r="G76" s="242" t="s">
        <v>2090</v>
      </c>
      <c r="H76" s="244"/>
      <c r="I76" s="242"/>
      <c r="J76" s="242"/>
      <c r="K76" s="242"/>
    </row>
    <row r="77" spans="1:11" s="1" customFormat="1" ht="15" thickBot="1">
      <c r="A77" s="207"/>
      <c r="B77" s="203" t="s">
        <v>1650</v>
      </c>
      <c r="C77" s="236" t="s">
        <v>1676</v>
      </c>
      <c r="D77" s="214" t="s">
        <v>1924</v>
      </c>
      <c r="E77" s="220" t="s">
        <v>1925</v>
      </c>
      <c r="F77" s="220" t="s">
        <v>16</v>
      </c>
      <c r="G77" s="242" t="s">
        <v>1765</v>
      </c>
      <c r="H77" s="244"/>
      <c r="I77" s="242"/>
      <c r="J77" s="242"/>
      <c r="K77" s="242"/>
    </row>
    <row r="78" spans="1:11" s="1" customFormat="1" ht="15" thickBot="1">
      <c r="A78" s="207"/>
      <c r="B78" s="204"/>
      <c r="C78" s="236"/>
      <c r="D78" s="218" t="s">
        <v>1926</v>
      </c>
      <c r="E78" s="220" t="s">
        <v>1927</v>
      </c>
      <c r="F78" s="220" t="s">
        <v>23</v>
      </c>
      <c r="G78" s="242" t="s">
        <v>2084</v>
      </c>
      <c r="H78" s="244"/>
      <c r="I78" s="242"/>
      <c r="J78" s="242"/>
      <c r="K78" s="242"/>
    </row>
    <row r="79" spans="1:11" s="1" customFormat="1" ht="15" thickBot="1">
      <c r="A79" s="207"/>
      <c r="B79" s="204"/>
      <c r="C79" s="236"/>
      <c r="D79" s="218" t="s">
        <v>1928</v>
      </c>
      <c r="E79" s="220" t="s">
        <v>1929</v>
      </c>
      <c r="F79" s="220" t="s">
        <v>58</v>
      </c>
      <c r="G79" s="242" t="s">
        <v>2072</v>
      </c>
      <c r="H79" s="244"/>
      <c r="I79" s="242"/>
      <c r="J79" s="242"/>
      <c r="K79" s="242"/>
    </row>
    <row r="80" spans="1:11" s="1" customFormat="1" ht="15" thickBot="1">
      <c r="A80" s="207"/>
      <c r="B80" s="204"/>
      <c r="C80" s="236"/>
      <c r="D80" s="218" t="s">
        <v>1930</v>
      </c>
      <c r="E80" s="220" t="s">
        <v>1931</v>
      </c>
      <c r="F80" s="220" t="s">
        <v>16</v>
      </c>
      <c r="G80" s="242" t="s">
        <v>2069</v>
      </c>
      <c r="H80" s="244"/>
      <c r="I80" s="242"/>
      <c r="J80" s="242"/>
      <c r="K80" s="242"/>
    </row>
    <row r="81" spans="1:11" s="1" customFormat="1" ht="15" thickBot="1">
      <c r="A81" s="207"/>
      <c r="B81" s="204"/>
      <c r="C81" s="236"/>
      <c r="D81" s="218" t="s">
        <v>1932</v>
      </c>
      <c r="E81" s="220" t="s">
        <v>1933</v>
      </c>
      <c r="F81" s="220" t="s">
        <v>23</v>
      </c>
      <c r="G81" s="242" t="s">
        <v>2089</v>
      </c>
      <c r="H81" s="244"/>
      <c r="I81" s="242"/>
      <c r="J81" s="242"/>
      <c r="K81" s="242"/>
    </row>
    <row r="82" spans="1:11" s="1" customFormat="1" ht="15" thickBot="1">
      <c r="A82" s="207"/>
      <c r="B82" s="204"/>
      <c r="C82" s="236" t="s">
        <v>1677</v>
      </c>
      <c r="D82" s="218" t="s">
        <v>1934</v>
      </c>
      <c r="E82" s="220" t="s">
        <v>1935</v>
      </c>
      <c r="F82" s="220" t="s">
        <v>16</v>
      </c>
      <c r="G82" s="242" t="s">
        <v>2064</v>
      </c>
      <c r="H82" s="244"/>
      <c r="I82" s="242"/>
      <c r="J82" s="242"/>
      <c r="K82" s="242"/>
    </row>
    <row r="83" spans="1:11" s="1" customFormat="1" ht="15" thickBot="1">
      <c r="A83" s="207"/>
      <c r="B83" s="204"/>
      <c r="C83" s="236"/>
      <c r="D83" s="218" t="s">
        <v>1936</v>
      </c>
      <c r="E83" s="220" t="s">
        <v>1937</v>
      </c>
      <c r="F83" s="220" t="s">
        <v>23</v>
      </c>
      <c r="G83" s="242" t="s">
        <v>2090</v>
      </c>
      <c r="H83" s="244"/>
      <c r="I83" s="242"/>
      <c r="J83" s="242"/>
      <c r="K83" s="242"/>
    </row>
    <row r="84" spans="1:11" s="1" customFormat="1" ht="15" thickBot="1">
      <c r="A84" s="207"/>
      <c r="B84" s="204"/>
      <c r="C84" s="236"/>
      <c r="D84" s="218" t="s">
        <v>1938</v>
      </c>
      <c r="E84" s="220" t="s">
        <v>1939</v>
      </c>
      <c r="F84" s="220" t="s">
        <v>58</v>
      </c>
      <c r="G84" s="242" t="s">
        <v>2086</v>
      </c>
      <c r="H84" s="244"/>
      <c r="I84" s="242"/>
      <c r="J84" s="242"/>
      <c r="K84" s="242"/>
    </row>
    <row r="85" spans="1:11" s="1" customFormat="1" ht="15" thickBot="1">
      <c r="A85" s="207"/>
      <c r="B85" s="204"/>
      <c r="C85" s="236"/>
      <c r="D85" s="218" t="s">
        <v>1940</v>
      </c>
      <c r="E85" s="220" t="s">
        <v>1941</v>
      </c>
      <c r="F85" s="220" t="s">
        <v>16</v>
      </c>
      <c r="G85" s="242" t="s">
        <v>2069</v>
      </c>
      <c r="H85" s="244"/>
      <c r="I85" s="242"/>
      <c r="J85" s="242"/>
      <c r="K85" s="242"/>
    </row>
    <row r="86" spans="1:11" s="1" customFormat="1" ht="15" thickBot="1">
      <c r="A86" s="207"/>
      <c r="B86" s="204"/>
      <c r="C86" s="236"/>
      <c r="D86" s="224" t="s">
        <v>1942</v>
      </c>
      <c r="E86" s="220" t="s">
        <v>1943</v>
      </c>
      <c r="F86" s="220" t="s">
        <v>23</v>
      </c>
      <c r="G86" s="242" t="s">
        <v>2078</v>
      </c>
      <c r="H86" s="244"/>
      <c r="I86" s="242"/>
      <c r="J86" s="242"/>
      <c r="K86" s="242"/>
    </row>
    <row r="87" spans="1:11" s="1" customFormat="1" ht="15" thickBot="1">
      <c r="A87" s="207"/>
      <c r="B87" s="204"/>
      <c r="C87" s="236" t="s">
        <v>1678</v>
      </c>
      <c r="D87" s="218" t="s">
        <v>1944</v>
      </c>
      <c r="E87" s="220" t="s">
        <v>1945</v>
      </c>
      <c r="F87" s="220" t="s">
        <v>23</v>
      </c>
      <c r="G87" s="242" t="s">
        <v>1774</v>
      </c>
      <c r="H87" s="244"/>
      <c r="I87" s="242"/>
      <c r="J87" s="242"/>
      <c r="K87" s="242"/>
    </row>
    <row r="88" spans="1:11" s="1" customFormat="1" ht="15" thickBot="1">
      <c r="A88" s="207"/>
      <c r="B88" s="204"/>
      <c r="C88" s="236"/>
      <c r="D88" s="218" t="s">
        <v>1946</v>
      </c>
      <c r="E88" s="220" t="s">
        <v>1947</v>
      </c>
      <c r="F88" s="220" t="s">
        <v>16</v>
      </c>
      <c r="G88" s="242" t="s">
        <v>2091</v>
      </c>
      <c r="H88" s="244"/>
      <c r="I88" s="242"/>
      <c r="J88" s="242"/>
      <c r="K88" s="242"/>
    </row>
    <row r="89" spans="1:11" s="1" customFormat="1" ht="15" thickBot="1">
      <c r="A89" s="207"/>
      <c r="B89" s="204"/>
      <c r="C89" s="236"/>
      <c r="D89" s="218" t="s">
        <v>1948</v>
      </c>
      <c r="E89" s="220" t="s">
        <v>1949</v>
      </c>
      <c r="F89" s="220" t="s">
        <v>58</v>
      </c>
      <c r="G89" s="242" t="s">
        <v>2066</v>
      </c>
      <c r="H89" s="244"/>
      <c r="I89" s="242"/>
      <c r="J89" s="242"/>
      <c r="K89" s="242"/>
    </row>
    <row r="90" spans="1:11" s="1" customFormat="1" ht="15" thickBot="1">
      <c r="A90" s="207"/>
      <c r="B90" s="204"/>
      <c r="C90" s="236"/>
      <c r="D90" s="218" t="s">
        <v>1950</v>
      </c>
      <c r="E90" s="220" t="s">
        <v>1951</v>
      </c>
      <c r="F90" s="220" t="s">
        <v>16</v>
      </c>
      <c r="G90" s="242" t="s">
        <v>2092</v>
      </c>
      <c r="H90" s="244"/>
      <c r="I90" s="242"/>
      <c r="J90" s="242"/>
      <c r="K90" s="242"/>
    </row>
    <row r="91" spans="1:11" s="1" customFormat="1" ht="15" thickBot="1">
      <c r="A91" s="207"/>
      <c r="B91" s="204"/>
      <c r="C91" s="236"/>
      <c r="D91" s="224" t="s">
        <v>1952</v>
      </c>
      <c r="E91" s="220" t="s">
        <v>1953</v>
      </c>
      <c r="F91" s="220" t="s">
        <v>23</v>
      </c>
      <c r="G91" s="242" t="s">
        <v>2066</v>
      </c>
      <c r="H91" s="244"/>
      <c r="I91" s="242"/>
      <c r="J91" s="242"/>
      <c r="K91" s="242"/>
    </row>
    <row r="92" spans="1:11" s="1" customFormat="1" ht="15" thickBot="1">
      <c r="A92" s="207"/>
      <c r="B92" s="204"/>
      <c r="C92" s="236" t="s">
        <v>1679</v>
      </c>
      <c r="D92" s="218" t="s">
        <v>1954</v>
      </c>
      <c r="E92" s="220" t="s">
        <v>1955</v>
      </c>
      <c r="F92" s="220" t="s">
        <v>16</v>
      </c>
      <c r="G92" s="242" t="s">
        <v>2089</v>
      </c>
      <c r="H92" s="244"/>
      <c r="I92" s="242"/>
      <c r="J92" s="242"/>
      <c r="K92" s="242"/>
    </row>
    <row r="93" spans="1:11" s="1" customFormat="1" ht="15" thickBot="1">
      <c r="A93" s="207"/>
      <c r="B93" s="204"/>
      <c r="C93" s="236"/>
      <c r="D93" s="218" t="s">
        <v>1956</v>
      </c>
      <c r="E93" s="220" t="s">
        <v>1957</v>
      </c>
      <c r="F93" s="220" t="s">
        <v>23</v>
      </c>
      <c r="G93" s="242" t="s">
        <v>2078</v>
      </c>
      <c r="H93" s="244"/>
      <c r="I93" s="242"/>
      <c r="J93" s="242"/>
      <c r="K93" s="242"/>
    </row>
    <row r="94" spans="1:11" s="1" customFormat="1" ht="15" thickBot="1">
      <c r="A94" s="207"/>
      <c r="B94" s="204"/>
      <c r="C94" s="236"/>
      <c r="D94" s="218" t="s">
        <v>1958</v>
      </c>
      <c r="E94" s="220" t="s">
        <v>1959</v>
      </c>
      <c r="F94" s="220" t="s">
        <v>58</v>
      </c>
      <c r="G94" s="242" t="s">
        <v>2064</v>
      </c>
      <c r="H94" s="244"/>
      <c r="I94" s="242"/>
      <c r="J94" s="242"/>
      <c r="K94" s="242"/>
    </row>
    <row r="95" spans="1:11" s="1" customFormat="1" ht="15" thickBot="1">
      <c r="A95" s="207"/>
      <c r="B95" s="204"/>
      <c r="C95" s="236"/>
      <c r="D95" s="218" t="s">
        <v>1960</v>
      </c>
      <c r="E95" s="220" t="s">
        <v>1961</v>
      </c>
      <c r="F95" s="220" t="s">
        <v>16</v>
      </c>
      <c r="G95" s="242" t="s">
        <v>2075</v>
      </c>
      <c r="H95" s="244"/>
      <c r="I95" s="242"/>
      <c r="J95" s="242"/>
      <c r="K95" s="242"/>
    </row>
    <row r="96" spans="1:11" s="1" customFormat="1" ht="15" thickBot="1">
      <c r="A96" s="207"/>
      <c r="B96" s="204"/>
      <c r="C96" s="236"/>
      <c r="D96" s="218" t="s">
        <v>1962</v>
      </c>
      <c r="E96" s="220" t="s">
        <v>1963</v>
      </c>
      <c r="F96" s="220" t="s">
        <v>23</v>
      </c>
      <c r="G96" s="242" t="s">
        <v>2081</v>
      </c>
      <c r="H96" s="244"/>
      <c r="I96" s="242"/>
      <c r="J96" s="242"/>
      <c r="K96" s="242"/>
    </row>
    <row r="97" spans="1:11" s="1" customFormat="1" ht="15" thickBot="1">
      <c r="A97" s="207"/>
      <c r="B97" s="204"/>
      <c r="C97" s="236" t="s">
        <v>1680</v>
      </c>
      <c r="D97" s="218" t="s">
        <v>1964</v>
      </c>
      <c r="E97" s="220" t="s">
        <v>1965</v>
      </c>
      <c r="F97" s="220" t="s">
        <v>16</v>
      </c>
      <c r="G97" s="242" t="s">
        <v>2078</v>
      </c>
      <c r="H97" s="244"/>
      <c r="I97" s="242"/>
      <c r="J97" s="242"/>
      <c r="K97" s="242"/>
    </row>
    <row r="98" spans="1:11" s="1" customFormat="1" ht="15" thickBot="1">
      <c r="A98" s="207"/>
      <c r="B98" s="204"/>
      <c r="C98" s="236"/>
      <c r="D98" s="218" t="s">
        <v>1966</v>
      </c>
      <c r="E98" s="220" t="s">
        <v>1967</v>
      </c>
      <c r="F98" s="220" t="s">
        <v>23</v>
      </c>
      <c r="G98" s="242" t="s">
        <v>2072</v>
      </c>
      <c r="H98" s="244"/>
      <c r="I98" s="242"/>
      <c r="J98" s="242"/>
      <c r="K98" s="242"/>
    </row>
    <row r="99" spans="1:11" s="1" customFormat="1" ht="15" thickBot="1">
      <c r="A99" s="207"/>
      <c r="B99" s="204"/>
      <c r="C99" s="236"/>
      <c r="D99" s="218" t="s">
        <v>1968</v>
      </c>
      <c r="E99" s="220" t="s">
        <v>1969</v>
      </c>
      <c r="F99" s="220" t="s">
        <v>58</v>
      </c>
      <c r="G99" s="242" t="s">
        <v>2093</v>
      </c>
      <c r="H99" s="244"/>
      <c r="I99" s="242"/>
      <c r="J99" s="242"/>
      <c r="K99" s="242"/>
    </row>
    <row r="100" spans="1:11" s="1" customFormat="1" ht="15" thickBot="1">
      <c r="A100" s="207"/>
      <c r="B100" s="204"/>
      <c r="C100" s="236"/>
      <c r="D100" s="218" t="s">
        <v>1970</v>
      </c>
      <c r="E100" s="220" t="s">
        <v>1971</v>
      </c>
      <c r="F100" s="220" t="s">
        <v>16</v>
      </c>
      <c r="G100" s="242" t="s">
        <v>2093</v>
      </c>
      <c r="H100" s="244"/>
      <c r="I100" s="242"/>
      <c r="J100" s="242"/>
      <c r="K100" s="242"/>
    </row>
    <row r="101" spans="1:11" ht="15" thickBot="1">
      <c r="A101" s="207"/>
      <c r="B101" s="205"/>
      <c r="C101" s="236"/>
      <c r="D101" s="218" t="s">
        <v>1972</v>
      </c>
      <c r="E101" s="220" t="s">
        <v>1973</v>
      </c>
      <c r="F101" s="220" t="s">
        <v>23</v>
      </c>
      <c r="G101" s="242" t="s">
        <v>2065</v>
      </c>
      <c r="H101" s="244"/>
      <c r="I101" s="242"/>
      <c r="J101" s="242"/>
      <c r="K101" s="242"/>
    </row>
    <row r="102" spans="1:11" s="1" customFormat="1" ht="16" thickBot="1">
      <c r="A102" s="207"/>
      <c r="B102" s="203" t="s">
        <v>1651</v>
      </c>
      <c r="C102" s="236" t="s">
        <v>1681</v>
      </c>
      <c r="D102" s="215" t="s">
        <v>2094</v>
      </c>
      <c r="E102" s="217" t="s">
        <v>2095</v>
      </c>
      <c r="F102" s="217" t="s">
        <v>16</v>
      </c>
      <c r="G102" s="217" t="s">
        <v>599</v>
      </c>
      <c r="H102" s="244"/>
      <c r="I102" s="242"/>
      <c r="J102" s="242"/>
      <c r="K102" s="242"/>
    </row>
    <row r="103" spans="1:11" s="1" customFormat="1" ht="16" thickBot="1">
      <c r="A103" s="207"/>
      <c r="B103" s="204"/>
      <c r="C103" s="236"/>
      <c r="D103" s="219" t="s">
        <v>2096</v>
      </c>
      <c r="E103" s="221" t="s">
        <v>2097</v>
      </c>
      <c r="F103" s="221" t="s">
        <v>23</v>
      </c>
      <c r="G103" s="221" t="s">
        <v>1771</v>
      </c>
      <c r="H103" s="244"/>
      <c r="I103" s="242"/>
      <c r="J103" s="242"/>
      <c r="K103" s="242"/>
    </row>
    <row r="104" spans="1:11" s="1" customFormat="1" ht="16" thickBot="1">
      <c r="A104" s="207"/>
      <c r="B104" s="204"/>
      <c r="C104" s="236"/>
      <c r="D104" s="219" t="s">
        <v>2098</v>
      </c>
      <c r="E104" s="221" t="s">
        <v>2099</v>
      </c>
      <c r="F104" s="221" t="s">
        <v>16</v>
      </c>
      <c r="G104" s="221" t="s">
        <v>646</v>
      </c>
      <c r="H104" s="244"/>
      <c r="I104" s="242"/>
      <c r="J104" s="242"/>
      <c r="K104" s="242"/>
    </row>
    <row r="105" spans="1:11" s="1" customFormat="1" ht="16" thickBot="1">
      <c r="A105" s="207"/>
      <c r="B105" s="204"/>
      <c r="C105" s="236"/>
      <c r="D105" s="219" t="s">
        <v>2100</v>
      </c>
      <c r="E105" s="221" t="s">
        <v>2101</v>
      </c>
      <c r="F105" s="221" t="s">
        <v>58</v>
      </c>
      <c r="G105" s="221" t="s">
        <v>1762</v>
      </c>
      <c r="H105" s="244"/>
      <c r="I105" s="242"/>
      <c r="J105" s="242"/>
      <c r="K105" s="242"/>
    </row>
    <row r="106" spans="1:11" s="1" customFormat="1" ht="16" thickBot="1">
      <c r="A106" s="207"/>
      <c r="B106" s="204"/>
      <c r="C106" s="236"/>
      <c r="D106" s="219" t="s">
        <v>2102</v>
      </c>
      <c r="E106" s="221" t="s">
        <v>2103</v>
      </c>
      <c r="F106" s="221" t="s">
        <v>23</v>
      </c>
      <c r="G106" s="221" t="s">
        <v>2065</v>
      </c>
      <c r="H106" s="244"/>
      <c r="I106" s="242"/>
      <c r="J106" s="242"/>
      <c r="K106" s="242"/>
    </row>
    <row r="107" spans="1:11" s="1" customFormat="1" ht="16" thickBot="1">
      <c r="A107" s="207"/>
      <c r="B107" s="204"/>
      <c r="C107" s="236" t="s">
        <v>1682</v>
      </c>
      <c r="D107" s="219" t="s">
        <v>2104</v>
      </c>
      <c r="E107" s="221" t="s">
        <v>2105</v>
      </c>
      <c r="F107" s="221" t="s">
        <v>16</v>
      </c>
      <c r="G107" s="221" t="s">
        <v>1793</v>
      </c>
      <c r="H107" s="244"/>
      <c r="I107" s="242"/>
      <c r="J107" s="242"/>
      <c r="K107" s="242"/>
    </row>
    <row r="108" spans="1:11" s="1" customFormat="1" ht="16" thickBot="1">
      <c r="A108" s="207"/>
      <c r="B108" s="204"/>
      <c r="C108" s="236"/>
      <c r="D108" s="219" t="s">
        <v>2106</v>
      </c>
      <c r="E108" s="221" t="s">
        <v>2107</v>
      </c>
      <c r="F108" s="221" t="s">
        <v>58</v>
      </c>
      <c r="G108" s="221" t="s">
        <v>2108</v>
      </c>
      <c r="H108" s="244"/>
      <c r="I108" s="242"/>
      <c r="J108" s="242"/>
      <c r="K108" s="242"/>
    </row>
    <row r="109" spans="1:11" s="1" customFormat="1" ht="16" thickBot="1">
      <c r="A109" s="207"/>
      <c r="B109" s="204"/>
      <c r="C109" s="236"/>
      <c r="D109" s="219" t="s">
        <v>2109</v>
      </c>
      <c r="E109" s="221" t="s">
        <v>2110</v>
      </c>
      <c r="F109" s="221" t="s">
        <v>23</v>
      </c>
      <c r="G109" s="221" t="s">
        <v>1768</v>
      </c>
      <c r="H109" s="244"/>
      <c r="I109" s="242"/>
      <c r="J109" s="242"/>
      <c r="K109" s="242"/>
    </row>
    <row r="110" spans="1:11" s="1" customFormat="1" ht="16" thickBot="1">
      <c r="A110" s="207"/>
      <c r="B110" s="204"/>
      <c r="C110" s="236"/>
      <c r="D110" s="219" t="s">
        <v>2111</v>
      </c>
      <c r="E110" s="221" t="s">
        <v>2112</v>
      </c>
      <c r="F110" s="221" t="s">
        <v>16</v>
      </c>
      <c r="G110" s="221" t="s">
        <v>2064</v>
      </c>
      <c r="H110" s="244"/>
      <c r="I110" s="242"/>
      <c r="J110" s="242"/>
      <c r="K110" s="242"/>
    </row>
    <row r="111" spans="1:11" s="1" customFormat="1" ht="16" thickBot="1">
      <c r="A111" s="207"/>
      <c r="B111" s="204"/>
      <c r="C111" s="236"/>
      <c r="D111" s="219" t="s">
        <v>2113</v>
      </c>
      <c r="E111" s="221" t="s">
        <v>2114</v>
      </c>
      <c r="F111" s="221" t="s">
        <v>23</v>
      </c>
      <c r="G111" s="221" t="s">
        <v>1771</v>
      </c>
      <c r="H111" s="242"/>
      <c r="I111" s="242"/>
      <c r="J111" s="242"/>
      <c r="K111" s="242"/>
    </row>
    <row r="112" spans="1:11" s="1" customFormat="1" ht="16" thickBot="1">
      <c r="A112" s="207"/>
      <c r="B112" s="204"/>
      <c r="C112" s="236" t="s">
        <v>1683</v>
      </c>
      <c r="D112" s="219" t="s">
        <v>2115</v>
      </c>
      <c r="E112" s="221" t="s">
        <v>2116</v>
      </c>
      <c r="F112" s="221" t="s">
        <v>23</v>
      </c>
      <c r="G112" s="221" t="s">
        <v>2069</v>
      </c>
      <c r="H112" s="242"/>
      <c r="I112" s="242"/>
      <c r="J112" s="242"/>
      <c r="K112" s="242"/>
    </row>
    <row r="113" spans="1:11" s="1" customFormat="1" ht="16" thickBot="1">
      <c r="A113" s="207"/>
      <c r="B113" s="204"/>
      <c r="C113" s="236"/>
      <c r="D113" s="219" t="s">
        <v>2117</v>
      </c>
      <c r="E113" s="221" t="s">
        <v>2118</v>
      </c>
      <c r="F113" s="221" t="s">
        <v>16</v>
      </c>
      <c r="G113" s="221" t="s">
        <v>2066</v>
      </c>
      <c r="H113" s="242"/>
      <c r="I113" s="242"/>
      <c r="J113" s="242"/>
      <c r="K113" s="242"/>
    </row>
    <row r="114" spans="1:11" s="1" customFormat="1" ht="16" thickBot="1">
      <c r="A114" s="207"/>
      <c r="B114" s="204"/>
      <c r="C114" s="236"/>
      <c r="D114" s="219" t="s">
        <v>2119</v>
      </c>
      <c r="E114" s="221" t="s">
        <v>2120</v>
      </c>
      <c r="F114" s="221" t="s">
        <v>16</v>
      </c>
      <c r="G114" s="221" t="s">
        <v>2080</v>
      </c>
      <c r="H114" s="242"/>
      <c r="I114" s="242"/>
      <c r="J114" s="242"/>
      <c r="K114" s="242"/>
    </row>
    <row r="115" spans="1:11" s="1" customFormat="1" ht="16" thickBot="1">
      <c r="A115" s="207"/>
      <c r="B115" s="204"/>
      <c r="C115" s="236"/>
      <c r="D115" s="219" t="s">
        <v>2121</v>
      </c>
      <c r="E115" s="221" t="s">
        <v>2122</v>
      </c>
      <c r="F115" s="221" t="s">
        <v>58</v>
      </c>
      <c r="G115" s="221" t="s">
        <v>646</v>
      </c>
      <c r="H115" s="242"/>
      <c r="I115" s="242"/>
      <c r="J115" s="242"/>
      <c r="K115" s="242"/>
    </row>
    <row r="116" spans="1:11" s="1" customFormat="1" ht="16" thickBot="1">
      <c r="A116" s="207"/>
      <c r="B116" s="204"/>
      <c r="C116" s="236"/>
      <c r="D116" s="219" t="s">
        <v>2123</v>
      </c>
      <c r="E116" s="221" t="s">
        <v>2124</v>
      </c>
      <c r="F116" s="221" t="s">
        <v>23</v>
      </c>
      <c r="G116" s="221" t="s">
        <v>2083</v>
      </c>
      <c r="H116" s="242"/>
      <c r="I116" s="242"/>
      <c r="J116" s="242"/>
      <c r="K116" s="242"/>
    </row>
    <row r="117" spans="1:11" s="1" customFormat="1" ht="16" thickBot="1">
      <c r="A117" s="207"/>
      <c r="B117" s="204"/>
      <c r="C117" s="236" t="s">
        <v>1684</v>
      </c>
      <c r="D117" s="215" t="s">
        <v>2125</v>
      </c>
      <c r="E117" s="217" t="s">
        <v>2126</v>
      </c>
      <c r="F117" s="217" t="s">
        <v>23</v>
      </c>
      <c r="G117" s="217" t="s">
        <v>1793</v>
      </c>
      <c r="H117" s="242"/>
      <c r="I117" s="242"/>
      <c r="J117" s="242"/>
      <c r="K117" s="242"/>
    </row>
    <row r="118" spans="1:11" s="1" customFormat="1" ht="16" thickBot="1">
      <c r="A118" s="207"/>
      <c r="B118" s="204"/>
      <c r="C118" s="236"/>
      <c r="D118" s="219" t="s">
        <v>2127</v>
      </c>
      <c r="E118" s="221" t="s">
        <v>2128</v>
      </c>
      <c r="F118" s="221" t="s">
        <v>16</v>
      </c>
      <c r="G118" s="221" t="s">
        <v>1768</v>
      </c>
      <c r="H118" s="242"/>
      <c r="I118" s="242"/>
      <c r="J118" s="242"/>
      <c r="K118" s="242"/>
    </row>
    <row r="119" spans="1:11" s="1" customFormat="1" ht="16" thickBot="1">
      <c r="A119" s="207"/>
      <c r="B119" s="204"/>
      <c r="C119" s="236"/>
      <c r="D119" s="219" t="s">
        <v>2129</v>
      </c>
      <c r="E119" s="221" t="s">
        <v>2130</v>
      </c>
      <c r="F119" s="221" t="s">
        <v>58</v>
      </c>
      <c r="G119" s="221" t="s">
        <v>1771</v>
      </c>
      <c r="H119" s="242"/>
      <c r="I119" s="242"/>
      <c r="J119" s="242"/>
      <c r="K119" s="242"/>
    </row>
    <row r="120" spans="1:11" s="1" customFormat="1" ht="16" thickBot="1">
      <c r="A120" s="207"/>
      <c r="B120" s="204"/>
      <c r="C120" s="236"/>
      <c r="D120" s="219" t="s">
        <v>2131</v>
      </c>
      <c r="E120" s="221" t="s">
        <v>2132</v>
      </c>
      <c r="F120" s="221" t="s">
        <v>23</v>
      </c>
      <c r="G120" s="221" t="s">
        <v>599</v>
      </c>
      <c r="H120" s="242"/>
      <c r="I120" s="242"/>
      <c r="J120" s="242"/>
      <c r="K120" s="242"/>
    </row>
    <row r="121" spans="1:11" s="1" customFormat="1" ht="16" thickBot="1">
      <c r="A121" s="207"/>
      <c r="B121" s="204"/>
      <c r="C121" s="236"/>
      <c r="D121" s="219" t="s">
        <v>2133</v>
      </c>
      <c r="E121" s="221" t="s">
        <v>2134</v>
      </c>
      <c r="F121" s="221" t="s">
        <v>16</v>
      </c>
      <c r="G121" s="221" t="s">
        <v>2064</v>
      </c>
      <c r="H121" s="242"/>
      <c r="I121" s="242"/>
      <c r="J121" s="242"/>
      <c r="K121" s="242"/>
    </row>
    <row r="122" spans="1:11" s="1" customFormat="1" ht="16" thickBot="1">
      <c r="A122" s="207"/>
      <c r="B122" s="204"/>
      <c r="C122" s="236" t="s">
        <v>1685</v>
      </c>
      <c r="D122" s="219" t="s">
        <v>2135</v>
      </c>
      <c r="E122" s="221" t="s">
        <v>2136</v>
      </c>
      <c r="F122" s="221" t="s">
        <v>23</v>
      </c>
      <c r="G122" s="221" t="s">
        <v>2070</v>
      </c>
      <c r="H122" s="242"/>
      <c r="I122" s="242"/>
      <c r="J122" s="242"/>
      <c r="K122" s="242"/>
    </row>
    <row r="123" spans="1:11" s="1" customFormat="1" ht="16" thickBot="1">
      <c r="A123" s="207"/>
      <c r="B123" s="204"/>
      <c r="C123" s="236"/>
      <c r="D123" s="219" t="s">
        <v>2137</v>
      </c>
      <c r="E123" s="221" t="s">
        <v>2138</v>
      </c>
      <c r="F123" s="221" t="s">
        <v>16</v>
      </c>
      <c r="G123" s="221" t="s">
        <v>2081</v>
      </c>
      <c r="H123" s="242"/>
      <c r="I123" s="242"/>
      <c r="J123" s="242"/>
      <c r="K123" s="242"/>
    </row>
    <row r="124" spans="1:11" s="1" customFormat="1" ht="16" thickBot="1">
      <c r="A124" s="207"/>
      <c r="B124" s="204"/>
      <c r="C124" s="236"/>
      <c r="D124" s="219" t="s">
        <v>2139</v>
      </c>
      <c r="E124" s="221" t="s">
        <v>2140</v>
      </c>
      <c r="F124" s="221" t="s">
        <v>58</v>
      </c>
      <c r="G124" s="221" t="s">
        <v>1786</v>
      </c>
      <c r="H124" s="242"/>
      <c r="I124" s="242"/>
      <c r="J124" s="242"/>
      <c r="K124" s="242"/>
    </row>
    <row r="125" spans="1:11" s="1" customFormat="1" ht="16" thickBot="1">
      <c r="A125" s="207"/>
      <c r="B125" s="204"/>
      <c r="C125" s="236"/>
      <c r="D125" s="219" t="s">
        <v>2141</v>
      </c>
      <c r="E125" s="221" t="s">
        <v>2142</v>
      </c>
      <c r="F125" s="221" t="s">
        <v>16</v>
      </c>
      <c r="G125" s="221" t="s">
        <v>2064</v>
      </c>
      <c r="H125" s="242"/>
      <c r="I125" s="242"/>
      <c r="J125" s="242"/>
      <c r="K125" s="242"/>
    </row>
    <row r="126" spans="1:11" ht="16" thickBot="1">
      <c r="A126" s="207"/>
      <c r="B126" s="205"/>
      <c r="C126" s="236"/>
      <c r="D126" s="219" t="s">
        <v>2143</v>
      </c>
      <c r="E126" s="221" t="s">
        <v>2144</v>
      </c>
      <c r="F126" s="221" t="s">
        <v>23</v>
      </c>
      <c r="G126" s="221" t="s">
        <v>2145</v>
      </c>
      <c r="H126" s="242"/>
      <c r="I126" s="242"/>
      <c r="J126" s="242"/>
      <c r="K126" s="242"/>
    </row>
    <row r="127" spans="1:11" s="1" customFormat="1" ht="16" thickBot="1">
      <c r="A127" s="207"/>
      <c r="B127" s="203" t="s">
        <v>1652</v>
      </c>
      <c r="C127" s="236" t="s">
        <v>1686</v>
      </c>
      <c r="D127" s="219" t="s">
        <v>2146</v>
      </c>
      <c r="E127" s="221" t="s">
        <v>2147</v>
      </c>
      <c r="F127" s="221" t="s">
        <v>16</v>
      </c>
      <c r="G127" s="221" t="s">
        <v>599</v>
      </c>
      <c r="H127" s="242"/>
      <c r="I127" s="242"/>
      <c r="J127" s="242"/>
      <c r="K127" s="242"/>
    </row>
    <row r="128" spans="1:11" s="1" customFormat="1" ht="16" thickBot="1">
      <c r="A128" s="207"/>
      <c r="B128" s="204"/>
      <c r="C128" s="236"/>
      <c r="D128" s="219" t="s">
        <v>2148</v>
      </c>
      <c r="E128" s="221" t="s">
        <v>2149</v>
      </c>
      <c r="F128" s="221" t="s">
        <v>23</v>
      </c>
      <c r="G128" s="221" t="s">
        <v>1786</v>
      </c>
      <c r="H128" s="242"/>
      <c r="I128" s="242"/>
      <c r="J128" s="242"/>
      <c r="K128" s="242"/>
    </row>
    <row r="129" spans="1:11" s="1" customFormat="1" ht="16" thickBot="1">
      <c r="A129" s="207"/>
      <c r="B129" s="204"/>
      <c r="C129" s="236"/>
      <c r="D129" s="219" t="s">
        <v>2150</v>
      </c>
      <c r="E129" s="221" t="s">
        <v>2151</v>
      </c>
      <c r="F129" s="221" t="s">
        <v>16</v>
      </c>
      <c r="G129" s="221" t="s">
        <v>646</v>
      </c>
      <c r="H129" s="242"/>
      <c r="I129" s="242"/>
      <c r="J129" s="242"/>
      <c r="K129" s="242"/>
    </row>
    <row r="130" spans="1:11" s="1" customFormat="1" ht="16" thickBot="1">
      <c r="A130" s="207"/>
      <c r="B130" s="204"/>
      <c r="C130" s="236"/>
      <c r="D130" s="219" t="s">
        <v>2152</v>
      </c>
      <c r="E130" s="221" t="s">
        <v>2153</v>
      </c>
      <c r="F130" s="221" t="s">
        <v>58</v>
      </c>
      <c r="G130" s="221" t="s">
        <v>1780</v>
      </c>
      <c r="H130" s="242"/>
      <c r="I130" s="242"/>
      <c r="J130" s="242"/>
      <c r="K130" s="242"/>
    </row>
    <row r="131" spans="1:11" s="1" customFormat="1" ht="16" thickBot="1">
      <c r="A131" s="207"/>
      <c r="B131" s="204"/>
      <c r="C131" s="236"/>
      <c r="D131" s="219" t="s">
        <v>2154</v>
      </c>
      <c r="E131" s="221" t="s">
        <v>2155</v>
      </c>
      <c r="F131" s="221" t="s">
        <v>23</v>
      </c>
      <c r="G131" s="221" t="s">
        <v>1821</v>
      </c>
      <c r="H131" s="242"/>
      <c r="I131" s="242"/>
      <c r="J131" s="242"/>
      <c r="K131" s="242"/>
    </row>
    <row r="132" spans="1:11" s="1" customFormat="1" ht="16" thickBot="1">
      <c r="A132" s="207"/>
      <c r="B132" s="204"/>
      <c r="C132" s="236" t="s">
        <v>1687</v>
      </c>
      <c r="D132" s="219" t="s">
        <v>2156</v>
      </c>
      <c r="E132" s="221" t="s">
        <v>2157</v>
      </c>
      <c r="F132" s="221" t="s">
        <v>16</v>
      </c>
      <c r="G132" s="221" t="s">
        <v>599</v>
      </c>
      <c r="H132" s="242"/>
      <c r="I132" s="242"/>
      <c r="J132" s="242"/>
      <c r="K132" s="242"/>
    </row>
    <row r="133" spans="1:11" s="1" customFormat="1" ht="16" thickBot="1">
      <c r="A133" s="207"/>
      <c r="B133" s="204"/>
      <c r="C133" s="236"/>
      <c r="D133" s="219" t="s">
        <v>2158</v>
      </c>
      <c r="E133" s="221" t="s">
        <v>2159</v>
      </c>
      <c r="F133" s="221" t="s">
        <v>23</v>
      </c>
      <c r="G133" s="221" t="s">
        <v>2145</v>
      </c>
      <c r="H133" s="242"/>
      <c r="I133" s="242"/>
      <c r="J133" s="242"/>
      <c r="K133" s="242"/>
    </row>
    <row r="134" spans="1:11" s="1" customFormat="1" ht="16" thickBot="1">
      <c r="A134" s="207"/>
      <c r="B134" s="204"/>
      <c r="C134" s="236"/>
      <c r="D134" s="219" t="s">
        <v>2160</v>
      </c>
      <c r="E134" s="221" t="s">
        <v>2161</v>
      </c>
      <c r="F134" s="221" t="s">
        <v>16</v>
      </c>
      <c r="G134" s="221" t="s">
        <v>2065</v>
      </c>
      <c r="H134" s="242"/>
      <c r="I134" s="242"/>
      <c r="J134" s="242"/>
      <c r="K134" s="242"/>
    </row>
    <row r="135" spans="1:11" s="1" customFormat="1" ht="16" thickBot="1">
      <c r="A135" s="207"/>
      <c r="B135" s="204"/>
      <c r="C135" s="236"/>
      <c r="D135" s="219" t="s">
        <v>2162</v>
      </c>
      <c r="E135" s="221" t="s">
        <v>2163</v>
      </c>
      <c r="F135" s="221" t="s">
        <v>58</v>
      </c>
      <c r="G135" s="221" t="s">
        <v>1821</v>
      </c>
      <c r="H135" s="242"/>
      <c r="I135" s="242"/>
      <c r="J135" s="242"/>
      <c r="K135" s="242"/>
    </row>
    <row r="136" spans="1:11" s="1" customFormat="1" ht="16" thickBot="1">
      <c r="A136" s="207"/>
      <c r="B136" s="204"/>
      <c r="C136" s="236"/>
      <c r="D136" s="219" t="s">
        <v>2164</v>
      </c>
      <c r="E136" s="221" t="s">
        <v>2165</v>
      </c>
      <c r="F136" s="221" t="s">
        <v>23</v>
      </c>
      <c r="G136" s="221" t="s">
        <v>1771</v>
      </c>
      <c r="H136" s="242"/>
      <c r="I136" s="242"/>
      <c r="J136" s="242"/>
      <c r="K136" s="242"/>
    </row>
    <row r="137" spans="1:11" s="1" customFormat="1" ht="16" thickBot="1">
      <c r="A137" s="207"/>
      <c r="B137" s="204"/>
      <c r="C137" s="236" t="s">
        <v>1688</v>
      </c>
      <c r="D137" s="219" t="s">
        <v>2166</v>
      </c>
      <c r="E137" s="221" t="s">
        <v>2167</v>
      </c>
      <c r="F137" s="221" t="s">
        <v>23</v>
      </c>
      <c r="G137" s="221" t="s">
        <v>1793</v>
      </c>
      <c r="H137" s="242"/>
      <c r="I137" s="242"/>
      <c r="J137" s="242"/>
      <c r="K137" s="242"/>
    </row>
    <row r="138" spans="1:11" s="1" customFormat="1" ht="16" thickBot="1">
      <c r="A138" s="207"/>
      <c r="B138" s="204"/>
      <c r="C138" s="236"/>
      <c r="D138" s="219" t="s">
        <v>2168</v>
      </c>
      <c r="E138" s="221" t="s">
        <v>2169</v>
      </c>
      <c r="F138" s="221" t="s">
        <v>16</v>
      </c>
      <c r="G138" s="221" t="s">
        <v>2092</v>
      </c>
      <c r="H138" s="242"/>
      <c r="I138" s="242"/>
      <c r="J138" s="242"/>
      <c r="K138" s="242"/>
    </row>
    <row r="139" spans="1:11" s="1" customFormat="1" ht="16" thickBot="1">
      <c r="A139" s="207"/>
      <c r="B139" s="204"/>
      <c r="C139" s="236"/>
      <c r="D139" s="219" t="s">
        <v>2170</v>
      </c>
      <c r="E139" s="221" t="s">
        <v>2171</v>
      </c>
      <c r="F139" s="221" t="s">
        <v>58</v>
      </c>
      <c r="G139" s="221" t="s">
        <v>2064</v>
      </c>
      <c r="H139" s="242"/>
      <c r="I139" s="242"/>
      <c r="J139" s="242"/>
      <c r="K139" s="242"/>
    </row>
    <row r="140" spans="1:11" s="1" customFormat="1" ht="16" thickBot="1">
      <c r="A140" s="207"/>
      <c r="B140" s="204"/>
      <c r="C140" s="236"/>
      <c r="D140" s="219" t="s">
        <v>2172</v>
      </c>
      <c r="E140" s="221" t="s">
        <v>2173</v>
      </c>
      <c r="F140" s="221" t="s">
        <v>23</v>
      </c>
      <c r="G140" s="221" t="s">
        <v>1786</v>
      </c>
      <c r="H140" s="242"/>
      <c r="I140" s="242"/>
      <c r="J140" s="242"/>
      <c r="K140" s="242"/>
    </row>
    <row r="141" spans="1:11" s="1" customFormat="1" ht="16" thickBot="1">
      <c r="A141" s="207"/>
      <c r="B141" s="204"/>
      <c r="C141" s="236"/>
      <c r="D141" s="219" t="s">
        <v>2174</v>
      </c>
      <c r="E141" s="221" t="s">
        <v>2175</v>
      </c>
      <c r="F141" s="221" t="s">
        <v>16</v>
      </c>
      <c r="G141" s="221" t="s">
        <v>2176</v>
      </c>
      <c r="H141" s="242"/>
      <c r="I141" s="242"/>
      <c r="J141" s="242"/>
      <c r="K141" s="242"/>
    </row>
    <row r="142" spans="1:11" s="1" customFormat="1" ht="16" thickBot="1">
      <c r="A142" s="207"/>
      <c r="B142" s="204"/>
      <c r="C142" s="236" t="s">
        <v>1689</v>
      </c>
      <c r="D142" s="219" t="s">
        <v>2177</v>
      </c>
      <c r="E142" s="221" t="s">
        <v>2178</v>
      </c>
      <c r="F142" s="221" t="s">
        <v>16</v>
      </c>
      <c r="G142" s="221" t="s">
        <v>1793</v>
      </c>
      <c r="H142" s="242"/>
      <c r="I142" s="242"/>
      <c r="J142" s="242"/>
      <c r="K142" s="242"/>
    </row>
    <row r="143" spans="1:11" s="1" customFormat="1" ht="16" thickBot="1">
      <c r="A143" s="207"/>
      <c r="B143" s="204"/>
      <c r="C143" s="236"/>
      <c r="D143" s="219" t="s">
        <v>2179</v>
      </c>
      <c r="E143" s="221" t="s">
        <v>2180</v>
      </c>
      <c r="F143" s="221" t="s">
        <v>23</v>
      </c>
      <c r="G143" s="221" t="s">
        <v>1786</v>
      </c>
      <c r="H143" s="242"/>
      <c r="I143" s="242"/>
      <c r="J143" s="242"/>
      <c r="K143" s="242"/>
    </row>
    <row r="144" spans="1:11" s="1" customFormat="1" ht="16" thickBot="1">
      <c r="A144" s="207"/>
      <c r="B144" s="204"/>
      <c r="C144" s="236"/>
      <c r="D144" s="219" t="s">
        <v>2181</v>
      </c>
      <c r="E144" s="221" t="s">
        <v>2182</v>
      </c>
      <c r="F144" s="221" t="s">
        <v>58</v>
      </c>
      <c r="G144" s="221" t="s">
        <v>2064</v>
      </c>
      <c r="H144" s="242"/>
      <c r="I144" s="242"/>
      <c r="J144" s="242"/>
      <c r="K144" s="242"/>
    </row>
    <row r="145" spans="1:11" s="1" customFormat="1" ht="16" thickBot="1">
      <c r="A145" s="207"/>
      <c r="B145" s="204"/>
      <c r="C145" s="236"/>
      <c r="D145" s="219" t="s">
        <v>2183</v>
      </c>
      <c r="E145" s="221" t="s">
        <v>2184</v>
      </c>
      <c r="F145" s="221" t="s">
        <v>16</v>
      </c>
      <c r="G145" s="221" t="s">
        <v>599</v>
      </c>
      <c r="H145" s="242"/>
      <c r="I145" s="242"/>
      <c r="J145" s="242"/>
      <c r="K145" s="242"/>
    </row>
    <row r="146" spans="1:11" s="1" customFormat="1" ht="16" thickBot="1">
      <c r="A146" s="207"/>
      <c r="B146" s="204"/>
      <c r="C146" s="236"/>
      <c r="D146" s="219" t="s">
        <v>2185</v>
      </c>
      <c r="E146" s="221" t="s">
        <v>2186</v>
      </c>
      <c r="F146" s="221" t="s">
        <v>23</v>
      </c>
      <c r="G146" s="221" t="s">
        <v>1771</v>
      </c>
      <c r="H146" s="242"/>
      <c r="I146" s="242"/>
      <c r="J146" s="242"/>
      <c r="K146" s="242"/>
    </row>
    <row r="147" spans="1:11" s="1" customFormat="1" ht="16" thickBot="1">
      <c r="A147" s="207"/>
      <c r="B147" s="204"/>
      <c r="C147" s="236" t="s">
        <v>1690</v>
      </c>
      <c r="D147" s="219" t="s">
        <v>2187</v>
      </c>
      <c r="E147" s="221" t="s">
        <v>2188</v>
      </c>
      <c r="F147" s="221" t="s">
        <v>23</v>
      </c>
      <c r="G147" s="221" t="s">
        <v>2065</v>
      </c>
      <c r="H147" s="242"/>
      <c r="I147" s="242"/>
      <c r="J147" s="242"/>
      <c r="K147" s="242"/>
    </row>
    <row r="148" spans="1:11" s="1" customFormat="1" ht="16" thickBot="1">
      <c r="A148" s="207"/>
      <c r="B148" s="204"/>
      <c r="C148" s="236"/>
      <c r="D148" s="219" t="s">
        <v>2189</v>
      </c>
      <c r="E148" s="221" t="s">
        <v>2190</v>
      </c>
      <c r="F148" s="221" t="s">
        <v>16</v>
      </c>
      <c r="G148" s="221" t="s">
        <v>2191</v>
      </c>
      <c r="H148" s="242"/>
      <c r="I148" s="242"/>
      <c r="J148" s="242"/>
      <c r="K148" s="242"/>
    </row>
    <row r="149" spans="1:11" s="1" customFormat="1" ht="16" thickBot="1">
      <c r="A149" s="207"/>
      <c r="B149" s="204"/>
      <c r="C149" s="236"/>
      <c r="D149" s="219" t="s">
        <v>2192</v>
      </c>
      <c r="E149" s="221" t="s">
        <v>2193</v>
      </c>
      <c r="F149" s="221" t="s">
        <v>23</v>
      </c>
      <c r="G149" s="221" t="s">
        <v>2145</v>
      </c>
      <c r="H149" s="242"/>
      <c r="I149" s="242"/>
      <c r="J149" s="242"/>
      <c r="K149" s="242"/>
    </row>
    <row r="150" spans="1:11" s="1" customFormat="1" ht="16" thickBot="1">
      <c r="A150" s="207"/>
      <c r="B150" s="204"/>
      <c r="C150" s="236"/>
      <c r="D150" s="219" t="s">
        <v>2194</v>
      </c>
      <c r="E150" s="221" t="s">
        <v>2195</v>
      </c>
      <c r="F150" s="221" t="s">
        <v>16</v>
      </c>
      <c r="G150" s="221" t="s">
        <v>1780</v>
      </c>
      <c r="H150" s="242"/>
      <c r="I150" s="242"/>
      <c r="J150" s="242"/>
      <c r="K150" s="242"/>
    </row>
    <row r="151" spans="1:11" ht="16" thickBot="1">
      <c r="A151" s="207"/>
      <c r="B151" s="205"/>
      <c r="C151" s="236"/>
      <c r="D151" s="219" t="s">
        <v>2196</v>
      </c>
      <c r="E151" s="221" t="s">
        <v>2197</v>
      </c>
      <c r="F151" s="221" t="s">
        <v>58</v>
      </c>
      <c r="G151" s="221" t="s">
        <v>2198</v>
      </c>
      <c r="H151" s="242"/>
      <c r="I151" s="242"/>
      <c r="J151" s="242"/>
      <c r="K151" s="242"/>
    </row>
    <row r="152" spans="1:11" s="1" customFormat="1" ht="16" thickBot="1">
      <c r="A152" s="207"/>
      <c r="B152" s="203" t="s">
        <v>1653</v>
      </c>
      <c r="C152" s="236" t="s">
        <v>1691</v>
      </c>
      <c r="D152" s="215" t="s">
        <v>2199</v>
      </c>
      <c r="E152" s="217" t="s">
        <v>2200</v>
      </c>
      <c r="F152" s="217" t="s">
        <v>16</v>
      </c>
      <c r="G152" s="217" t="s">
        <v>1793</v>
      </c>
      <c r="H152" s="242"/>
      <c r="I152" s="242"/>
      <c r="J152" s="242"/>
      <c r="K152" s="242"/>
    </row>
    <row r="153" spans="1:11" s="1" customFormat="1" ht="16" thickBot="1">
      <c r="A153" s="207"/>
      <c r="B153" s="204"/>
      <c r="C153" s="236"/>
      <c r="D153" s="219" t="s">
        <v>2201</v>
      </c>
      <c r="E153" s="221" t="s">
        <v>2202</v>
      </c>
      <c r="F153" s="221" t="s">
        <v>23</v>
      </c>
      <c r="G153" s="221" t="s">
        <v>1771</v>
      </c>
      <c r="H153" s="242"/>
      <c r="I153" s="242"/>
      <c r="J153" s="242"/>
      <c r="K153" s="242"/>
    </row>
    <row r="154" spans="1:11" s="1" customFormat="1" ht="16" thickBot="1">
      <c r="A154" s="207"/>
      <c r="B154" s="204"/>
      <c r="C154" s="236"/>
      <c r="D154" s="219" t="s">
        <v>2203</v>
      </c>
      <c r="E154" s="221" t="s">
        <v>2204</v>
      </c>
      <c r="F154" s="221" t="s">
        <v>16</v>
      </c>
      <c r="G154" s="221" t="s">
        <v>1786</v>
      </c>
      <c r="H154" s="242"/>
      <c r="I154" s="242"/>
      <c r="J154" s="242"/>
      <c r="K154" s="242"/>
    </row>
    <row r="155" spans="1:11" s="1" customFormat="1" ht="16" thickBot="1">
      <c r="A155" s="207"/>
      <c r="B155" s="204"/>
      <c r="C155" s="236"/>
      <c r="D155" s="219" t="s">
        <v>2205</v>
      </c>
      <c r="E155" s="221" t="s">
        <v>2206</v>
      </c>
      <c r="F155" s="221" t="s">
        <v>58</v>
      </c>
      <c r="G155" s="221" t="s">
        <v>658</v>
      </c>
      <c r="H155" s="242"/>
      <c r="I155" s="242"/>
      <c r="J155" s="242"/>
      <c r="K155" s="242"/>
    </row>
    <row r="156" spans="1:11" s="1" customFormat="1" ht="16" thickBot="1">
      <c r="A156" s="207"/>
      <c r="B156" s="204"/>
      <c r="C156" s="236"/>
      <c r="D156" s="219" t="s">
        <v>2207</v>
      </c>
      <c r="E156" s="221" t="s">
        <v>2208</v>
      </c>
      <c r="F156" s="221" t="s">
        <v>23</v>
      </c>
      <c r="G156" s="221" t="s">
        <v>646</v>
      </c>
      <c r="H156" s="242"/>
      <c r="I156" s="242"/>
      <c r="J156" s="242"/>
      <c r="K156" s="242"/>
    </row>
    <row r="157" spans="1:11" s="1" customFormat="1" ht="16" thickBot="1">
      <c r="A157" s="207"/>
      <c r="B157" s="204"/>
      <c r="C157" s="236" t="s">
        <v>1692</v>
      </c>
      <c r="D157" s="219" t="s">
        <v>2209</v>
      </c>
      <c r="E157" s="221" t="s">
        <v>2210</v>
      </c>
      <c r="F157" s="221" t="s">
        <v>23</v>
      </c>
      <c r="G157" s="221" t="s">
        <v>1821</v>
      </c>
      <c r="H157" s="242"/>
      <c r="I157" s="242"/>
      <c r="J157" s="242"/>
      <c r="K157" s="242"/>
    </row>
    <row r="158" spans="1:11" s="1" customFormat="1" ht="16" thickBot="1">
      <c r="A158" s="207"/>
      <c r="B158" s="204"/>
      <c r="C158" s="236"/>
      <c r="D158" s="219" t="s">
        <v>2211</v>
      </c>
      <c r="E158" s="221" t="s">
        <v>2212</v>
      </c>
      <c r="F158" s="221" t="s">
        <v>16</v>
      </c>
      <c r="G158" s="221" t="s">
        <v>2076</v>
      </c>
      <c r="H158" s="242"/>
      <c r="I158" s="242"/>
      <c r="J158" s="242"/>
      <c r="K158" s="242"/>
    </row>
    <row r="159" spans="1:11" s="1" customFormat="1" ht="16" thickBot="1">
      <c r="A159" s="207"/>
      <c r="B159" s="204"/>
      <c r="C159" s="236"/>
      <c r="D159" s="219" t="s">
        <v>2213</v>
      </c>
      <c r="E159" s="221" t="s">
        <v>2214</v>
      </c>
      <c r="F159" s="221" t="s">
        <v>58</v>
      </c>
      <c r="G159" s="221" t="s">
        <v>2070</v>
      </c>
      <c r="H159" s="242"/>
      <c r="I159" s="242"/>
      <c r="J159" s="242"/>
      <c r="K159" s="242"/>
    </row>
    <row r="160" spans="1:11" s="1" customFormat="1" ht="16" thickBot="1">
      <c r="A160" s="207"/>
      <c r="B160" s="204"/>
      <c r="C160" s="236"/>
      <c r="D160" s="219" t="s">
        <v>2215</v>
      </c>
      <c r="E160" s="221" t="s">
        <v>2216</v>
      </c>
      <c r="F160" s="221" t="s">
        <v>16</v>
      </c>
      <c r="G160" s="221" t="s">
        <v>2217</v>
      </c>
      <c r="H160" s="242"/>
      <c r="I160" s="242"/>
      <c r="J160" s="242"/>
      <c r="K160" s="242"/>
    </row>
    <row r="161" spans="1:11" s="1" customFormat="1" ht="16" thickBot="1">
      <c r="A161" s="207"/>
      <c r="B161" s="204"/>
      <c r="C161" s="236"/>
      <c r="D161" s="219" t="s">
        <v>2218</v>
      </c>
      <c r="E161" s="221" t="s">
        <v>2219</v>
      </c>
      <c r="F161" s="221" t="s">
        <v>23</v>
      </c>
      <c r="G161" s="221" t="s">
        <v>671</v>
      </c>
      <c r="H161" s="242"/>
      <c r="I161" s="242"/>
      <c r="J161" s="242"/>
      <c r="K161" s="242"/>
    </row>
    <row r="162" spans="1:11" s="1" customFormat="1" ht="16" thickBot="1">
      <c r="A162" s="207"/>
      <c r="B162" s="204"/>
      <c r="C162" s="236" t="s">
        <v>1693</v>
      </c>
      <c r="D162" s="219" t="s">
        <v>2220</v>
      </c>
      <c r="E162" s="221" t="s">
        <v>2221</v>
      </c>
      <c r="F162" s="221" t="s">
        <v>16</v>
      </c>
      <c r="G162" s="221" t="s">
        <v>1812</v>
      </c>
      <c r="H162" s="242"/>
      <c r="I162" s="242"/>
      <c r="J162" s="242"/>
      <c r="K162" s="242"/>
    </row>
    <row r="163" spans="1:11" s="1" customFormat="1" ht="16" thickBot="1">
      <c r="A163" s="207"/>
      <c r="B163" s="204"/>
      <c r="C163" s="236"/>
      <c r="D163" s="219" t="s">
        <v>2222</v>
      </c>
      <c r="E163" s="221" t="s">
        <v>2223</v>
      </c>
      <c r="F163" s="221" t="s">
        <v>23</v>
      </c>
      <c r="G163" s="221" t="s">
        <v>2078</v>
      </c>
      <c r="H163" s="242"/>
      <c r="I163" s="242"/>
      <c r="J163" s="242"/>
      <c r="K163" s="242"/>
    </row>
    <row r="164" spans="1:11" s="1" customFormat="1" ht="16" thickBot="1">
      <c r="A164" s="207"/>
      <c r="B164" s="204"/>
      <c r="C164" s="236"/>
      <c r="D164" s="219" t="s">
        <v>2224</v>
      </c>
      <c r="E164" s="221" t="s">
        <v>2225</v>
      </c>
      <c r="F164" s="221" t="s">
        <v>16</v>
      </c>
      <c r="G164" s="221" t="s">
        <v>646</v>
      </c>
      <c r="H164" s="242"/>
      <c r="I164" s="242"/>
      <c r="J164" s="242"/>
      <c r="K164" s="242"/>
    </row>
    <row r="165" spans="1:11" s="1" customFormat="1" ht="16" thickBot="1">
      <c r="A165" s="207"/>
      <c r="B165" s="204"/>
      <c r="C165" s="236"/>
      <c r="D165" s="219" t="s">
        <v>2226</v>
      </c>
      <c r="E165" s="221" t="s">
        <v>2227</v>
      </c>
      <c r="F165" s="221" t="s">
        <v>58</v>
      </c>
      <c r="G165" s="221" t="s">
        <v>2065</v>
      </c>
      <c r="H165" s="242"/>
      <c r="I165" s="242"/>
      <c r="J165" s="242"/>
      <c r="K165" s="242"/>
    </row>
    <row r="166" spans="1:11" s="1" customFormat="1" ht="16" thickBot="1">
      <c r="A166" s="207"/>
      <c r="B166" s="204"/>
      <c r="C166" s="236"/>
      <c r="D166" s="219" t="s">
        <v>2228</v>
      </c>
      <c r="E166" s="221" t="s">
        <v>2229</v>
      </c>
      <c r="F166" s="221" t="s">
        <v>23</v>
      </c>
      <c r="G166" s="221" t="s">
        <v>2230</v>
      </c>
      <c r="H166" s="242"/>
      <c r="I166" s="242"/>
      <c r="J166" s="242"/>
      <c r="K166" s="242"/>
    </row>
    <row r="167" spans="1:11" s="1" customFormat="1" ht="16" thickBot="1">
      <c r="A167" s="207"/>
      <c r="B167" s="204"/>
      <c r="C167" s="236" t="s">
        <v>1694</v>
      </c>
      <c r="D167" s="219" t="s">
        <v>2231</v>
      </c>
      <c r="E167" s="221" t="s">
        <v>2232</v>
      </c>
      <c r="F167" s="221" t="s">
        <v>16</v>
      </c>
      <c r="G167" s="221" t="s">
        <v>2076</v>
      </c>
      <c r="H167" s="242"/>
      <c r="I167" s="242"/>
      <c r="J167" s="242"/>
      <c r="K167" s="242"/>
    </row>
    <row r="168" spans="1:11" s="1" customFormat="1" ht="16" thickBot="1">
      <c r="A168" s="207"/>
      <c r="B168" s="204"/>
      <c r="C168" s="236"/>
      <c r="D168" s="219" t="s">
        <v>2233</v>
      </c>
      <c r="E168" s="221" t="s">
        <v>2234</v>
      </c>
      <c r="F168" s="221" t="s">
        <v>23</v>
      </c>
      <c r="G168" s="221" t="s">
        <v>2235</v>
      </c>
      <c r="H168" s="242"/>
      <c r="I168" s="242"/>
      <c r="J168" s="242"/>
      <c r="K168" s="242"/>
    </row>
    <row r="169" spans="1:11" s="1" customFormat="1" ht="16" thickBot="1">
      <c r="A169" s="207"/>
      <c r="B169" s="204"/>
      <c r="C169" s="236"/>
      <c r="D169" s="219" t="s">
        <v>2236</v>
      </c>
      <c r="E169" s="221" t="s">
        <v>2237</v>
      </c>
      <c r="F169" s="221" t="s">
        <v>58</v>
      </c>
      <c r="G169" s="221" t="s">
        <v>2081</v>
      </c>
      <c r="H169" s="242"/>
      <c r="I169" s="242"/>
      <c r="J169" s="242"/>
      <c r="K169" s="242"/>
    </row>
    <row r="170" spans="1:11" s="1" customFormat="1" ht="16" thickBot="1">
      <c r="A170" s="207"/>
      <c r="B170" s="204"/>
      <c r="C170" s="236"/>
      <c r="D170" s="219" t="s">
        <v>2238</v>
      </c>
      <c r="E170" s="221" t="s">
        <v>2239</v>
      </c>
      <c r="F170" s="221" t="s">
        <v>16</v>
      </c>
      <c r="G170" s="221" t="s">
        <v>2191</v>
      </c>
      <c r="H170" s="242"/>
      <c r="I170" s="242"/>
      <c r="J170" s="242"/>
      <c r="K170" s="242"/>
    </row>
    <row r="171" spans="1:11" s="1" customFormat="1" ht="16" thickBot="1">
      <c r="A171" s="207"/>
      <c r="B171" s="204"/>
      <c r="C171" s="236"/>
      <c r="D171" s="219" t="s">
        <v>2240</v>
      </c>
      <c r="E171" s="221" t="s">
        <v>2241</v>
      </c>
      <c r="F171" s="221" t="s">
        <v>23</v>
      </c>
      <c r="G171" s="221" t="s">
        <v>1793</v>
      </c>
      <c r="H171" s="242"/>
      <c r="I171" s="242"/>
      <c r="J171" s="242"/>
      <c r="K171" s="242"/>
    </row>
    <row r="172" spans="1:11" s="1" customFormat="1" ht="16" thickBot="1">
      <c r="A172" s="207"/>
      <c r="B172" s="204"/>
      <c r="C172" s="236" t="s">
        <v>1695</v>
      </c>
      <c r="D172" s="219" t="s">
        <v>2242</v>
      </c>
      <c r="E172" s="221" t="s">
        <v>2243</v>
      </c>
      <c r="F172" s="221" t="s">
        <v>16</v>
      </c>
      <c r="G172" s="221" t="s">
        <v>1821</v>
      </c>
      <c r="H172" s="242"/>
      <c r="I172" s="242"/>
      <c r="J172" s="242"/>
      <c r="K172" s="242"/>
    </row>
    <row r="173" spans="1:11" s="1" customFormat="1" ht="16" thickBot="1">
      <c r="A173" s="207"/>
      <c r="B173" s="204"/>
      <c r="C173" s="236"/>
      <c r="D173" s="219" t="s">
        <v>2244</v>
      </c>
      <c r="E173" s="221" t="s">
        <v>2245</v>
      </c>
      <c r="F173" s="221" t="s">
        <v>23</v>
      </c>
      <c r="G173" s="221" t="s">
        <v>2064</v>
      </c>
      <c r="H173" s="242"/>
      <c r="I173" s="242"/>
      <c r="J173" s="242"/>
      <c r="K173" s="242"/>
    </row>
    <row r="174" spans="1:11" s="1" customFormat="1" ht="16" thickBot="1">
      <c r="A174" s="207"/>
      <c r="B174" s="204"/>
      <c r="C174" s="236"/>
      <c r="D174" s="219" t="s">
        <v>2246</v>
      </c>
      <c r="E174" s="221" t="s">
        <v>2247</v>
      </c>
      <c r="F174" s="221" t="s">
        <v>16</v>
      </c>
      <c r="G174" s="221" t="s">
        <v>2248</v>
      </c>
      <c r="H174" s="242"/>
      <c r="I174" s="242"/>
      <c r="J174" s="242"/>
      <c r="K174" s="242"/>
    </row>
    <row r="175" spans="1:11" s="1" customFormat="1" ht="16" thickBot="1">
      <c r="A175" s="207"/>
      <c r="B175" s="204"/>
      <c r="C175" s="236"/>
      <c r="D175" s="219" t="s">
        <v>2249</v>
      </c>
      <c r="E175" s="221" t="s">
        <v>2250</v>
      </c>
      <c r="F175" s="221" t="s">
        <v>58</v>
      </c>
      <c r="G175" s="221" t="s">
        <v>658</v>
      </c>
      <c r="H175" s="242"/>
      <c r="I175" s="242"/>
      <c r="J175" s="242"/>
      <c r="K175" s="242"/>
    </row>
    <row r="176" spans="1:11" ht="16" thickBot="1">
      <c r="A176" s="207"/>
      <c r="B176" s="205"/>
      <c r="C176" s="236"/>
      <c r="D176" s="219" t="s">
        <v>2251</v>
      </c>
      <c r="E176" s="221" t="s">
        <v>2252</v>
      </c>
      <c r="F176" s="221" t="s">
        <v>23</v>
      </c>
      <c r="G176" s="221" t="s">
        <v>2253</v>
      </c>
      <c r="H176" s="242"/>
      <c r="I176" s="242"/>
      <c r="J176" s="242"/>
      <c r="K176" s="242"/>
    </row>
    <row r="177" spans="1:11" s="1" customFormat="1" ht="16" thickBot="1">
      <c r="A177" s="207"/>
      <c r="B177" s="203" t="s">
        <v>1654</v>
      </c>
      <c r="C177" s="236" t="s">
        <v>1696</v>
      </c>
      <c r="D177" s="219" t="s">
        <v>2254</v>
      </c>
      <c r="E177" s="221" t="s">
        <v>2255</v>
      </c>
      <c r="F177" s="221" t="s">
        <v>16</v>
      </c>
      <c r="G177" s="221" t="s">
        <v>599</v>
      </c>
      <c r="H177" s="242"/>
      <c r="I177" s="242"/>
      <c r="J177" s="242"/>
      <c r="K177" s="242"/>
    </row>
    <row r="178" spans="1:11" s="1" customFormat="1" ht="16" thickBot="1">
      <c r="A178" s="207"/>
      <c r="B178" s="204"/>
      <c r="C178" s="236"/>
      <c r="D178" s="219" t="s">
        <v>2256</v>
      </c>
      <c r="E178" s="221" t="s">
        <v>2257</v>
      </c>
      <c r="F178" s="221" t="s">
        <v>23</v>
      </c>
      <c r="G178" s="221" t="s">
        <v>2108</v>
      </c>
      <c r="H178" s="242"/>
      <c r="I178" s="242"/>
      <c r="J178" s="242"/>
      <c r="K178" s="242"/>
    </row>
    <row r="179" spans="1:11" s="1" customFormat="1" ht="16" thickBot="1">
      <c r="A179" s="207"/>
      <c r="B179" s="204"/>
      <c r="C179" s="236"/>
      <c r="D179" s="219" t="s">
        <v>2098</v>
      </c>
      <c r="E179" s="221" t="s">
        <v>2258</v>
      </c>
      <c r="F179" s="221" t="s">
        <v>58</v>
      </c>
      <c r="G179" s="221" t="s">
        <v>646</v>
      </c>
      <c r="H179" s="242"/>
      <c r="I179" s="242"/>
      <c r="J179" s="242"/>
      <c r="K179" s="242"/>
    </row>
    <row r="180" spans="1:11" s="1" customFormat="1" ht="16" thickBot="1">
      <c r="A180" s="207"/>
      <c r="B180" s="204"/>
      <c r="C180" s="236"/>
      <c r="D180" s="219" t="s">
        <v>2259</v>
      </c>
      <c r="E180" s="221" t="s">
        <v>2260</v>
      </c>
      <c r="F180" s="221" t="s">
        <v>16</v>
      </c>
      <c r="G180" s="221" t="s">
        <v>2261</v>
      </c>
      <c r="H180" s="242"/>
      <c r="I180" s="242"/>
      <c r="J180" s="242"/>
      <c r="K180" s="242"/>
    </row>
    <row r="181" spans="1:11" s="1" customFormat="1" ht="16" thickBot="1">
      <c r="A181" s="207"/>
      <c r="B181" s="204"/>
      <c r="C181" s="236"/>
      <c r="D181" s="219" t="s">
        <v>2262</v>
      </c>
      <c r="E181" s="221" t="s">
        <v>2263</v>
      </c>
      <c r="F181" s="221" t="s">
        <v>23</v>
      </c>
      <c r="G181" s="221" t="s">
        <v>2065</v>
      </c>
      <c r="H181" s="242"/>
      <c r="I181" s="242"/>
      <c r="J181" s="242"/>
      <c r="K181" s="242"/>
    </row>
    <row r="182" spans="1:11" s="1" customFormat="1" ht="16" thickBot="1">
      <c r="A182" s="207"/>
      <c r="B182" s="204"/>
      <c r="C182" s="236" t="s">
        <v>1697</v>
      </c>
      <c r="D182" s="215" t="s">
        <v>2264</v>
      </c>
      <c r="E182" s="217" t="s">
        <v>2265</v>
      </c>
      <c r="F182" s="217" t="s">
        <v>16</v>
      </c>
      <c r="G182" s="217" t="s">
        <v>2081</v>
      </c>
      <c r="H182" s="242"/>
      <c r="I182" s="242"/>
      <c r="J182" s="242"/>
      <c r="K182" s="242"/>
    </row>
    <row r="183" spans="1:11" s="1" customFormat="1" ht="16" thickBot="1">
      <c r="A183" s="207"/>
      <c r="B183" s="204"/>
      <c r="C183" s="236"/>
      <c r="D183" s="219" t="s">
        <v>2266</v>
      </c>
      <c r="E183" s="221" t="s">
        <v>2267</v>
      </c>
      <c r="F183" s="221" t="s">
        <v>23</v>
      </c>
      <c r="G183" s="221" t="s">
        <v>2069</v>
      </c>
      <c r="H183" s="242"/>
      <c r="I183" s="242"/>
      <c r="J183" s="242"/>
      <c r="K183" s="242"/>
    </row>
    <row r="184" spans="1:11" s="1" customFormat="1" ht="16" thickBot="1">
      <c r="A184" s="207"/>
      <c r="B184" s="204"/>
      <c r="C184" s="236"/>
      <c r="D184" s="219" t="s">
        <v>2268</v>
      </c>
      <c r="E184" s="221" t="s">
        <v>2269</v>
      </c>
      <c r="F184" s="221" t="s">
        <v>58</v>
      </c>
      <c r="G184" s="221" t="s">
        <v>1780</v>
      </c>
      <c r="H184" s="242"/>
      <c r="I184" s="242"/>
      <c r="J184" s="242"/>
      <c r="K184" s="242"/>
    </row>
    <row r="185" spans="1:11" s="1" customFormat="1" ht="16" thickBot="1">
      <c r="A185" s="207"/>
      <c r="B185" s="204"/>
      <c r="C185" s="236"/>
      <c r="D185" s="219" t="s">
        <v>2270</v>
      </c>
      <c r="E185" s="223" t="s">
        <v>2271</v>
      </c>
      <c r="F185" s="221" t="s">
        <v>16</v>
      </c>
      <c r="G185" s="221" t="s">
        <v>2080</v>
      </c>
      <c r="H185" s="242"/>
      <c r="I185" s="242"/>
      <c r="J185" s="242"/>
      <c r="K185" s="242"/>
    </row>
    <row r="186" spans="1:11" s="1" customFormat="1" ht="16" thickBot="1">
      <c r="A186" s="207"/>
      <c r="B186" s="204"/>
      <c r="C186" s="236"/>
      <c r="D186" s="219" t="s">
        <v>2272</v>
      </c>
      <c r="E186" s="221" t="s">
        <v>2273</v>
      </c>
      <c r="F186" s="221" t="s">
        <v>23</v>
      </c>
      <c r="G186" s="221" t="s">
        <v>599</v>
      </c>
      <c r="H186" s="242"/>
      <c r="I186" s="242"/>
      <c r="J186" s="242"/>
      <c r="K186" s="242"/>
    </row>
    <row r="187" spans="1:11" s="1" customFormat="1" ht="16" thickBot="1">
      <c r="A187" s="207"/>
      <c r="B187" s="204"/>
      <c r="C187" s="236" t="s">
        <v>1698</v>
      </c>
      <c r="D187" s="219" t="s">
        <v>2274</v>
      </c>
      <c r="E187" s="221" t="s">
        <v>2275</v>
      </c>
      <c r="F187" s="221" t="s">
        <v>16</v>
      </c>
      <c r="G187" s="221" t="s">
        <v>2065</v>
      </c>
      <c r="H187" s="242"/>
      <c r="I187" s="242"/>
      <c r="J187" s="242"/>
      <c r="K187" s="242"/>
    </row>
    <row r="188" spans="1:11" s="1" customFormat="1" ht="16" thickBot="1">
      <c r="A188" s="207"/>
      <c r="B188" s="204"/>
      <c r="C188" s="236"/>
      <c r="D188" s="219" t="s">
        <v>2276</v>
      </c>
      <c r="E188" s="221" t="s">
        <v>2277</v>
      </c>
      <c r="F188" s="221" t="s">
        <v>23</v>
      </c>
      <c r="G188" s="221" t="s">
        <v>1771</v>
      </c>
      <c r="H188" s="242"/>
      <c r="I188" s="242"/>
      <c r="J188" s="242"/>
      <c r="K188" s="242"/>
    </row>
    <row r="189" spans="1:11" s="1" customFormat="1" ht="16" thickBot="1">
      <c r="A189" s="207"/>
      <c r="B189" s="204"/>
      <c r="C189" s="236"/>
      <c r="D189" s="219" t="s">
        <v>2278</v>
      </c>
      <c r="E189" s="221" t="s">
        <v>2279</v>
      </c>
      <c r="F189" s="221" t="s">
        <v>16</v>
      </c>
      <c r="G189" s="221" t="s">
        <v>2145</v>
      </c>
      <c r="H189" s="242"/>
      <c r="I189" s="242"/>
      <c r="J189" s="242"/>
      <c r="K189" s="242"/>
    </row>
    <row r="190" spans="1:11" s="1" customFormat="1" ht="16" thickBot="1">
      <c r="A190" s="207"/>
      <c r="B190" s="204"/>
      <c r="C190" s="236"/>
      <c r="D190" s="219" t="s">
        <v>2154</v>
      </c>
      <c r="E190" s="221" t="s">
        <v>2280</v>
      </c>
      <c r="F190" s="221" t="s">
        <v>58</v>
      </c>
      <c r="G190" s="221" t="s">
        <v>1821</v>
      </c>
      <c r="H190" s="242"/>
      <c r="I190" s="242"/>
      <c r="J190" s="242"/>
      <c r="K190" s="242"/>
    </row>
    <row r="191" spans="1:11" s="1" customFormat="1" ht="16" thickBot="1">
      <c r="A191" s="207"/>
      <c r="B191" s="204"/>
      <c r="C191" s="236"/>
      <c r="D191" s="219" t="s">
        <v>2281</v>
      </c>
      <c r="E191" s="221" t="s">
        <v>2282</v>
      </c>
      <c r="F191" s="221" t="s">
        <v>23</v>
      </c>
      <c r="G191" s="221" t="s">
        <v>646</v>
      </c>
      <c r="H191" s="242"/>
      <c r="I191" s="242"/>
      <c r="J191" s="242"/>
      <c r="K191" s="242"/>
    </row>
    <row r="192" spans="1:11" s="1" customFormat="1" ht="16" thickBot="1">
      <c r="A192" s="207"/>
      <c r="B192" s="204"/>
      <c r="C192" s="236" t="s">
        <v>1699</v>
      </c>
      <c r="D192" s="219" t="s">
        <v>2283</v>
      </c>
      <c r="E192" s="221" t="s">
        <v>2284</v>
      </c>
      <c r="F192" s="221" t="s">
        <v>16</v>
      </c>
      <c r="G192" s="221" t="s">
        <v>1786</v>
      </c>
      <c r="H192" s="242"/>
      <c r="I192" s="242"/>
      <c r="J192" s="242"/>
      <c r="K192" s="242"/>
    </row>
    <row r="193" spans="1:11" s="1" customFormat="1" ht="16" thickBot="1">
      <c r="A193" s="207"/>
      <c r="B193" s="204"/>
      <c r="C193" s="236"/>
      <c r="D193" s="219" t="s">
        <v>2285</v>
      </c>
      <c r="E193" s="221" t="s">
        <v>2286</v>
      </c>
      <c r="F193" s="221" t="s">
        <v>23</v>
      </c>
      <c r="G193" s="221" t="s">
        <v>1780</v>
      </c>
      <c r="H193" s="242"/>
      <c r="I193" s="242"/>
      <c r="J193" s="242"/>
      <c r="K193" s="242"/>
    </row>
    <row r="194" spans="1:11" s="1" customFormat="1" ht="16" thickBot="1">
      <c r="A194" s="207"/>
      <c r="B194" s="204"/>
      <c r="C194" s="236"/>
      <c r="D194" s="219" t="s">
        <v>2287</v>
      </c>
      <c r="E194" s="221" t="s">
        <v>2288</v>
      </c>
      <c r="F194" s="221" t="s">
        <v>58</v>
      </c>
      <c r="G194" s="221" t="s">
        <v>1793</v>
      </c>
      <c r="H194" s="242"/>
      <c r="I194" s="242"/>
      <c r="J194" s="242"/>
      <c r="K194" s="242"/>
    </row>
    <row r="195" spans="1:11" s="1" customFormat="1" ht="16" thickBot="1">
      <c r="A195" s="207"/>
      <c r="B195" s="204"/>
      <c r="C195" s="236"/>
      <c r="D195" s="219" t="s">
        <v>2289</v>
      </c>
      <c r="E195" s="221" t="s">
        <v>2290</v>
      </c>
      <c r="F195" s="221" t="s">
        <v>16</v>
      </c>
      <c r="G195" s="221" t="s">
        <v>2070</v>
      </c>
      <c r="H195" s="242"/>
      <c r="I195" s="242"/>
      <c r="J195" s="242"/>
      <c r="K195" s="242"/>
    </row>
    <row r="196" spans="1:11" s="1" customFormat="1" ht="16" thickBot="1">
      <c r="A196" s="207"/>
      <c r="B196" s="204"/>
      <c r="C196" s="236"/>
      <c r="D196" s="219" t="s">
        <v>2291</v>
      </c>
      <c r="E196" s="223" t="s">
        <v>2292</v>
      </c>
      <c r="F196" s="221" t="s">
        <v>23</v>
      </c>
      <c r="G196" s="221" t="s">
        <v>646</v>
      </c>
      <c r="H196" s="242"/>
      <c r="I196" s="242"/>
      <c r="J196" s="242"/>
      <c r="K196" s="242"/>
    </row>
    <row r="197" spans="1:11" s="1" customFormat="1" ht="16" thickBot="1">
      <c r="A197" s="207"/>
      <c r="B197" s="204"/>
      <c r="C197" s="236" t="s">
        <v>1700</v>
      </c>
      <c r="D197" s="219" t="s">
        <v>2293</v>
      </c>
      <c r="E197" s="221" t="s">
        <v>2294</v>
      </c>
      <c r="F197" s="221" t="s">
        <v>16</v>
      </c>
      <c r="G197" s="221" t="s">
        <v>1793</v>
      </c>
      <c r="H197" s="242"/>
      <c r="I197" s="242"/>
      <c r="J197" s="242"/>
      <c r="K197" s="242"/>
    </row>
    <row r="198" spans="1:11" s="1" customFormat="1" ht="16" thickBot="1">
      <c r="A198" s="207"/>
      <c r="B198" s="204"/>
      <c r="C198" s="236"/>
      <c r="D198" s="219" t="s">
        <v>2295</v>
      </c>
      <c r="E198" s="221" t="s">
        <v>2296</v>
      </c>
      <c r="F198" s="221" t="s">
        <v>23</v>
      </c>
      <c r="G198" s="221" t="s">
        <v>1780</v>
      </c>
      <c r="H198" s="242"/>
      <c r="I198" s="242"/>
      <c r="J198" s="242"/>
      <c r="K198" s="242"/>
    </row>
    <row r="199" spans="1:11" s="1" customFormat="1" ht="16" thickBot="1">
      <c r="A199" s="207"/>
      <c r="B199" s="204"/>
      <c r="C199" s="236"/>
      <c r="D199" s="219" t="s">
        <v>2297</v>
      </c>
      <c r="E199" s="221" t="s">
        <v>2298</v>
      </c>
      <c r="F199" s="221" t="s">
        <v>58</v>
      </c>
      <c r="G199" s="221" t="s">
        <v>2299</v>
      </c>
      <c r="H199" s="242"/>
      <c r="I199" s="242"/>
      <c r="J199" s="242"/>
      <c r="K199" s="242"/>
    </row>
    <row r="200" spans="1:11" s="1" customFormat="1" ht="16" thickBot="1">
      <c r="A200" s="207"/>
      <c r="B200" s="204"/>
      <c r="C200" s="236"/>
      <c r="D200" s="219" t="s">
        <v>2300</v>
      </c>
      <c r="E200" s="221" t="s">
        <v>2301</v>
      </c>
      <c r="F200" s="221" t="s">
        <v>16</v>
      </c>
      <c r="G200" s="221" t="s">
        <v>1812</v>
      </c>
      <c r="H200" s="242"/>
      <c r="I200" s="242"/>
      <c r="J200" s="242"/>
      <c r="K200" s="242"/>
    </row>
    <row r="201" spans="1:11" ht="16" thickBot="1">
      <c r="A201" s="207"/>
      <c r="B201" s="205"/>
      <c r="C201" s="236"/>
      <c r="D201" s="219" t="s">
        <v>2302</v>
      </c>
      <c r="E201" s="221" t="s">
        <v>2303</v>
      </c>
      <c r="F201" s="221" t="s">
        <v>23</v>
      </c>
      <c r="G201" s="221" t="s">
        <v>1786</v>
      </c>
      <c r="H201" s="242"/>
      <c r="I201" s="242"/>
      <c r="J201" s="242"/>
      <c r="K201" s="242"/>
    </row>
    <row r="202" spans="1:11" s="1" customFormat="1" ht="16" thickBot="1">
      <c r="A202" s="207"/>
      <c r="B202" s="203" t="s">
        <v>1655</v>
      </c>
      <c r="C202" s="236" t="s">
        <v>1701</v>
      </c>
      <c r="D202" s="219" t="s">
        <v>2304</v>
      </c>
      <c r="E202" s="221" t="s">
        <v>2305</v>
      </c>
      <c r="F202" s="221" t="s">
        <v>16</v>
      </c>
      <c r="G202" s="221" t="s">
        <v>2248</v>
      </c>
      <c r="H202" s="242"/>
      <c r="I202" s="242"/>
      <c r="J202" s="242"/>
      <c r="K202" s="242"/>
    </row>
    <row r="203" spans="1:11" s="1" customFormat="1" ht="16" thickBot="1">
      <c r="A203" s="207"/>
      <c r="B203" s="204"/>
      <c r="C203" s="236"/>
      <c r="D203" s="219" t="s">
        <v>2306</v>
      </c>
      <c r="E203" s="221" t="s">
        <v>2307</v>
      </c>
      <c r="F203" s="221" t="s">
        <v>23</v>
      </c>
      <c r="G203" s="221" t="s">
        <v>1793</v>
      </c>
      <c r="H203" s="242"/>
      <c r="I203" s="242"/>
      <c r="J203" s="242"/>
      <c r="K203" s="242"/>
    </row>
    <row r="204" spans="1:11" s="1" customFormat="1" ht="16" thickBot="1">
      <c r="A204" s="207"/>
      <c r="B204" s="204"/>
      <c r="C204" s="236"/>
      <c r="D204" s="219" t="s">
        <v>2308</v>
      </c>
      <c r="E204" s="221" t="s">
        <v>2309</v>
      </c>
      <c r="F204" s="221" t="s">
        <v>58</v>
      </c>
      <c r="G204" s="221" t="s">
        <v>2077</v>
      </c>
      <c r="H204" s="242"/>
      <c r="I204" s="242"/>
      <c r="J204" s="242"/>
      <c r="K204" s="242"/>
    </row>
    <row r="205" spans="1:11" s="1" customFormat="1" ht="16" thickBot="1">
      <c r="A205" s="207"/>
      <c r="B205" s="204"/>
      <c r="C205" s="236"/>
      <c r="D205" s="219" t="s">
        <v>2310</v>
      </c>
      <c r="E205" s="221" t="s">
        <v>2311</v>
      </c>
      <c r="F205" s="221" t="s">
        <v>16</v>
      </c>
      <c r="G205" s="221" t="s">
        <v>1796</v>
      </c>
      <c r="H205" s="242"/>
      <c r="I205" s="242"/>
      <c r="J205" s="242"/>
      <c r="K205" s="242"/>
    </row>
    <row r="206" spans="1:11" s="1" customFormat="1" ht="16" thickBot="1">
      <c r="A206" s="207"/>
      <c r="B206" s="204"/>
      <c r="C206" s="236"/>
      <c r="D206" s="219" t="s">
        <v>2312</v>
      </c>
      <c r="E206" s="221" t="s">
        <v>2313</v>
      </c>
      <c r="F206" s="221" t="s">
        <v>23</v>
      </c>
      <c r="G206" s="221" t="s">
        <v>2064</v>
      </c>
      <c r="H206" s="242"/>
      <c r="I206" s="242"/>
      <c r="J206" s="242"/>
      <c r="K206" s="242"/>
    </row>
    <row r="207" spans="1:11" s="1" customFormat="1" ht="16" thickBot="1">
      <c r="A207" s="207"/>
      <c r="B207" s="204"/>
      <c r="C207" s="236" t="s">
        <v>1697</v>
      </c>
      <c r="D207" s="215" t="s">
        <v>2314</v>
      </c>
      <c r="E207" s="217" t="s">
        <v>2315</v>
      </c>
      <c r="F207" s="217" t="s">
        <v>23</v>
      </c>
      <c r="G207" s="217" t="s">
        <v>1793</v>
      </c>
      <c r="H207" s="242"/>
      <c r="I207" s="242"/>
      <c r="J207" s="242"/>
      <c r="K207" s="242"/>
    </row>
    <row r="208" spans="1:11" s="1" customFormat="1" ht="16" thickBot="1">
      <c r="A208" s="207"/>
      <c r="B208" s="204"/>
      <c r="C208" s="236"/>
      <c r="D208" s="219" t="s">
        <v>2316</v>
      </c>
      <c r="E208" s="221" t="s">
        <v>2317</v>
      </c>
      <c r="F208" s="221" t="s">
        <v>16</v>
      </c>
      <c r="G208" s="221" t="s">
        <v>1780</v>
      </c>
      <c r="H208" s="242"/>
      <c r="I208" s="242"/>
      <c r="J208" s="242"/>
      <c r="K208" s="242"/>
    </row>
    <row r="209" spans="1:11" s="1" customFormat="1" ht="16" thickBot="1">
      <c r="A209" s="207"/>
      <c r="B209" s="204"/>
      <c r="C209" s="236"/>
      <c r="D209" s="219" t="s">
        <v>2318</v>
      </c>
      <c r="E209" s="221" t="s">
        <v>2319</v>
      </c>
      <c r="F209" s="221" t="s">
        <v>58</v>
      </c>
      <c r="G209" s="221" t="s">
        <v>2068</v>
      </c>
      <c r="H209" s="242"/>
      <c r="I209" s="242"/>
      <c r="J209" s="242"/>
      <c r="K209" s="242"/>
    </row>
    <row r="210" spans="1:11" s="1" customFormat="1" ht="16" thickBot="1">
      <c r="A210" s="207"/>
      <c r="B210" s="204"/>
      <c r="C210" s="236"/>
      <c r="D210" s="219" t="s">
        <v>2320</v>
      </c>
      <c r="E210" s="221" t="s">
        <v>2321</v>
      </c>
      <c r="F210" s="221" t="s">
        <v>16</v>
      </c>
      <c r="G210" s="221" t="s">
        <v>1786</v>
      </c>
      <c r="H210" s="242"/>
      <c r="I210" s="242"/>
      <c r="J210" s="242"/>
      <c r="K210" s="242"/>
    </row>
    <row r="211" spans="1:11" s="1" customFormat="1" ht="16" thickBot="1">
      <c r="A211" s="207"/>
      <c r="B211" s="204"/>
      <c r="C211" s="236"/>
      <c r="D211" s="219" t="s">
        <v>2322</v>
      </c>
      <c r="E211" s="221" t="s">
        <v>2323</v>
      </c>
      <c r="F211" s="221" t="s">
        <v>23</v>
      </c>
      <c r="G211" s="221" t="s">
        <v>658</v>
      </c>
      <c r="H211" s="242"/>
      <c r="I211" s="242"/>
      <c r="J211" s="242"/>
      <c r="K211" s="242"/>
    </row>
    <row r="212" spans="1:11" s="1" customFormat="1" ht="16" thickBot="1">
      <c r="A212" s="207"/>
      <c r="B212" s="204"/>
      <c r="C212" s="236" t="s">
        <v>1702</v>
      </c>
      <c r="D212" s="219" t="s">
        <v>2324</v>
      </c>
      <c r="E212" s="221" t="s">
        <v>2325</v>
      </c>
      <c r="F212" s="221" t="s">
        <v>16</v>
      </c>
      <c r="G212" s="221" t="s">
        <v>1803</v>
      </c>
      <c r="H212" s="242"/>
      <c r="I212" s="242"/>
      <c r="J212" s="242"/>
      <c r="K212" s="242"/>
    </row>
    <row r="213" spans="1:11" s="1" customFormat="1" ht="16" thickBot="1">
      <c r="A213" s="207"/>
      <c r="B213" s="204"/>
      <c r="C213" s="236"/>
      <c r="D213" s="219" t="s">
        <v>2326</v>
      </c>
      <c r="E213" s="221" t="s">
        <v>2327</v>
      </c>
      <c r="F213" s="221" t="s">
        <v>23</v>
      </c>
      <c r="G213" s="221" t="s">
        <v>1780</v>
      </c>
      <c r="H213" s="242"/>
      <c r="I213" s="242"/>
      <c r="J213" s="242"/>
      <c r="K213" s="242"/>
    </row>
    <row r="214" spans="1:11" s="1" customFormat="1" ht="16" thickBot="1">
      <c r="A214" s="207"/>
      <c r="B214" s="204"/>
      <c r="C214" s="236"/>
      <c r="D214" s="219" t="s">
        <v>2328</v>
      </c>
      <c r="E214" s="221" t="s">
        <v>2329</v>
      </c>
      <c r="F214" s="221" t="s">
        <v>58</v>
      </c>
      <c r="G214" s="221" t="s">
        <v>599</v>
      </c>
      <c r="H214" s="242"/>
      <c r="I214" s="242"/>
      <c r="J214" s="242"/>
      <c r="K214" s="242"/>
    </row>
    <row r="215" spans="1:11" s="1" customFormat="1" ht="16" thickBot="1">
      <c r="A215" s="207"/>
      <c r="B215" s="204"/>
      <c r="C215" s="236"/>
      <c r="D215" s="219" t="s">
        <v>2330</v>
      </c>
      <c r="E215" s="221" t="s">
        <v>2331</v>
      </c>
      <c r="F215" s="221" t="s">
        <v>16</v>
      </c>
      <c r="G215" s="221" t="s">
        <v>1796</v>
      </c>
      <c r="H215" s="242"/>
      <c r="I215" s="242"/>
      <c r="J215" s="242"/>
      <c r="K215" s="242"/>
    </row>
    <row r="216" spans="1:11" s="1" customFormat="1" ht="16" thickBot="1">
      <c r="A216" s="207"/>
      <c r="B216" s="204"/>
      <c r="C216" s="236"/>
      <c r="D216" s="219" t="s">
        <v>2332</v>
      </c>
      <c r="E216" s="221" t="s">
        <v>2333</v>
      </c>
      <c r="F216" s="221" t="s">
        <v>23</v>
      </c>
      <c r="G216" s="221" t="s">
        <v>2248</v>
      </c>
      <c r="H216" s="242"/>
      <c r="I216" s="242"/>
      <c r="J216" s="242"/>
      <c r="K216" s="242"/>
    </row>
    <row r="217" spans="1:11" s="1" customFormat="1" ht="16" thickBot="1">
      <c r="A217" s="207"/>
      <c r="B217" s="204"/>
      <c r="C217" s="236" t="s">
        <v>1703</v>
      </c>
      <c r="D217" s="219" t="s">
        <v>2334</v>
      </c>
      <c r="E217" s="221" t="s">
        <v>2335</v>
      </c>
      <c r="F217" s="221" t="s">
        <v>23</v>
      </c>
      <c r="G217" s="221" t="s">
        <v>1783</v>
      </c>
      <c r="H217" s="242"/>
      <c r="I217" s="242"/>
      <c r="J217" s="242"/>
      <c r="K217" s="242"/>
    </row>
    <row r="218" spans="1:11" s="1" customFormat="1" ht="16" thickBot="1">
      <c r="A218" s="207"/>
      <c r="B218" s="204"/>
      <c r="C218" s="236"/>
      <c r="D218" s="219" t="s">
        <v>2336</v>
      </c>
      <c r="E218" s="221" t="s">
        <v>2337</v>
      </c>
      <c r="F218" s="221" t="s">
        <v>16</v>
      </c>
      <c r="G218" s="221" t="s">
        <v>1793</v>
      </c>
      <c r="H218" s="242"/>
      <c r="I218" s="242"/>
      <c r="J218" s="242"/>
      <c r="K218" s="242"/>
    </row>
    <row r="219" spans="1:11" s="1" customFormat="1" ht="16" thickBot="1">
      <c r="A219" s="207"/>
      <c r="B219" s="204"/>
      <c r="C219" s="236"/>
      <c r="D219" s="219" t="s">
        <v>2338</v>
      </c>
      <c r="E219" s="221" t="s">
        <v>2339</v>
      </c>
      <c r="F219" s="221" t="s">
        <v>58</v>
      </c>
      <c r="G219" s="221" t="s">
        <v>1771</v>
      </c>
      <c r="H219" s="242"/>
      <c r="I219" s="242"/>
      <c r="J219" s="242"/>
      <c r="K219" s="242"/>
    </row>
    <row r="220" spans="1:11" s="1" customFormat="1" ht="16" thickBot="1">
      <c r="A220" s="207"/>
      <c r="B220" s="204"/>
      <c r="C220" s="236"/>
      <c r="D220" s="219" t="s">
        <v>2340</v>
      </c>
      <c r="E220" s="221" t="s">
        <v>2341</v>
      </c>
      <c r="F220" s="221" t="s">
        <v>16</v>
      </c>
      <c r="G220" s="221" t="s">
        <v>2145</v>
      </c>
      <c r="H220" s="242"/>
      <c r="I220" s="242"/>
      <c r="J220" s="242"/>
      <c r="K220" s="242"/>
    </row>
    <row r="221" spans="1:11" s="1" customFormat="1" ht="16" thickBot="1">
      <c r="A221" s="207"/>
      <c r="B221" s="204"/>
      <c r="C221" s="236"/>
      <c r="D221" s="219" t="s">
        <v>2342</v>
      </c>
      <c r="E221" s="221" t="s">
        <v>2343</v>
      </c>
      <c r="F221" s="221" t="s">
        <v>23</v>
      </c>
      <c r="G221" s="221" t="s">
        <v>1780</v>
      </c>
      <c r="H221" s="242"/>
      <c r="I221" s="242"/>
      <c r="J221" s="242"/>
      <c r="K221" s="242"/>
    </row>
    <row r="222" spans="1:11" s="1" customFormat="1" ht="16" thickBot="1">
      <c r="A222" s="207"/>
      <c r="B222" s="204"/>
      <c r="C222" s="236" t="s">
        <v>1704</v>
      </c>
      <c r="D222" s="219" t="s">
        <v>2344</v>
      </c>
      <c r="E222" s="221" t="s">
        <v>2345</v>
      </c>
      <c r="F222" s="221" t="s">
        <v>16</v>
      </c>
      <c r="G222" s="221" t="s">
        <v>658</v>
      </c>
      <c r="H222" s="242"/>
      <c r="I222" s="242"/>
      <c r="J222" s="242"/>
      <c r="K222" s="242"/>
    </row>
    <row r="223" spans="1:11" s="1" customFormat="1" ht="16" thickBot="1">
      <c r="A223" s="207"/>
      <c r="B223" s="204"/>
      <c r="C223" s="236"/>
      <c r="D223" s="219" t="s">
        <v>2346</v>
      </c>
      <c r="E223" s="221" t="s">
        <v>2347</v>
      </c>
      <c r="F223" s="221" t="s">
        <v>23</v>
      </c>
      <c r="G223" s="221" t="s">
        <v>1771</v>
      </c>
      <c r="H223" s="242"/>
      <c r="I223" s="242"/>
      <c r="J223" s="242"/>
      <c r="K223" s="242"/>
    </row>
    <row r="224" spans="1:11" s="1" customFormat="1" ht="16" thickBot="1">
      <c r="A224" s="207"/>
      <c r="B224" s="204"/>
      <c r="C224" s="236"/>
      <c r="D224" s="219" t="s">
        <v>2348</v>
      </c>
      <c r="E224" s="221" t="s">
        <v>2349</v>
      </c>
      <c r="F224" s="221" t="s">
        <v>58</v>
      </c>
      <c r="G224" s="221" t="s">
        <v>646</v>
      </c>
      <c r="H224" s="242"/>
      <c r="I224" s="242"/>
      <c r="J224" s="242"/>
      <c r="K224" s="242"/>
    </row>
    <row r="225" spans="1:11" s="1" customFormat="1" ht="16" thickBot="1">
      <c r="A225" s="207"/>
      <c r="B225" s="204"/>
      <c r="C225" s="236"/>
      <c r="D225" s="219" t="s">
        <v>2350</v>
      </c>
      <c r="E225" s="221" t="s">
        <v>2351</v>
      </c>
      <c r="F225" s="221" t="s">
        <v>16</v>
      </c>
      <c r="G225" s="221" t="s">
        <v>2064</v>
      </c>
      <c r="H225" s="242"/>
      <c r="I225" s="242"/>
      <c r="J225" s="242"/>
      <c r="K225" s="242"/>
    </row>
    <row r="226" spans="1:11" ht="16" thickBot="1">
      <c r="A226" s="207"/>
      <c r="B226" s="205"/>
      <c r="C226" s="236"/>
      <c r="D226" s="219" t="s">
        <v>2352</v>
      </c>
      <c r="E226" s="221" t="s">
        <v>2353</v>
      </c>
      <c r="F226" s="221" t="s">
        <v>23</v>
      </c>
      <c r="G226" s="221" t="s">
        <v>1793</v>
      </c>
      <c r="H226" s="242"/>
      <c r="I226" s="242"/>
      <c r="J226" s="242"/>
      <c r="K226" s="242"/>
    </row>
    <row r="227" spans="1:11" s="1" customFormat="1" ht="16" thickBot="1">
      <c r="A227" s="207"/>
      <c r="B227" s="203" t="s">
        <v>1656</v>
      </c>
      <c r="C227" s="236" t="s">
        <v>1705</v>
      </c>
      <c r="D227" s="219" t="s">
        <v>2354</v>
      </c>
      <c r="E227" s="221" t="s">
        <v>2355</v>
      </c>
      <c r="F227" s="221" t="s">
        <v>16</v>
      </c>
      <c r="G227" s="221" t="s">
        <v>599</v>
      </c>
      <c r="H227" s="242"/>
      <c r="I227" s="242"/>
      <c r="J227" s="242"/>
      <c r="K227" s="242"/>
    </row>
    <row r="228" spans="1:11" s="1" customFormat="1" ht="16" thickBot="1">
      <c r="A228" s="207"/>
      <c r="B228" s="204"/>
      <c r="C228" s="236"/>
      <c r="D228" s="219" t="s">
        <v>2356</v>
      </c>
      <c r="E228" s="221" t="s">
        <v>2357</v>
      </c>
      <c r="F228" s="221" t="s">
        <v>23</v>
      </c>
      <c r="G228" s="221" t="s">
        <v>2080</v>
      </c>
      <c r="H228" s="242"/>
      <c r="I228" s="242"/>
      <c r="J228" s="242"/>
      <c r="K228" s="242"/>
    </row>
    <row r="229" spans="1:11" s="1" customFormat="1" ht="16" thickBot="1">
      <c r="A229" s="207"/>
      <c r="B229" s="204"/>
      <c r="C229" s="236"/>
      <c r="D229" s="219" t="s">
        <v>2358</v>
      </c>
      <c r="E229" s="221" t="s">
        <v>2359</v>
      </c>
      <c r="F229" s="221" t="s">
        <v>16</v>
      </c>
      <c r="G229" s="221" t="s">
        <v>1796</v>
      </c>
      <c r="H229" s="242"/>
      <c r="I229" s="242"/>
      <c r="J229" s="242"/>
      <c r="K229" s="242"/>
    </row>
    <row r="230" spans="1:11" s="1" customFormat="1" ht="16" thickBot="1">
      <c r="A230" s="207"/>
      <c r="B230" s="204"/>
      <c r="C230" s="236"/>
      <c r="D230" s="219" t="s">
        <v>2360</v>
      </c>
      <c r="E230" s="221" t="s">
        <v>2361</v>
      </c>
      <c r="F230" s="221" t="s">
        <v>58</v>
      </c>
      <c r="G230" s="221" t="s">
        <v>646</v>
      </c>
      <c r="H230" s="242"/>
      <c r="I230" s="242"/>
      <c r="J230" s="242"/>
      <c r="K230" s="242"/>
    </row>
    <row r="231" spans="1:11" s="1" customFormat="1" ht="16" thickBot="1">
      <c r="A231" s="207"/>
      <c r="B231" s="204"/>
      <c r="C231" s="236"/>
      <c r="D231" s="219" t="s">
        <v>2362</v>
      </c>
      <c r="E231" s="221" t="s">
        <v>2363</v>
      </c>
      <c r="F231" s="221" t="s">
        <v>23</v>
      </c>
      <c r="G231" s="221" t="s">
        <v>1821</v>
      </c>
      <c r="H231" s="242"/>
      <c r="I231" s="242"/>
      <c r="J231" s="242"/>
      <c r="K231" s="242"/>
    </row>
    <row r="232" spans="1:11" s="1" customFormat="1" ht="16" thickBot="1">
      <c r="A232" s="207"/>
      <c r="B232" s="204"/>
      <c r="C232" s="236" t="s">
        <v>1706</v>
      </c>
      <c r="D232" s="215" t="s">
        <v>2364</v>
      </c>
      <c r="E232" s="217" t="s">
        <v>2355</v>
      </c>
      <c r="F232" s="217" t="s">
        <v>16</v>
      </c>
      <c r="G232" s="217" t="s">
        <v>599</v>
      </c>
      <c r="H232" s="242"/>
      <c r="I232" s="242"/>
      <c r="J232" s="242"/>
      <c r="K232" s="242"/>
    </row>
    <row r="233" spans="1:11" s="1" customFormat="1" ht="16" thickBot="1">
      <c r="A233" s="207"/>
      <c r="B233" s="204"/>
      <c r="C233" s="236"/>
      <c r="D233" s="219" t="s">
        <v>2365</v>
      </c>
      <c r="E233" s="221" t="s">
        <v>2366</v>
      </c>
      <c r="F233" s="221" t="s">
        <v>23</v>
      </c>
      <c r="G233" s="221" t="s">
        <v>2080</v>
      </c>
      <c r="H233" s="242"/>
      <c r="I233" s="242"/>
      <c r="J233" s="242"/>
      <c r="K233" s="242"/>
    </row>
    <row r="234" spans="1:11" s="1" customFormat="1" ht="16" thickBot="1">
      <c r="A234" s="207"/>
      <c r="B234" s="204"/>
      <c r="C234" s="236"/>
      <c r="D234" s="219" t="s">
        <v>2367</v>
      </c>
      <c r="E234" s="221" t="s">
        <v>2368</v>
      </c>
      <c r="F234" s="221" t="s">
        <v>16</v>
      </c>
      <c r="G234" s="221" t="s">
        <v>1796</v>
      </c>
      <c r="H234" s="242"/>
      <c r="I234" s="242"/>
      <c r="J234" s="242"/>
      <c r="K234" s="242"/>
    </row>
    <row r="235" spans="1:11" s="1" customFormat="1" ht="16" thickBot="1">
      <c r="A235" s="207"/>
      <c r="B235" s="204"/>
      <c r="C235" s="236"/>
      <c r="D235" s="219" t="s">
        <v>2369</v>
      </c>
      <c r="E235" s="221" t="s">
        <v>2370</v>
      </c>
      <c r="F235" s="221" t="s">
        <v>58</v>
      </c>
      <c r="G235" s="221" t="s">
        <v>646</v>
      </c>
      <c r="H235" s="242"/>
      <c r="I235" s="242"/>
      <c r="J235" s="242"/>
      <c r="K235" s="242"/>
    </row>
    <row r="236" spans="1:11" s="1" customFormat="1" ht="16" thickBot="1">
      <c r="A236" s="207"/>
      <c r="B236" s="204"/>
      <c r="C236" s="236"/>
      <c r="D236" s="219" t="s">
        <v>2371</v>
      </c>
      <c r="E236" s="221" t="s">
        <v>2372</v>
      </c>
      <c r="F236" s="221" t="s">
        <v>23</v>
      </c>
      <c r="G236" s="221" t="s">
        <v>1821</v>
      </c>
      <c r="H236" s="242"/>
      <c r="I236" s="242"/>
      <c r="J236" s="242"/>
      <c r="K236" s="242"/>
    </row>
    <row r="237" spans="1:11" s="1" customFormat="1" ht="16" thickBot="1">
      <c r="A237" s="207"/>
      <c r="B237" s="204"/>
      <c r="C237" s="236" t="s">
        <v>1707</v>
      </c>
      <c r="D237" s="215" t="s">
        <v>2373</v>
      </c>
      <c r="E237" s="217" t="s">
        <v>2374</v>
      </c>
      <c r="F237" s="217" t="s">
        <v>23</v>
      </c>
      <c r="G237" s="217" t="s">
        <v>2084</v>
      </c>
      <c r="H237" s="242"/>
      <c r="I237" s="242"/>
      <c r="J237" s="242"/>
      <c r="K237" s="242"/>
    </row>
    <row r="238" spans="1:11" s="1" customFormat="1" ht="16" thickBot="1">
      <c r="A238" s="207"/>
      <c r="B238" s="204"/>
      <c r="C238" s="236"/>
      <c r="D238" s="219" t="s">
        <v>2375</v>
      </c>
      <c r="E238" s="221" t="s">
        <v>2376</v>
      </c>
      <c r="F238" s="221" t="s">
        <v>16</v>
      </c>
      <c r="G238" s="221" t="s">
        <v>658</v>
      </c>
      <c r="H238" s="242"/>
      <c r="I238" s="242"/>
      <c r="J238" s="242"/>
      <c r="K238" s="242"/>
    </row>
    <row r="239" spans="1:11" s="1" customFormat="1" ht="16" thickBot="1">
      <c r="A239" s="207"/>
      <c r="B239" s="204"/>
      <c r="C239" s="236"/>
      <c r="D239" s="219" t="s">
        <v>2377</v>
      </c>
      <c r="E239" s="221" t="s">
        <v>2378</v>
      </c>
      <c r="F239" s="221" t="s">
        <v>16</v>
      </c>
      <c r="G239" s="221" t="s">
        <v>1777</v>
      </c>
      <c r="H239" s="242"/>
      <c r="I239" s="242"/>
      <c r="J239" s="242"/>
      <c r="K239" s="242"/>
    </row>
    <row r="240" spans="1:11" s="1" customFormat="1" ht="16" thickBot="1">
      <c r="A240" s="207"/>
      <c r="B240" s="204"/>
      <c r="C240" s="236"/>
      <c r="D240" s="219" t="s">
        <v>2379</v>
      </c>
      <c r="E240" s="221" t="s">
        <v>2380</v>
      </c>
      <c r="F240" s="221" t="s">
        <v>16</v>
      </c>
      <c r="G240" s="221" t="s">
        <v>2083</v>
      </c>
      <c r="H240" s="242"/>
      <c r="I240" s="242"/>
      <c r="J240" s="242"/>
      <c r="K240" s="242"/>
    </row>
    <row r="241" spans="1:11" s="1" customFormat="1" ht="16" thickBot="1">
      <c r="A241" s="207"/>
      <c r="B241" s="204"/>
      <c r="C241" s="236"/>
      <c r="D241" s="219" t="s">
        <v>2381</v>
      </c>
      <c r="E241" s="221" t="s">
        <v>2382</v>
      </c>
      <c r="F241" s="221" t="s">
        <v>58</v>
      </c>
      <c r="G241" s="221" t="s">
        <v>1777</v>
      </c>
      <c r="H241" s="242"/>
      <c r="I241" s="242"/>
      <c r="J241" s="242"/>
      <c r="K241" s="242"/>
    </row>
    <row r="242" spans="1:11" s="1" customFormat="1" ht="16" thickBot="1">
      <c r="A242" s="207"/>
      <c r="B242" s="204"/>
      <c r="C242" s="236" t="s">
        <v>1708</v>
      </c>
      <c r="D242" s="219" t="s">
        <v>2383</v>
      </c>
      <c r="E242" s="221" t="s">
        <v>2384</v>
      </c>
      <c r="F242" s="221" t="s">
        <v>23</v>
      </c>
      <c r="G242" s="221" t="s">
        <v>2385</v>
      </c>
      <c r="H242" s="242"/>
      <c r="I242" s="242"/>
      <c r="J242" s="242"/>
      <c r="K242" s="242"/>
    </row>
    <row r="243" spans="1:11" s="1" customFormat="1" ht="16" thickBot="1">
      <c r="A243" s="207"/>
      <c r="B243" s="204"/>
      <c r="C243" s="236"/>
      <c r="D243" s="219" t="s">
        <v>2386</v>
      </c>
      <c r="E243" s="221" t="s">
        <v>2387</v>
      </c>
      <c r="F243" s="221" t="s">
        <v>16</v>
      </c>
      <c r="G243" s="221" t="s">
        <v>2078</v>
      </c>
      <c r="H243" s="242"/>
      <c r="I243" s="242"/>
      <c r="J243" s="242"/>
      <c r="K243" s="242"/>
    </row>
    <row r="244" spans="1:11" s="1" customFormat="1" ht="16" thickBot="1">
      <c r="A244" s="207"/>
      <c r="B244" s="204"/>
      <c r="C244" s="236"/>
      <c r="D244" s="219" t="s">
        <v>2388</v>
      </c>
      <c r="E244" s="221" t="s">
        <v>2389</v>
      </c>
      <c r="F244" s="221" t="s">
        <v>23</v>
      </c>
      <c r="G244" s="221" t="s">
        <v>1768</v>
      </c>
      <c r="H244" s="242"/>
      <c r="I244" s="242"/>
      <c r="J244" s="242"/>
      <c r="K244" s="242"/>
    </row>
    <row r="245" spans="1:11" s="1" customFormat="1" ht="16" thickBot="1">
      <c r="A245" s="207"/>
      <c r="B245" s="204"/>
      <c r="C245" s="236"/>
      <c r="D245" s="219" t="s">
        <v>2390</v>
      </c>
      <c r="E245" s="221" t="s">
        <v>2391</v>
      </c>
      <c r="F245" s="221" t="s">
        <v>58</v>
      </c>
      <c r="G245" s="221" t="s">
        <v>1765</v>
      </c>
      <c r="H245" s="242"/>
      <c r="I245" s="242"/>
      <c r="J245" s="242"/>
      <c r="K245" s="242"/>
    </row>
    <row r="246" spans="1:11" s="1" customFormat="1" ht="16" thickBot="1">
      <c r="A246" s="207"/>
      <c r="B246" s="204"/>
      <c r="C246" s="236"/>
      <c r="D246" s="219" t="s">
        <v>2392</v>
      </c>
      <c r="E246" s="221" t="s">
        <v>2393</v>
      </c>
      <c r="F246" s="221" t="s">
        <v>16</v>
      </c>
      <c r="G246" s="221" t="s">
        <v>2394</v>
      </c>
      <c r="H246" s="242"/>
      <c r="I246" s="242"/>
      <c r="J246" s="242"/>
      <c r="K246" s="242"/>
    </row>
    <row r="247" spans="1:11" s="1" customFormat="1" ht="16" thickBot="1">
      <c r="A247" s="207"/>
      <c r="B247" s="204"/>
      <c r="C247" s="236" t="s">
        <v>1709</v>
      </c>
      <c r="D247" s="219" t="s">
        <v>2395</v>
      </c>
      <c r="E247" s="221" t="s">
        <v>2396</v>
      </c>
      <c r="F247" s="221" t="s">
        <v>58</v>
      </c>
      <c r="G247" s="221" t="s">
        <v>2087</v>
      </c>
      <c r="H247" s="242"/>
      <c r="I247" s="242"/>
      <c r="J247" s="242"/>
      <c r="K247" s="242"/>
    </row>
    <row r="248" spans="1:11" s="1" customFormat="1" ht="16" thickBot="1">
      <c r="A248" s="207"/>
      <c r="B248" s="204"/>
      <c r="C248" s="236"/>
      <c r="D248" s="219" t="s">
        <v>2397</v>
      </c>
      <c r="E248" s="221" t="s">
        <v>2398</v>
      </c>
      <c r="F248" s="221" t="s">
        <v>23</v>
      </c>
      <c r="G248" s="221" t="s">
        <v>2065</v>
      </c>
      <c r="H248" s="242"/>
      <c r="I248" s="242"/>
      <c r="J248" s="242"/>
      <c r="K248" s="242"/>
    </row>
    <row r="249" spans="1:11" s="1" customFormat="1" ht="16" thickBot="1">
      <c r="A249" s="207"/>
      <c r="B249" s="204"/>
      <c r="C249" s="236"/>
      <c r="D249" s="219" t="s">
        <v>2399</v>
      </c>
      <c r="E249" s="221" t="s">
        <v>2400</v>
      </c>
      <c r="F249" s="221" t="s">
        <v>58</v>
      </c>
      <c r="G249" s="221" t="s">
        <v>2073</v>
      </c>
      <c r="H249" s="242"/>
      <c r="I249" s="242"/>
      <c r="J249" s="242"/>
      <c r="K249" s="242"/>
    </row>
    <row r="250" spans="1:11" s="1" customFormat="1" ht="16" thickBot="1">
      <c r="A250" s="207"/>
      <c r="B250" s="204"/>
      <c r="C250" s="236"/>
      <c r="D250" s="219" t="s">
        <v>2401</v>
      </c>
      <c r="E250" s="221" t="s">
        <v>2402</v>
      </c>
      <c r="F250" s="221" t="s">
        <v>23</v>
      </c>
      <c r="G250" s="221" t="s">
        <v>2403</v>
      </c>
      <c r="H250" s="242"/>
      <c r="I250" s="242"/>
      <c r="J250" s="242"/>
      <c r="K250" s="242"/>
    </row>
    <row r="251" spans="1:11" ht="16" thickBot="1">
      <c r="A251" s="207"/>
      <c r="B251" s="205"/>
      <c r="C251" s="236"/>
      <c r="D251" s="219" t="s">
        <v>2404</v>
      </c>
      <c r="E251" s="221" t="s">
        <v>2405</v>
      </c>
      <c r="F251" s="221" t="s">
        <v>23</v>
      </c>
      <c r="G251" s="221" t="s">
        <v>2108</v>
      </c>
      <c r="H251" s="242"/>
      <c r="I251" s="242"/>
      <c r="J251" s="242"/>
      <c r="K251" s="242"/>
    </row>
    <row r="252" spans="1:11" s="1" customFormat="1" ht="16" thickBot="1">
      <c r="A252" s="207"/>
      <c r="B252" s="203" t="s">
        <v>1710</v>
      </c>
      <c r="C252" s="236" t="s">
        <v>1711</v>
      </c>
      <c r="D252" s="219" t="s">
        <v>2406</v>
      </c>
      <c r="E252" s="221" t="s">
        <v>2407</v>
      </c>
      <c r="F252" s="221" t="s">
        <v>23</v>
      </c>
      <c r="G252" s="221" t="s">
        <v>1793</v>
      </c>
      <c r="H252" s="242"/>
      <c r="I252" s="242"/>
      <c r="J252" s="242"/>
      <c r="K252" s="242"/>
    </row>
    <row r="253" spans="1:11" s="1" customFormat="1" ht="16" thickBot="1">
      <c r="A253" s="207"/>
      <c r="B253" s="204"/>
      <c r="C253" s="236"/>
      <c r="D253" s="219" t="s">
        <v>2408</v>
      </c>
      <c r="E253" s="221" t="s">
        <v>2409</v>
      </c>
      <c r="F253" s="221" t="s">
        <v>23</v>
      </c>
      <c r="G253" s="221" t="s">
        <v>1774</v>
      </c>
      <c r="H253" s="242"/>
      <c r="I253" s="242"/>
      <c r="J253" s="242"/>
      <c r="K253" s="242"/>
    </row>
    <row r="254" spans="1:11" s="1" customFormat="1" ht="16" thickBot="1">
      <c r="A254" s="207"/>
      <c r="B254" s="204"/>
      <c r="C254" s="236"/>
      <c r="D254" s="222" t="s">
        <v>2410</v>
      </c>
      <c r="E254" s="221" t="s">
        <v>2411</v>
      </c>
      <c r="F254" s="221" t="s">
        <v>16</v>
      </c>
      <c r="G254" s="221" t="s">
        <v>646</v>
      </c>
      <c r="H254" s="242"/>
      <c r="I254" s="242"/>
      <c r="J254" s="242"/>
      <c r="K254" s="242"/>
    </row>
    <row r="255" spans="1:11" s="1" customFormat="1" ht="16" thickBot="1">
      <c r="A255" s="207"/>
      <c r="B255" s="204"/>
      <c r="C255" s="236"/>
      <c r="D255" s="219" t="s">
        <v>2412</v>
      </c>
      <c r="E255" s="221" t="s">
        <v>2413</v>
      </c>
      <c r="F255" s="221" t="s">
        <v>58</v>
      </c>
      <c r="G255" s="221" t="s">
        <v>599</v>
      </c>
      <c r="H255" s="242"/>
      <c r="I255" s="242"/>
      <c r="J255" s="242"/>
      <c r="K255" s="242"/>
    </row>
    <row r="256" spans="1:11" s="1" customFormat="1" ht="16" thickBot="1">
      <c r="A256" s="207"/>
      <c r="B256" s="204"/>
      <c r="C256" s="236"/>
      <c r="D256" s="222" t="s">
        <v>2414</v>
      </c>
      <c r="E256" s="221" t="s">
        <v>2415</v>
      </c>
      <c r="F256" s="221" t="s">
        <v>16</v>
      </c>
      <c r="G256" s="221" t="s">
        <v>1796</v>
      </c>
      <c r="H256" s="242"/>
      <c r="I256" s="242"/>
      <c r="J256" s="242"/>
      <c r="K256" s="242"/>
    </row>
    <row r="257" spans="1:11" s="1" customFormat="1" ht="16" thickBot="1">
      <c r="A257" s="207"/>
      <c r="B257" s="204"/>
      <c r="C257" s="236" t="s">
        <v>1712</v>
      </c>
      <c r="D257" s="219" t="s">
        <v>2416</v>
      </c>
      <c r="E257" s="221" t="s">
        <v>2417</v>
      </c>
      <c r="F257" s="221" t="s">
        <v>23</v>
      </c>
      <c r="G257" s="221" t="s">
        <v>1777</v>
      </c>
      <c r="H257" s="242"/>
      <c r="I257" s="242"/>
      <c r="J257" s="242"/>
      <c r="K257" s="242"/>
    </row>
    <row r="258" spans="1:11" s="1" customFormat="1" ht="16" thickBot="1">
      <c r="A258" s="207"/>
      <c r="B258" s="204"/>
      <c r="C258" s="236"/>
      <c r="D258" s="219" t="s">
        <v>2418</v>
      </c>
      <c r="E258" s="221" t="s">
        <v>2419</v>
      </c>
      <c r="F258" s="221" t="s">
        <v>58</v>
      </c>
      <c r="G258" s="221" t="s">
        <v>1793</v>
      </c>
      <c r="H258" s="242"/>
      <c r="I258" s="242"/>
      <c r="J258" s="242"/>
      <c r="K258" s="242"/>
    </row>
    <row r="259" spans="1:11" s="1" customFormat="1" ht="16" thickBot="1">
      <c r="A259" s="207"/>
      <c r="B259" s="204"/>
      <c r="C259" s="236"/>
      <c r="D259" s="219" t="s">
        <v>2420</v>
      </c>
      <c r="E259" s="221" t="s">
        <v>2421</v>
      </c>
      <c r="F259" s="221" t="s">
        <v>23</v>
      </c>
      <c r="G259" s="221" t="s">
        <v>1771</v>
      </c>
      <c r="H259" s="242"/>
      <c r="I259" s="242"/>
      <c r="J259" s="242"/>
      <c r="K259" s="242"/>
    </row>
    <row r="260" spans="1:11" s="1" customFormat="1" ht="16" thickBot="1">
      <c r="A260" s="207"/>
      <c r="B260" s="204"/>
      <c r="C260" s="236"/>
      <c r="D260" s="219" t="s">
        <v>2422</v>
      </c>
      <c r="E260" s="221" t="s">
        <v>2423</v>
      </c>
      <c r="F260" s="221" t="s">
        <v>16</v>
      </c>
      <c r="G260" s="221" t="s">
        <v>658</v>
      </c>
      <c r="H260" s="242"/>
      <c r="I260" s="242"/>
      <c r="J260" s="242"/>
      <c r="K260" s="242"/>
    </row>
    <row r="261" spans="1:11" s="1" customFormat="1" ht="16" thickBot="1">
      <c r="A261" s="207"/>
      <c r="B261" s="204"/>
      <c r="C261" s="236"/>
      <c r="D261" s="222" t="s">
        <v>2424</v>
      </c>
      <c r="E261" s="221" t="s">
        <v>2425</v>
      </c>
      <c r="F261" s="221" t="s">
        <v>23</v>
      </c>
      <c r="G261" s="221" t="s">
        <v>2064</v>
      </c>
      <c r="H261" s="242"/>
      <c r="I261" s="242"/>
      <c r="J261" s="242"/>
      <c r="K261" s="242"/>
    </row>
    <row r="262" spans="1:11" s="1" customFormat="1" ht="16" thickBot="1">
      <c r="A262" s="207"/>
      <c r="B262" s="204"/>
      <c r="C262" s="236" t="s">
        <v>1713</v>
      </c>
      <c r="D262" s="227" t="s">
        <v>5853</v>
      </c>
      <c r="E262" s="215" t="s">
        <v>5854</v>
      </c>
      <c r="F262" s="221" t="s">
        <v>23</v>
      </c>
      <c r="G262" s="252"/>
      <c r="H262" s="252"/>
      <c r="I262" s="252"/>
      <c r="J262" s="242"/>
      <c r="K262" s="242"/>
    </row>
    <row r="263" spans="1:11" s="1" customFormat="1" ht="15" thickBot="1">
      <c r="A263" s="207"/>
      <c r="B263" s="204"/>
      <c r="C263" s="236"/>
      <c r="D263" s="224" t="s">
        <v>2426</v>
      </c>
      <c r="E263" s="235" t="s">
        <v>2427</v>
      </c>
      <c r="F263" s="235" t="s">
        <v>16</v>
      </c>
      <c r="G263" s="235" t="s">
        <v>2428</v>
      </c>
      <c r="H263" s="235" t="s">
        <v>2429</v>
      </c>
      <c r="I263" s="235" t="s">
        <v>26</v>
      </c>
      <c r="J263" s="242"/>
      <c r="K263" s="242"/>
    </row>
    <row r="264" spans="1:11" s="1" customFormat="1" ht="15" thickBot="1">
      <c r="A264" s="207"/>
      <c r="B264" s="204"/>
      <c r="C264" s="236"/>
      <c r="D264" s="224" t="s">
        <v>2430</v>
      </c>
      <c r="E264" s="235" t="s">
        <v>2431</v>
      </c>
      <c r="F264" s="235" t="s">
        <v>23</v>
      </c>
      <c r="G264" s="235" t="s">
        <v>599</v>
      </c>
      <c r="H264" s="235" t="s">
        <v>2432</v>
      </c>
      <c r="I264" s="235" t="s">
        <v>19</v>
      </c>
      <c r="J264" s="242"/>
      <c r="K264" s="242"/>
    </row>
    <row r="265" spans="1:11" s="1" customFormat="1" ht="15" thickBot="1">
      <c r="A265" s="207"/>
      <c r="B265" s="204"/>
      <c r="C265" s="236"/>
      <c r="D265" s="224" t="s">
        <v>2433</v>
      </c>
      <c r="E265" s="235" t="s">
        <v>2434</v>
      </c>
      <c r="F265" s="235" t="s">
        <v>16</v>
      </c>
      <c r="G265" s="235" t="s">
        <v>2435</v>
      </c>
      <c r="H265" s="235" t="s">
        <v>2436</v>
      </c>
      <c r="I265" s="235" t="s">
        <v>206</v>
      </c>
      <c r="J265" s="242"/>
      <c r="K265" s="242"/>
    </row>
    <row r="266" spans="1:11" s="1" customFormat="1" ht="15" thickBot="1">
      <c r="A266" s="207"/>
      <c r="B266" s="204"/>
      <c r="C266" s="236"/>
      <c r="D266" s="224" t="s">
        <v>2437</v>
      </c>
      <c r="E266" s="235" t="s">
        <v>2438</v>
      </c>
      <c r="F266" s="235" t="s">
        <v>58</v>
      </c>
      <c r="G266" s="235" t="s">
        <v>1780</v>
      </c>
      <c r="H266" s="235" t="s">
        <v>2439</v>
      </c>
      <c r="I266" s="235" t="s">
        <v>19</v>
      </c>
      <c r="J266" s="242"/>
      <c r="K266" s="242"/>
    </row>
    <row r="267" spans="1:11" s="1" customFormat="1" ht="15" thickBot="1">
      <c r="A267" s="207"/>
      <c r="B267" s="204"/>
      <c r="C267" s="236" t="s">
        <v>1714</v>
      </c>
      <c r="D267" s="224" t="s">
        <v>2440</v>
      </c>
      <c r="E267" s="235" t="s">
        <v>2441</v>
      </c>
      <c r="F267" s="235" t="s">
        <v>16</v>
      </c>
      <c r="G267" s="235" t="s">
        <v>2064</v>
      </c>
      <c r="H267" s="235" t="s">
        <v>2442</v>
      </c>
      <c r="I267" s="235" t="s">
        <v>26</v>
      </c>
      <c r="J267" s="242"/>
      <c r="K267" s="242"/>
    </row>
    <row r="268" spans="1:11" s="1" customFormat="1" ht="15" thickBot="1">
      <c r="A268" s="207"/>
      <c r="B268" s="204"/>
      <c r="C268" s="236"/>
      <c r="D268" s="224" t="s">
        <v>2443</v>
      </c>
      <c r="E268" s="235" t="s">
        <v>2444</v>
      </c>
      <c r="F268" s="235" t="s">
        <v>23</v>
      </c>
      <c r="G268" s="235" t="s">
        <v>2445</v>
      </c>
      <c r="H268" s="235" t="s">
        <v>2446</v>
      </c>
      <c r="I268" s="235" t="s">
        <v>19</v>
      </c>
      <c r="J268" s="242"/>
      <c r="K268" s="242"/>
    </row>
    <row r="269" spans="1:11" s="1" customFormat="1" ht="15" thickBot="1">
      <c r="A269" s="207"/>
      <c r="B269" s="204"/>
      <c r="C269" s="236"/>
      <c r="D269" s="224" t="s">
        <v>2447</v>
      </c>
      <c r="E269" s="235" t="s">
        <v>2448</v>
      </c>
      <c r="F269" s="235" t="s">
        <v>16</v>
      </c>
      <c r="G269" s="235" t="s">
        <v>2191</v>
      </c>
      <c r="H269" s="235" t="s">
        <v>2449</v>
      </c>
      <c r="I269" s="235" t="s">
        <v>26</v>
      </c>
      <c r="J269" s="242"/>
      <c r="K269" s="242"/>
    </row>
    <row r="270" spans="1:11" s="1" customFormat="1" ht="15" thickBot="1">
      <c r="A270" s="207"/>
      <c r="B270" s="204"/>
      <c r="C270" s="236"/>
      <c r="D270" s="224" t="s">
        <v>2450</v>
      </c>
      <c r="E270" s="235" t="s">
        <v>2451</v>
      </c>
      <c r="F270" s="235" t="s">
        <v>58</v>
      </c>
      <c r="G270" s="235" t="s">
        <v>2452</v>
      </c>
      <c r="H270" s="235" t="s">
        <v>2453</v>
      </c>
      <c r="I270" s="235" t="s">
        <v>19</v>
      </c>
      <c r="J270" s="242"/>
      <c r="K270" s="242"/>
    </row>
    <row r="271" spans="1:11" s="1" customFormat="1" ht="15" thickBot="1">
      <c r="A271" s="207"/>
      <c r="B271" s="204"/>
      <c r="C271" s="236"/>
      <c r="D271" s="224" t="s">
        <v>2454</v>
      </c>
      <c r="E271" s="235" t="s">
        <v>2455</v>
      </c>
      <c r="F271" s="235" t="s">
        <v>16</v>
      </c>
      <c r="G271" s="235" t="s">
        <v>2456</v>
      </c>
      <c r="H271" s="235" t="s">
        <v>2457</v>
      </c>
      <c r="I271" s="235" t="s">
        <v>206</v>
      </c>
      <c r="J271" s="242"/>
      <c r="K271" s="242"/>
    </row>
    <row r="272" spans="1:11" s="1" customFormat="1" ht="15" thickBot="1">
      <c r="A272" s="207"/>
      <c r="B272" s="204"/>
      <c r="C272" s="236" t="s">
        <v>1715</v>
      </c>
      <c r="D272" s="224" t="s">
        <v>2458</v>
      </c>
      <c r="E272" s="235" t="s">
        <v>2459</v>
      </c>
      <c r="F272" s="235" t="s">
        <v>23</v>
      </c>
      <c r="G272" s="235" t="s">
        <v>2460</v>
      </c>
      <c r="H272" s="235" t="s">
        <v>2461</v>
      </c>
      <c r="I272" s="235" t="s">
        <v>26</v>
      </c>
      <c r="J272" s="242"/>
      <c r="K272" s="242"/>
    </row>
    <row r="273" spans="1:11" s="1" customFormat="1" ht="15" thickBot="1">
      <c r="A273" s="207"/>
      <c r="B273" s="204"/>
      <c r="C273" s="236"/>
      <c r="D273" s="224" t="s">
        <v>2462</v>
      </c>
      <c r="E273" s="235" t="s">
        <v>2463</v>
      </c>
      <c r="F273" s="235" t="s">
        <v>16</v>
      </c>
      <c r="G273" s="235" t="s">
        <v>2460</v>
      </c>
      <c r="H273" s="235" t="s">
        <v>2464</v>
      </c>
      <c r="I273" s="235" t="s">
        <v>26</v>
      </c>
      <c r="J273" s="242"/>
      <c r="K273" s="242"/>
    </row>
    <row r="274" spans="1:11" s="1" customFormat="1" ht="15" thickBot="1">
      <c r="A274" s="207"/>
      <c r="B274" s="204"/>
      <c r="C274" s="236"/>
      <c r="D274" s="224" t="s">
        <v>2465</v>
      </c>
      <c r="E274" s="235" t="s">
        <v>2466</v>
      </c>
      <c r="F274" s="235" t="s">
        <v>58</v>
      </c>
      <c r="G274" s="235" t="s">
        <v>2073</v>
      </c>
      <c r="H274" s="235" t="s">
        <v>2467</v>
      </c>
      <c r="I274" s="235" t="s">
        <v>26</v>
      </c>
      <c r="J274" s="242"/>
      <c r="K274" s="242"/>
    </row>
    <row r="275" spans="1:11" s="1" customFormat="1" ht="15" thickBot="1">
      <c r="A275" s="207"/>
      <c r="B275" s="204"/>
      <c r="C275" s="236"/>
      <c r="D275" s="224" t="s">
        <v>2468</v>
      </c>
      <c r="E275" s="235" t="s">
        <v>2469</v>
      </c>
      <c r="F275" s="235" t="s">
        <v>23</v>
      </c>
      <c r="G275" s="235" t="s">
        <v>2064</v>
      </c>
      <c r="H275" s="235" t="s">
        <v>2470</v>
      </c>
      <c r="I275" s="235" t="s">
        <v>19</v>
      </c>
      <c r="J275" s="242"/>
      <c r="K275" s="242"/>
    </row>
    <row r="276" spans="1:11" ht="15" thickBot="1">
      <c r="A276" s="207"/>
      <c r="B276" s="205"/>
      <c r="C276" s="236"/>
      <c r="D276" s="224" t="s">
        <v>2471</v>
      </c>
      <c r="E276" s="235" t="s">
        <v>2472</v>
      </c>
      <c r="F276" s="235" t="s">
        <v>16</v>
      </c>
      <c r="G276" s="235" t="s">
        <v>2473</v>
      </c>
      <c r="H276" s="235" t="s">
        <v>2474</v>
      </c>
      <c r="I276" s="235" t="s">
        <v>206</v>
      </c>
      <c r="J276" s="242"/>
      <c r="K276" s="242"/>
    </row>
    <row r="277" spans="1:11" s="1" customFormat="1" ht="15" thickBot="1">
      <c r="A277" s="207"/>
      <c r="B277" s="203" t="s">
        <v>1657</v>
      </c>
      <c r="C277" s="236" t="s">
        <v>1716</v>
      </c>
      <c r="D277" s="227" t="s">
        <v>5668</v>
      </c>
      <c r="E277" s="355" t="s">
        <v>5669</v>
      </c>
      <c r="F277" s="235" t="s">
        <v>16</v>
      </c>
      <c r="G277" s="242"/>
      <c r="H277" s="242"/>
      <c r="I277" s="242"/>
      <c r="J277" s="242"/>
      <c r="K277" s="242"/>
    </row>
    <row r="278" spans="1:11" s="1" customFormat="1" ht="15" thickBot="1">
      <c r="A278" s="207"/>
      <c r="B278" s="204"/>
      <c r="C278" s="236"/>
      <c r="D278" s="227" t="s">
        <v>5670</v>
      </c>
      <c r="E278" s="355" t="s">
        <v>5671</v>
      </c>
      <c r="F278" s="235" t="s">
        <v>16</v>
      </c>
      <c r="G278" s="242"/>
      <c r="H278" s="242"/>
      <c r="I278" s="242"/>
      <c r="J278" s="242"/>
      <c r="K278" s="242"/>
    </row>
    <row r="279" spans="1:11" s="1" customFormat="1" ht="15" thickBot="1">
      <c r="A279" s="207"/>
      <c r="B279" s="204"/>
      <c r="C279" s="236"/>
      <c r="D279" s="227" t="s">
        <v>5672</v>
      </c>
      <c r="E279" s="355" t="s">
        <v>5673</v>
      </c>
      <c r="F279" s="235" t="s">
        <v>16</v>
      </c>
      <c r="G279" s="242"/>
      <c r="H279" s="242"/>
      <c r="I279" s="242"/>
      <c r="J279" s="242"/>
      <c r="K279" s="242"/>
    </row>
    <row r="280" spans="1:11" s="1" customFormat="1" ht="15" thickBot="1">
      <c r="A280" s="207"/>
      <c r="B280" s="204"/>
      <c r="C280" s="236"/>
      <c r="D280" s="227" t="s">
        <v>5674</v>
      </c>
      <c r="E280" s="355" t="s">
        <v>5675</v>
      </c>
      <c r="F280" s="235" t="s">
        <v>16</v>
      </c>
      <c r="G280" s="242"/>
      <c r="H280" s="242"/>
      <c r="I280" s="242"/>
      <c r="J280" s="242"/>
      <c r="K280" s="242"/>
    </row>
    <row r="281" spans="1:11" s="1" customFormat="1" ht="15" thickBot="1">
      <c r="A281" s="207"/>
      <c r="B281" s="204"/>
      <c r="C281" s="236"/>
      <c r="D281" s="227" t="s">
        <v>5676</v>
      </c>
      <c r="E281" s="355" t="s">
        <v>5677</v>
      </c>
      <c r="F281" s="235" t="s">
        <v>16</v>
      </c>
      <c r="G281" s="242"/>
      <c r="H281" s="242"/>
      <c r="I281" s="242"/>
      <c r="J281" s="242"/>
      <c r="K281" s="242"/>
    </row>
    <row r="282" spans="1:11" s="1" customFormat="1" ht="15" thickBot="1">
      <c r="A282" s="207"/>
      <c r="B282" s="204"/>
      <c r="C282" s="236" t="s">
        <v>1717</v>
      </c>
      <c r="D282" s="227" t="s">
        <v>5678</v>
      </c>
      <c r="E282" s="355" t="s">
        <v>5679</v>
      </c>
      <c r="F282" s="235" t="s">
        <v>16</v>
      </c>
      <c r="G282" s="242"/>
      <c r="H282" s="242"/>
      <c r="I282" s="242"/>
      <c r="J282" s="242"/>
      <c r="K282" s="242"/>
    </row>
    <row r="283" spans="1:11" s="1" customFormat="1" ht="15" thickBot="1">
      <c r="A283" s="207"/>
      <c r="B283" s="204"/>
      <c r="C283" s="236"/>
      <c r="D283" s="227" t="s">
        <v>5680</v>
      </c>
      <c r="E283" s="355" t="s">
        <v>5681</v>
      </c>
      <c r="F283" s="235" t="s">
        <v>16</v>
      </c>
      <c r="G283" s="242"/>
      <c r="H283" s="242"/>
      <c r="I283" s="242"/>
      <c r="J283" s="242"/>
      <c r="K283" s="242"/>
    </row>
    <row r="284" spans="1:11" s="1" customFormat="1" ht="15" thickBot="1">
      <c r="A284" s="207"/>
      <c r="B284" s="204"/>
      <c r="C284" s="236"/>
      <c r="D284" s="227" t="s">
        <v>5682</v>
      </c>
      <c r="E284" s="355" t="s">
        <v>5683</v>
      </c>
      <c r="F284" s="235" t="s">
        <v>16</v>
      </c>
      <c r="G284" s="242"/>
      <c r="H284" s="242"/>
      <c r="I284" s="242"/>
      <c r="J284" s="242"/>
      <c r="K284" s="242"/>
    </row>
    <row r="285" spans="1:11" s="1" customFormat="1" ht="15" thickBot="1">
      <c r="A285" s="207"/>
      <c r="B285" s="204"/>
      <c r="C285" s="236"/>
      <c r="D285" s="227" t="s">
        <v>5684</v>
      </c>
      <c r="E285" s="355" t="s">
        <v>5685</v>
      </c>
      <c r="F285" s="235" t="s">
        <v>16</v>
      </c>
      <c r="G285" s="242"/>
      <c r="H285" s="242"/>
      <c r="I285" s="242"/>
      <c r="J285" s="242"/>
      <c r="K285" s="242"/>
    </row>
    <row r="286" spans="1:11" s="1" customFormat="1" ht="15" thickBot="1">
      <c r="A286" s="207"/>
      <c r="B286" s="204"/>
      <c r="C286" s="236"/>
      <c r="D286" s="227" t="s">
        <v>5686</v>
      </c>
      <c r="E286" s="355" t="s">
        <v>5687</v>
      </c>
      <c r="F286" s="235" t="s">
        <v>16</v>
      </c>
      <c r="G286" s="242"/>
      <c r="H286" s="242"/>
      <c r="I286" s="242"/>
      <c r="J286" s="242"/>
      <c r="K286" s="242"/>
    </row>
    <row r="287" spans="1:11" s="1" customFormat="1" ht="15" thickBot="1">
      <c r="A287" s="207"/>
      <c r="B287" s="204"/>
      <c r="C287" s="236" t="s">
        <v>1718</v>
      </c>
      <c r="D287" s="227" t="s">
        <v>5688</v>
      </c>
      <c r="E287" s="355" t="s">
        <v>5689</v>
      </c>
      <c r="F287" s="235" t="s">
        <v>16</v>
      </c>
      <c r="G287" s="242"/>
      <c r="H287" s="242"/>
      <c r="I287" s="242"/>
      <c r="J287" s="242"/>
      <c r="K287" s="242"/>
    </row>
    <row r="288" spans="1:11" s="1" customFormat="1" ht="15" thickBot="1">
      <c r="A288" s="207"/>
      <c r="B288" s="204"/>
      <c r="C288" s="236"/>
      <c r="D288" s="227" t="s">
        <v>5690</v>
      </c>
      <c r="E288" s="355" t="s">
        <v>5691</v>
      </c>
      <c r="F288" s="235" t="s">
        <v>16</v>
      </c>
      <c r="G288" s="242"/>
      <c r="H288" s="242"/>
      <c r="I288" s="242"/>
      <c r="J288" s="242"/>
      <c r="K288" s="242"/>
    </row>
    <row r="289" spans="1:11" s="1" customFormat="1" ht="15" thickBot="1">
      <c r="A289" s="207"/>
      <c r="B289" s="204"/>
      <c r="C289" s="236"/>
      <c r="D289" s="227" t="s">
        <v>5692</v>
      </c>
      <c r="E289" s="355" t="s">
        <v>5693</v>
      </c>
      <c r="F289" s="235" t="s">
        <v>16</v>
      </c>
      <c r="G289" s="242"/>
      <c r="H289" s="242"/>
      <c r="I289" s="242"/>
      <c r="J289" s="242"/>
      <c r="K289" s="242"/>
    </row>
    <row r="290" spans="1:11" s="1" customFormat="1" ht="15" thickBot="1">
      <c r="A290" s="207"/>
      <c r="B290" s="204"/>
      <c r="C290" s="236"/>
      <c r="D290" s="227" t="s">
        <v>5694</v>
      </c>
      <c r="E290" s="355" t="s">
        <v>5695</v>
      </c>
      <c r="F290" s="235" t="s">
        <v>16</v>
      </c>
      <c r="G290" s="242"/>
      <c r="H290" s="242"/>
      <c r="I290" s="242"/>
      <c r="J290" s="242"/>
      <c r="K290" s="242"/>
    </row>
    <row r="291" spans="1:11" s="1" customFormat="1" ht="15" thickBot="1">
      <c r="A291" s="207"/>
      <c r="B291" s="204"/>
      <c r="C291" s="236"/>
      <c r="D291" s="227" t="s">
        <v>5696</v>
      </c>
      <c r="E291" s="355" t="s">
        <v>5697</v>
      </c>
      <c r="F291" s="235" t="s">
        <v>16</v>
      </c>
      <c r="G291" s="242"/>
      <c r="H291" s="242"/>
      <c r="I291" s="242"/>
      <c r="J291" s="242"/>
      <c r="K291" s="242"/>
    </row>
    <row r="292" spans="1:11" s="1" customFormat="1" ht="16" thickBot="1">
      <c r="A292" s="207"/>
      <c r="B292" s="204"/>
      <c r="C292" s="236" t="s">
        <v>1719</v>
      </c>
      <c r="D292" s="227" t="s">
        <v>5698</v>
      </c>
      <c r="E292" s="356" t="s">
        <v>5699</v>
      </c>
      <c r="F292" s="235" t="s">
        <v>16</v>
      </c>
      <c r="G292" s="242"/>
      <c r="H292" s="242"/>
      <c r="I292" s="242"/>
      <c r="J292" s="242"/>
      <c r="K292" s="242"/>
    </row>
    <row r="293" spans="1:11" s="1" customFormat="1" ht="16" thickBot="1">
      <c r="A293" s="207"/>
      <c r="B293" s="204"/>
      <c r="C293" s="236"/>
      <c r="D293" s="227" t="s">
        <v>5700</v>
      </c>
      <c r="E293" s="215" t="s">
        <v>5701</v>
      </c>
      <c r="F293" s="235" t="s">
        <v>16</v>
      </c>
      <c r="G293" s="242"/>
      <c r="H293" s="242"/>
      <c r="I293" s="242"/>
      <c r="J293" s="242"/>
      <c r="K293" s="242"/>
    </row>
    <row r="294" spans="1:11" s="1" customFormat="1" ht="16" thickBot="1">
      <c r="A294" s="207"/>
      <c r="B294" s="204"/>
      <c r="C294" s="236"/>
      <c r="D294" s="227" t="s">
        <v>5702</v>
      </c>
      <c r="E294" s="215" t="s">
        <v>5703</v>
      </c>
      <c r="F294" s="235" t="s">
        <v>16</v>
      </c>
      <c r="G294" s="242"/>
      <c r="H294" s="242"/>
      <c r="I294" s="242"/>
      <c r="J294" s="242"/>
      <c r="K294" s="242"/>
    </row>
    <row r="295" spans="1:11" s="1" customFormat="1" ht="16" thickBot="1">
      <c r="A295" s="207"/>
      <c r="B295" s="204"/>
      <c r="C295" s="236"/>
      <c r="D295" s="227" t="s">
        <v>5704</v>
      </c>
      <c r="E295" s="215" t="s">
        <v>5705</v>
      </c>
      <c r="F295" s="235" t="s">
        <v>16</v>
      </c>
      <c r="G295" s="242"/>
      <c r="H295" s="242"/>
      <c r="I295" s="242"/>
      <c r="J295" s="242"/>
      <c r="K295" s="242"/>
    </row>
    <row r="296" spans="1:11" s="1" customFormat="1" ht="29" customHeight="1" thickBot="1">
      <c r="A296" s="207"/>
      <c r="B296" s="204"/>
      <c r="C296" s="236"/>
      <c r="D296" s="227" t="s">
        <v>5706</v>
      </c>
      <c r="E296" s="356" t="s">
        <v>5707</v>
      </c>
      <c r="F296" s="235" t="s">
        <v>16</v>
      </c>
      <c r="G296" s="242"/>
      <c r="H296" s="242"/>
      <c r="I296" s="242"/>
      <c r="J296" s="242"/>
      <c r="K296" s="242"/>
    </row>
    <row r="297" spans="1:11" s="1" customFormat="1" ht="29" customHeight="1" thickBot="1">
      <c r="A297" s="207"/>
      <c r="B297" s="204"/>
      <c r="C297" s="236" t="s">
        <v>1720</v>
      </c>
      <c r="D297" s="227" t="s">
        <v>5708</v>
      </c>
      <c r="E297" s="356" t="s">
        <v>5709</v>
      </c>
      <c r="F297" s="235" t="s">
        <v>16</v>
      </c>
      <c r="G297" s="242"/>
      <c r="H297" s="242"/>
      <c r="I297" s="242"/>
      <c r="J297" s="242"/>
      <c r="K297" s="242"/>
    </row>
    <row r="298" spans="1:11" s="1" customFormat="1" ht="29" customHeight="1" thickBot="1">
      <c r="A298" s="207"/>
      <c r="B298" s="204"/>
      <c r="C298" s="236"/>
      <c r="D298" s="227" t="s">
        <v>5710</v>
      </c>
      <c r="E298" s="356" t="s">
        <v>5711</v>
      </c>
      <c r="F298" s="235" t="s">
        <v>16</v>
      </c>
      <c r="G298" s="242"/>
      <c r="H298" s="242"/>
      <c r="I298" s="242"/>
      <c r="J298" s="242"/>
      <c r="K298" s="242"/>
    </row>
    <row r="299" spans="1:11" s="1" customFormat="1" ht="29" customHeight="1" thickBot="1">
      <c r="A299" s="207"/>
      <c r="B299" s="204"/>
      <c r="C299" s="236"/>
      <c r="D299" s="227" t="s">
        <v>5712</v>
      </c>
      <c r="E299" s="356" t="s">
        <v>5713</v>
      </c>
      <c r="F299" s="235" t="s">
        <v>16</v>
      </c>
      <c r="G299" s="242"/>
      <c r="H299" s="242"/>
      <c r="I299" s="242"/>
      <c r="J299" s="242"/>
      <c r="K299" s="242"/>
    </row>
    <row r="300" spans="1:11" s="1" customFormat="1" ht="29" customHeight="1" thickBot="1">
      <c r="A300" s="207"/>
      <c r="B300" s="204"/>
      <c r="C300" s="236"/>
      <c r="D300" s="227" t="s">
        <v>5714</v>
      </c>
      <c r="E300" s="356" t="s">
        <v>5715</v>
      </c>
      <c r="F300" s="235" t="s">
        <v>16</v>
      </c>
      <c r="G300" s="242"/>
      <c r="H300" s="242"/>
      <c r="I300" s="242"/>
      <c r="J300" s="242"/>
      <c r="K300" s="242"/>
    </row>
    <row r="301" spans="1:11" ht="16" thickBot="1">
      <c r="A301" s="207"/>
      <c r="B301" s="205"/>
      <c r="C301" s="236"/>
      <c r="D301" s="227" t="s">
        <v>5716</v>
      </c>
      <c r="E301" s="215" t="s">
        <v>5717</v>
      </c>
      <c r="F301" s="235" t="s">
        <v>16</v>
      </c>
      <c r="G301" s="242"/>
      <c r="H301" s="242"/>
      <c r="I301" s="242"/>
      <c r="J301" s="242"/>
      <c r="K301" s="242"/>
    </row>
    <row r="302" spans="1:11" s="1" customFormat="1" ht="16" thickBot="1">
      <c r="A302" s="207"/>
      <c r="B302" s="203" t="s">
        <v>1658</v>
      </c>
      <c r="C302" s="236" t="s">
        <v>1721</v>
      </c>
      <c r="D302" s="227" t="s">
        <v>5718</v>
      </c>
      <c r="E302" s="215" t="s">
        <v>5719</v>
      </c>
      <c r="F302" s="235" t="s">
        <v>16</v>
      </c>
      <c r="G302" s="242"/>
      <c r="H302" s="242"/>
      <c r="I302" s="242"/>
      <c r="J302" s="242"/>
      <c r="K302" s="242"/>
    </row>
    <row r="303" spans="1:11" s="1" customFormat="1" ht="16" thickBot="1">
      <c r="A303" s="207"/>
      <c r="B303" s="204"/>
      <c r="C303" s="236"/>
      <c r="D303" s="227" t="s">
        <v>5720</v>
      </c>
      <c r="E303" s="215" t="s">
        <v>5721</v>
      </c>
      <c r="F303" s="235" t="s">
        <v>16</v>
      </c>
      <c r="G303" s="242"/>
      <c r="H303" s="242"/>
      <c r="I303" s="242"/>
      <c r="J303" s="242"/>
      <c r="K303" s="242"/>
    </row>
    <row r="304" spans="1:11" s="1" customFormat="1" ht="16" thickBot="1">
      <c r="A304" s="207"/>
      <c r="B304" s="204"/>
      <c r="C304" s="236"/>
      <c r="D304" s="227" t="s">
        <v>5722</v>
      </c>
      <c r="E304" s="215" t="s">
        <v>5723</v>
      </c>
      <c r="F304" s="235" t="s">
        <v>16</v>
      </c>
      <c r="G304" s="242"/>
      <c r="H304" s="242"/>
      <c r="I304" s="242"/>
      <c r="J304" s="242"/>
      <c r="K304" s="242"/>
    </row>
    <row r="305" spans="1:11" s="1" customFormat="1" ht="16" thickBot="1">
      <c r="A305" s="207"/>
      <c r="B305" s="204"/>
      <c r="C305" s="236"/>
      <c r="D305" s="227" t="s">
        <v>5724</v>
      </c>
      <c r="E305" s="215" t="s">
        <v>5725</v>
      </c>
      <c r="F305" s="235" t="s">
        <v>16</v>
      </c>
      <c r="G305" s="242"/>
      <c r="H305" s="242"/>
      <c r="I305" s="242"/>
      <c r="J305" s="242"/>
      <c r="K305" s="242"/>
    </row>
    <row r="306" spans="1:11" s="1" customFormat="1" ht="16" thickBot="1">
      <c r="A306" s="207"/>
      <c r="B306" s="204"/>
      <c r="C306" s="236"/>
      <c r="D306" s="227" t="s">
        <v>5726</v>
      </c>
      <c r="E306" s="215" t="s">
        <v>5727</v>
      </c>
      <c r="F306" s="235" t="s">
        <v>16</v>
      </c>
      <c r="G306" s="242"/>
      <c r="H306" s="242"/>
      <c r="I306" s="242"/>
      <c r="J306" s="242"/>
      <c r="K306" s="242"/>
    </row>
    <row r="307" spans="1:11" s="1" customFormat="1" ht="16" thickBot="1">
      <c r="A307" s="207"/>
      <c r="B307" s="204"/>
      <c r="C307" s="236" t="s">
        <v>1722</v>
      </c>
      <c r="D307" s="227" t="s">
        <v>5678</v>
      </c>
      <c r="E307" s="215" t="s">
        <v>5728</v>
      </c>
      <c r="F307" s="235" t="s">
        <v>16</v>
      </c>
      <c r="G307" s="242"/>
      <c r="H307" s="242"/>
      <c r="I307" s="242"/>
      <c r="J307" s="242"/>
      <c r="K307" s="242"/>
    </row>
    <row r="308" spans="1:11" s="1" customFormat="1" ht="16" thickBot="1">
      <c r="A308" s="207"/>
      <c r="B308" s="204"/>
      <c r="C308" s="236"/>
      <c r="D308" s="227" t="s">
        <v>5729</v>
      </c>
      <c r="E308" s="215" t="s">
        <v>5730</v>
      </c>
      <c r="F308" s="235" t="s">
        <v>16</v>
      </c>
      <c r="G308" s="242"/>
      <c r="H308" s="242"/>
      <c r="I308" s="242"/>
      <c r="J308" s="242"/>
      <c r="K308" s="242"/>
    </row>
    <row r="309" spans="1:11" s="1" customFormat="1" ht="16" thickBot="1">
      <c r="A309" s="207"/>
      <c r="B309" s="204"/>
      <c r="C309" s="236"/>
      <c r="D309" s="227" t="s">
        <v>5731</v>
      </c>
      <c r="E309" s="215" t="s">
        <v>5732</v>
      </c>
      <c r="F309" s="235" t="s">
        <v>16</v>
      </c>
      <c r="G309" s="242"/>
      <c r="H309" s="242"/>
      <c r="I309" s="242"/>
      <c r="J309" s="242"/>
      <c r="K309" s="242"/>
    </row>
    <row r="310" spans="1:11" s="1" customFormat="1" ht="16" thickBot="1">
      <c r="A310" s="207"/>
      <c r="B310" s="204"/>
      <c r="C310" s="236"/>
      <c r="D310" s="227" t="s">
        <v>5733</v>
      </c>
      <c r="E310" s="215" t="s">
        <v>5734</v>
      </c>
      <c r="F310" s="235" t="s">
        <v>16</v>
      </c>
      <c r="G310" s="242"/>
      <c r="H310" s="242"/>
      <c r="I310" s="242"/>
      <c r="J310" s="242"/>
      <c r="K310" s="242"/>
    </row>
    <row r="311" spans="1:11" s="1" customFormat="1" ht="16" thickBot="1">
      <c r="A311" s="207"/>
      <c r="B311" s="204"/>
      <c r="C311" s="236"/>
      <c r="D311" s="227" t="s">
        <v>5716</v>
      </c>
      <c r="E311" s="215" t="s">
        <v>5735</v>
      </c>
      <c r="F311" s="235" t="s">
        <v>16</v>
      </c>
      <c r="G311" s="242"/>
      <c r="H311" s="242"/>
      <c r="I311" s="242"/>
      <c r="J311" s="242"/>
      <c r="K311" s="242"/>
    </row>
    <row r="312" spans="1:11" s="1" customFormat="1" ht="16" thickBot="1">
      <c r="A312" s="207"/>
      <c r="B312" s="204"/>
      <c r="C312" s="236" t="s">
        <v>1723</v>
      </c>
      <c r="D312" s="227" t="s">
        <v>5736</v>
      </c>
      <c r="E312" s="215" t="s">
        <v>5737</v>
      </c>
      <c r="F312" s="235" t="s">
        <v>16</v>
      </c>
      <c r="G312" s="242"/>
      <c r="H312" s="242"/>
      <c r="I312" s="242"/>
      <c r="J312" s="242"/>
      <c r="K312" s="242"/>
    </row>
    <row r="313" spans="1:11" s="1" customFormat="1" ht="16" thickBot="1">
      <c r="A313" s="207"/>
      <c r="B313" s="204"/>
      <c r="C313" s="236"/>
      <c r="D313" s="227" t="s">
        <v>5738</v>
      </c>
      <c r="E313" s="215" t="s">
        <v>5739</v>
      </c>
      <c r="F313" s="235" t="s">
        <v>16</v>
      </c>
      <c r="G313" s="242"/>
      <c r="H313" s="242"/>
      <c r="I313" s="242"/>
      <c r="J313" s="242"/>
      <c r="K313" s="242"/>
    </row>
    <row r="314" spans="1:11" s="1" customFormat="1" ht="16" thickBot="1">
      <c r="A314" s="207"/>
      <c r="B314" s="204"/>
      <c r="C314" s="236"/>
      <c r="D314" s="227" t="s">
        <v>5740</v>
      </c>
      <c r="E314" s="356" t="s">
        <v>5741</v>
      </c>
      <c r="F314" s="235" t="s">
        <v>16</v>
      </c>
      <c r="G314" s="242"/>
      <c r="H314" s="242"/>
      <c r="I314" s="242"/>
      <c r="J314" s="242"/>
      <c r="K314" s="242"/>
    </row>
    <row r="315" spans="1:11" s="1" customFormat="1" ht="16" thickBot="1">
      <c r="A315" s="207"/>
      <c r="B315" s="204"/>
      <c r="C315" s="236"/>
      <c r="D315" s="227" t="s">
        <v>5718</v>
      </c>
      <c r="E315" s="215" t="s">
        <v>5742</v>
      </c>
      <c r="F315" s="235" t="s">
        <v>16</v>
      </c>
      <c r="G315" s="242"/>
      <c r="H315" s="242"/>
      <c r="I315" s="242"/>
      <c r="J315" s="242"/>
      <c r="K315" s="242"/>
    </row>
    <row r="316" spans="1:11" s="1" customFormat="1" ht="16" thickBot="1">
      <c r="A316" s="207"/>
      <c r="B316" s="204"/>
      <c r="C316" s="236"/>
      <c r="D316" s="227" t="s">
        <v>5743</v>
      </c>
      <c r="E316" s="215" t="s">
        <v>5744</v>
      </c>
      <c r="F316" s="235" t="s">
        <v>16</v>
      </c>
      <c r="G316" s="242"/>
      <c r="H316" s="242"/>
      <c r="I316" s="242"/>
      <c r="J316" s="242"/>
      <c r="K316" s="242"/>
    </row>
    <row r="317" spans="1:11" s="1" customFormat="1" ht="16" thickBot="1">
      <c r="A317" s="207"/>
      <c r="B317" s="204"/>
      <c r="C317" s="236" t="s">
        <v>1724</v>
      </c>
      <c r="D317" s="227" t="s">
        <v>5745</v>
      </c>
      <c r="E317" s="215" t="s">
        <v>5746</v>
      </c>
      <c r="F317" s="235" t="s">
        <v>16</v>
      </c>
      <c r="G317" s="242"/>
      <c r="H317" s="242"/>
      <c r="I317" s="242"/>
      <c r="J317" s="242"/>
      <c r="K317" s="242"/>
    </row>
    <row r="318" spans="1:11" s="1" customFormat="1" ht="16" thickBot="1">
      <c r="A318" s="207"/>
      <c r="B318" s="204"/>
      <c r="C318" s="236"/>
      <c r="D318" s="227" t="s">
        <v>5747</v>
      </c>
      <c r="E318" s="356" t="s">
        <v>5748</v>
      </c>
      <c r="F318" s="235" t="s">
        <v>16</v>
      </c>
      <c r="G318" s="242"/>
      <c r="H318" s="242"/>
      <c r="I318" s="242"/>
      <c r="J318" s="242"/>
      <c r="K318" s="242"/>
    </row>
    <row r="319" spans="1:11" s="1" customFormat="1" ht="16" thickBot="1">
      <c r="A319" s="207"/>
      <c r="B319" s="204"/>
      <c r="C319" s="236"/>
      <c r="D319" s="227" t="s">
        <v>5749</v>
      </c>
      <c r="E319" s="215" t="s">
        <v>5750</v>
      </c>
      <c r="F319" s="235" t="s">
        <v>16</v>
      </c>
      <c r="G319" s="242"/>
      <c r="H319" s="242"/>
      <c r="I319" s="242"/>
      <c r="J319" s="242"/>
      <c r="K319" s="242"/>
    </row>
    <row r="320" spans="1:11" s="1" customFormat="1" ht="16" thickBot="1">
      <c r="A320" s="207"/>
      <c r="B320" s="204"/>
      <c r="C320" s="236"/>
      <c r="D320" s="227" t="s">
        <v>5751</v>
      </c>
      <c r="E320" s="215" t="s">
        <v>5752</v>
      </c>
      <c r="F320" s="235" t="s">
        <v>16</v>
      </c>
      <c r="G320" s="242"/>
      <c r="H320" s="242"/>
      <c r="I320" s="242"/>
      <c r="J320" s="242"/>
      <c r="K320" s="242"/>
    </row>
    <row r="321" spans="1:11" s="1" customFormat="1" ht="29" customHeight="1" thickBot="1">
      <c r="A321" s="207"/>
      <c r="B321" s="204"/>
      <c r="C321" s="236"/>
      <c r="D321" s="227" t="s">
        <v>5753</v>
      </c>
      <c r="E321" s="356" t="s">
        <v>5754</v>
      </c>
      <c r="F321" s="235" t="s">
        <v>16</v>
      </c>
      <c r="G321" s="242"/>
      <c r="H321" s="242"/>
      <c r="I321" s="242"/>
      <c r="J321" s="242"/>
      <c r="K321" s="242"/>
    </row>
    <row r="322" spans="1:11" s="1" customFormat="1" ht="29" customHeight="1" thickBot="1">
      <c r="A322" s="207"/>
      <c r="B322" s="204"/>
      <c r="C322" s="236" t="s">
        <v>1725</v>
      </c>
      <c r="D322" s="227" t="s">
        <v>5755</v>
      </c>
      <c r="E322" s="356" t="s">
        <v>5756</v>
      </c>
      <c r="F322" s="235" t="s">
        <v>16</v>
      </c>
      <c r="G322" s="242"/>
      <c r="H322" s="242"/>
      <c r="I322" s="242"/>
      <c r="J322" s="242"/>
      <c r="K322" s="242"/>
    </row>
    <row r="323" spans="1:11" s="1" customFormat="1" ht="29" customHeight="1" thickBot="1">
      <c r="A323" s="207"/>
      <c r="B323" s="204"/>
      <c r="C323" s="236"/>
      <c r="D323" s="227" t="s">
        <v>5757</v>
      </c>
      <c r="E323" s="356" t="s">
        <v>5758</v>
      </c>
      <c r="F323" s="235" t="s">
        <v>16</v>
      </c>
      <c r="G323" s="242"/>
      <c r="H323" s="242"/>
      <c r="I323" s="242"/>
      <c r="J323" s="242"/>
      <c r="K323" s="242"/>
    </row>
    <row r="324" spans="1:11" s="1" customFormat="1" ht="29" customHeight="1" thickBot="1">
      <c r="A324" s="207"/>
      <c r="B324" s="204"/>
      <c r="C324" s="236"/>
      <c r="D324" s="227" t="s">
        <v>5759</v>
      </c>
      <c r="E324" s="356" t="s">
        <v>5760</v>
      </c>
      <c r="F324" s="235" t="s">
        <v>16</v>
      </c>
      <c r="G324" s="242"/>
      <c r="H324" s="242"/>
      <c r="I324" s="242"/>
      <c r="J324" s="242"/>
      <c r="K324" s="242"/>
    </row>
    <row r="325" spans="1:11" s="1" customFormat="1" ht="29" customHeight="1" thickBot="1">
      <c r="A325" s="207"/>
      <c r="B325" s="204"/>
      <c r="C325" s="236"/>
      <c r="D325" s="227" t="s">
        <v>5761</v>
      </c>
      <c r="E325" s="356" t="s">
        <v>5762</v>
      </c>
      <c r="F325" s="235" t="s">
        <v>16</v>
      </c>
      <c r="G325" s="242"/>
      <c r="H325" s="242"/>
      <c r="I325" s="242"/>
      <c r="J325" s="242"/>
      <c r="K325" s="242"/>
    </row>
    <row r="326" spans="1:11" ht="16" thickBot="1">
      <c r="A326" s="207"/>
      <c r="B326" s="205"/>
      <c r="C326" s="236"/>
      <c r="D326" s="227" t="s">
        <v>5678</v>
      </c>
      <c r="E326" s="356" t="s">
        <v>5763</v>
      </c>
      <c r="F326" s="235" t="s">
        <v>16</v>
      </c>
      <c r="G326" s="242"/>
      <c r="H326" s="242"/>
      <c r="I326" s="242"/>
      <c r="J326" s="242"/>
      <c r="K326" s="242"/>
    </row>
    <row r="327" spans="1:11" s="1" customFormat="1" ht="16" thickBot="1">
      <c r="A327" s="207"/>
      <c r="B327" s="203" t="s">
        <v>1659</v>
      </c>
      <c r="C327" s="236" t="s">
        <v>1726</v>
      </c>
      <c r="D327" s="227" t="s">
        <v>5764</v>
      </c>
      <c r="E327" s="215" t="s">
        <v>5765</v>
      </c>
      <c r="F327" s="235" t="s">
        <v>16</v>
      </c>
      <c r="G327" s="242"/>
      <c r="H327" s="242"/>
      <c r="I327" s="242"/>
      <c r="J327" s="242"/>
      <c r="K327" s="242"/>
    </row>
    <row r="328" spans="1:11" s="1" customFormat="1" ht="16" thickBot="1">
      <c r="A328" s="207"/>
      <c r="B328" s="204"/>
      <c r="C328" s="236"/>
      <c r="D328" s="227" t="s">
        <v>5766</v>
      </c>
      <c r="E328" s="215" t="s">
        <v>5767</v>
      </c>
      <c r="F328" s="242" t="s">
        <v>23</v>
      </c>
      <c r="G328" s="242"/>
      <c r="H328" s="242"/>
      <c r="I328" s="242"/>
      <c r="J328" s="242"/>
      <c r="K328" s="242"/>
    </row>
    <row r="329" spans="1:11" s="1" customFormat="1" ht="16" thickBot="1">
      <c r="A329" s="207"/>
      <c r="B329" s="204"/>
      <c r="C329" s="236"/>
      <c r="D329" s="227" t="s">
        <v>5736</v>
      </c>
      <c r="E329" s="215" t="s">
        <v>5768</v>
      </c>
      <c r="F329" s="242" t="s">
        <v>23</v>
      </c>
      <c r="G329" s="242"/>
      <c r="H329" s="242"/>
      <c r="I329" s="242"/>
      <c r="J329" s="242"/>
      <c r="K329" s="242"/>
    </row>
    <row r="330" spans="1:11" s="1" customFormat="1" ht="16" thickBot="1">
      <c r="A330" s="207"/>
      <c r="B330" s="204"/>
      <c r="C330" s="236"/>
      <c r="D330" s="227" t="s">
        <v>5769</v>
      </c>
      <c r="E330" s="215" t="s">
        <v>5770</v>
      </c>
      <c r="F330" s="242" t="s">
        <v>58</v>
      </c>
      <c r="G330" s="242"/>
      <c r="H330" s="242"/>
      <c r="I330" s="242"/>
      <c r="J330" s="242"/>
      <c r="K330" s="242"/>
    </row>
    <row r="331" spans="1:11" s="1" customFormat="1" ht="16" thickBot="1">
      <c r="A331" s="207"/>
      <c r="B331" s="204"/>
      <c r="C331" s="236"/>
      <c r="D331" s="227" t="s">
        <v>5771</v>
      </c>
      <c r="E331" s="215" t="s">
        <v>5772</v>
      </c>
      <c r="F331" s="242" t="s">
        <v>23</v>
      </c>
      <c r="G331" s="242"/>
      <c r="H331" s="242"/>
      <c r="I331" s="242"/>
      <c r="J331" s="242"/>
      <c r="K331" s="242"/>
    </row>
    <row r="332" spans="1:11" s="1" customFormat="1" ht="16" thickBot="1">
      <c r="A332" s="207"/>
      <c r="B332" s="204"/>
      <c r="C332" s="236" t="s">
        <v>1727</v>
      </c>
      <c r="D332" s="227" t="s">
        <v>5773</v>
      </c>
      <c r="E332" s="215" t="s">
        <v>5774</v>
      </c>
      <c r="F332" s="242" t="s">
        <v>58</v>
      </c>
      <c r="G332" s="242"/>
      <c r="H332" s="242"/>
      <c r="I332" s="242"/>
      <c r="J332" s="242"/>
      <c r="K332" s="242"/>
    </row>
    <row r="333" spans="1:11" s="1" customFormat="1" ht="16" thickBot="1">
      <c r="A333" s="207"/>
      <c r="B333" s="204"/>
      <c r="C333" s="236"/>
      <c r="D333" s="227" t="s">
        <v>5775</v>
      </c>
      <c r="E333" s="215" t="s">
        <v>5776</v>
      </c>
      <c r="F333" s="242" t="s">
        <v>58</v>
      </c>
      <c r="G333" s="242"/>
      <c r="H333" s="242"/>
      <c r="I333" s="242"/>
      <c r="J333" s="242"/>
      <c r="K333" s="242"/>
    </row>
    <row r="334" spans="1:11" s="1" customFormat="1" ht="16" thickBot="1">
      <c r="A334" s="207"/>
      <c r="B334" s="204"/>
      <c r="C334" s="236"/>
      <c r="D334" s="227" t="s">
        <v>5777</v>
      </c>
      <c r="E334" s="215" t="s">
        <v>5778</v>
      </c>
      <c r="F334" s="242" t="s">
        <v>58</v>
      </c>
      <c r="G334" s="242"/>
      <c r="H334" s="242"/>
      <c r="I334" s="242"/>
      <c r="J334" s="242"/>
      <c r="K334" s="242"/>
    </row>
    <row r="335" spans="1:11" s="1" customFormat="1" ht="16" thickBot="1">
      <c r="A335" s="207"/>
      <c r="B335" s="204"/>
      <c r="C335" s="236"/>
      <c r="D335" s="227" t="s">
        <v>5779</v>
      </c>
      <c r="E335" s="215" t="s">
        <v>5780</v>
      </c>
      <c r="F335" s="242" t="s">
        <v>23</v>
      </c>
      <c r="G335" s="242"/>
      <c r="H335" s="242"/>
      <c r="I335" s="242"/>
      <c r="J335" s="242"/>
      <c r="K335" s="242"/>
    </row>
    <row r="336" spans="1:11" s="1" customFormat="1" ht="16" thickBot="1">
      <c r="A336" s="207"/>
      <c r="B336" s="204"/>
      <c r="C336" s="236"/>
      <c r="D336" s="227" t="s">
        <v>5678</v>
      </c>
      <c r="E336" s="215" t="s">
        <v>5781</v>
      </c>
      <c r="F336" s="242" t="s">
        <v>23</v>
      </c>
      <c r="G336" s="242"/>
      <c r="H336" s="242"/>
      <c r="I336" s="242"/>
      <c r="J336" s="242"/>
      <c r="K336" s="242"/>
    </row>
    <row r="337" spans="1:11" s="1" customFormat="1" ht="16" thickBot="1">
      <c r="A337" s="207"/>
      <c r="B337" s="204"/>
      <c r="C337" s="236" t="s">
        <v>1728</v>
      </c>
      <c r="D337" s="227" t="s">
        <v>5782</v>
      </c>
      <c r="E337" s="215" t="s">
        <v>5783</v>
      </c>
      <c r="F337" s="242" t="s">
        <v>16</v>
      </c>
      <c r="G337" s="242"/>
      <c r="H337" s="242"/>
      <c r="I337" s="242"/>
      <c r="J337" s="242"/>
      <c r="K337" s="242"/>
    </row>
    <row r="338" spans="1:11" s="1" customFormat="1" ht="16" thickBot="1">
      <c r="A338" s="207"/>
      <c r="B338" s="204"/>
      <c r="C338" s="236"/>
      <c r="D338" s="227" t="s">
        <v>5784</v>
      </c>
      <c r="E338" s="215" t="s">
        <v>5785</v>
      </c>
      <c r="F338" s="242" t="s">
        <v>23</v>
      </c>
      <c r="G338" s="242"/>
      <c r="H338" s="242"/>
      <c r="I338" s="242"/>
      <c r="J338" s="242"/>
      <c r="K338" s="242"/>
    </row>
    <row r="339" spans="1:11" s="1" customFormat="1" ht="16" thickBot="1">
      <c r="A339" s="207"/>
      <c r="B339" s="204"/>
      <c r="C339" s="236"/>
      <c r="D339" s="227" t="s">
        <v>5786</v>
      </c>
      <c r="E339" s="215" t="s">
        <v>5787</v>
      </c>
      <c r="F339" s="242" t="s">
        <v>23</v>
      </c>
      <c r="G339" s="242"/>
      <c r="H339" s="242"/>
      <c r="I339" s="242"/>
      <c r="J339" s="242"/>
      <c r="K339" s="242"/>
    </row>
    <row r="340" spans="1:11" s="1" customFormat="1" ht="16" thickBot="1">
      <c r="A340" s="207"/>
      <c r="B340" s="204"/>
      <c r="C340" s="236"/>
      <c r="D340" s="227" t="s">
        <v>5788</v>
      </c>
      <c r="E340" s="215" t="s">
        <v>5789</v>
      </c>
      <c r="F340" s="242" t="s">
        <v>23</v>
      </c>
      <c r="G340" s="242"/>
      <c r="H340" s="242"/>
      <c r="I340" s="242"/>
      <c r="J340" s="242"/>
      <c r="K340" s="242"/>
    </row>
    <row r="341" spans="1:11" s="1" customFormat="1" ht="16" thickBot="1">
      <c r="A341" s="207"/>
      <c r="B341" s="204"/>
      <c r="C341" s="236"/>
      <c r="D341" s="227" t="s">
        <v>5790</v>
      </c>
      <c r="E341" s="215" t="s">
        <v>5791</v>
      </c>
      <c r="F341" s="242" t="s">
        <v>23</v>
      </c>
      <c r="G341" s="242"/>
      <c r="H341" s="242"/>
      <c r="I341" s="242"/>
      <c r="J341" s="242"/>
      <c r="K341" s="242"/>
    </row>
    <row r="342" spans="1:11" s="1" customFormat="1" ht="16" thickBot="1">
      <c r="A342" s="207"/>
      <c r="B342" s="204"/>
      <c r="C342" s="236" t="s">
        <v>1729</v>
      </c>
      <c r="D342" s="227" t="s">
        <v>5792</v>
      </c>
      <c r="E342" s="215" t="s">
        <v>5793</v>
      </c>
      <c r="F342" s="242" t="s">
        <v>23</v>
      </c>
      <c r="G342" s="242"/>
      <c r="H342" s="242"/>
      <c r="I342" s="242"/>
      <c r="J342" s="242"/>
      <c r="K342" s="242"/>
    </row>
    <row r="343" spans="1:11" s="1" customFormat="1" ht="16" thickBot="1">
      <c r="A343" s="207"/>
      <c r="B343" s="204"/>
      <c r="C343" s="236"/>
      <c r="D343" s="227" t="s">
        <v>5794</v>
      </c>
      <c r="E343" s="215" t="s">
        <v>5795</v>
      </c>
      <c r="F343" s="242" t="s">
        <v>23</v>
      </c>
      <c r="G343" s="242"/>
      <c r="H343" s="242"/>
      <c r="I343" s="242"/>
      <c r="J343" s="242"/>
      <c r="K343" s="242"/>
    </row>
    <row r="344" spans="1:11" s="1" customFormat="1" ht="16" thickBot="1">
      <c r="A344" s="207"/>
      <c r="B344" s="204"/>
      <c r="C344" s="236"/>
      <c r="D344" s="227" t="s">
        <v>5796</v>
      </c>
      <c r="E344" s="215" t="s">
        <v>5797</v>
      </c>
      <c r="F344" s="242" t="s">
        <v>23</v>
      </c>
      <c r="G344" s="242"/>
      <c r="H344" s="242"/>
      <c r="I344" s="242"/>
      <c r="J344" s="242"/>
      <c r="K344" s="242"/>
    </row>
    <row r="345" spans="1:11" s="1" customFormat="1" ht="16" thickBot="1">
      <c r="A345" s="207"/>
      <c r="B345" s="204"/>
      <c r="C345" s="236"/>
      <c r="D345" s="227" t="s">
        <v>5798</v>
      </c>
      <c r="E345" s="215" t="s">
        <v>5799</v>
      </c>
      <c r="F345" s="242" t="s">
        <v>23</v>
      </c>
      <c r="G345" s="242"/>
      <c r="H345" s="242"/>
      <c r="I345" s="242"/>
      <c r="J345" s="242"/>
      <c r="K345" s="242"/>
    </row>
    <row r="346" spans="1:11" s="1" customFormat="1" ht="16" thickBot="1">
      <c r="A346" s="207"/>
      <c r="B346" s="204"/>
      <c r="C346" s="236"/>
      <c r="D346" s="227" t="s">
        <v>5800</v>
      </c>
      <c r="E346" s="215" t="s">
        <v>5801</v>
      </c>
      <c r="F346" s="242" t="s">
        <v>23</v>
      </c>
      <c r="G346" s="242"/>
      <c r="H346" s="242"/>
      <c r="I346" s="242"/>
      <c r="J346" s="242"/>
      <c r="K346" s="242"/>
    </row>
    <row r="347" spans="1:11" s="1" customFormat="1" ht="16" thickBot="1">
      <c r="A347" s="207"/>
      <c r="B347" s="204"/>
      <c r="C347" s="236" t="s">
        <v>1730</v>
      </c>
      <c r="D347" s="227" t="s">
        <v>5745</v>
      </c>
      <c r="E347" s="215" t="s">
        <v>5802</v>
      </c>
      <c r="F347" s="242" t="s">
        <v>23</v>
      </c>
      <c r="G347" s="242"/>
      <c r="H347" s="242"/>
      <c r="I347" s="242"/>
      <c r="J347" s="242"/>
      <c r="K347" s="242"/>
    </row>
    <row r="348" spans="1:11" s="1" customFormat="1" ht="16" thickBot="1">
      <c r="A348" s="207"/>
      <c r="B348" s="204"/>
      <c r="C348" s="236"/>
      <c r="D348" s="227" t="s">
        <v>5803</v>
      </c>
      <c r="E348" s="215" t="s">
        <v>5804</v>
      </c>
      <c r="F348" s="242" t="s">
        <v>23</v>
      </c>
      <c r="G348" s="242"/>
      <c r="H348" s="242"/>
      <c r="I348" s="242"/>
      <c r="J348" s="242"/>
      <c r="K348" s="242"/>
    </row>
    <row r="349" spans="1:11" s="1" customFormat="1" ht="16" thickBot="1">
      <c r="A349" s="207"/>
      <c r="B349" s="204"/>
      <c r="C349" s="236"/>
      <c r="D349" s="227" t="s">
        <v>5805</v>
      </c>
      <c r="E349" s="215" t="s">
        <v>5806</v>
      </c>
      <c r="F349" s="242" t="s">
        <v>23</v>
      </c>
      <c r="G349" s="242"/>
      <c r="H349" s="242"/>
      <c r="I349" s="242"/>
      <c r="J349" s="242"/>
      <c r="K349" s="242"/>
    </row>
    <row r="350" spans="1:11" s="1" customFormat="1" ht="16" thickBot="1">
      <c r="A350" s="207"/>
      <c r="B350" s="204"/>
      <c r="C350" s="236"/>
      <c r="D350" s="227" t="s">
        <v>5807</v>
      </c>
      <c r="E350" s="215" t="s">
        <v>5808</v>
      </c>
      <c r="F350" s="242" t="s">
        <v>23</v>
      </c>
      <c r="G350" s="242"/>
      <c r="H350" s="242"/>
      <c r="I350" s="242"/>
      <c r="J350" s="242"/>
      <c r="K350" s="242"/>
    </row>
    <row r="351" spans="1:11" ht="16" thickBot="1">
      <c r="A351" s="207"/>
      <c r="B351" s="205"/>
      <c r="C351" s="236"/>
      <c r="D351" s="227" t="s">
        <v>5809</v>
      </c>
      <c r="E351" s="215" t="s">
        <v>5810</v>
      </c>
      <c r="F351" s="242" t="s">
        <v>23</v>
      </c>
      <c r="G351" s="242"/>
      <c r="H351" s="242"/>
      <c r="I351" s="242"/>
      <c r="J351" s="242"/>
      <c r="K351" s="242"/>
    </row>
    <row r="352" spans="1:11" s="1" customFormat="1" ht="16" thickBot="1">
      <c r="A352" s="207"/>
      <c r="B352" s="203" t="s">
        <v>1660</v>
      </c>
      <c r="C352" s="236" t="s">
        <v>1731</v>
      </c>
      <c r="D352" s="227" t="s">
        <v>5811</v>
      </c>
      <c r="E352" s="215" t="s">
        <v>5812</v>
      </c>
      <c r="F352" s="242" t="s">
        <v>23</v>
      </c>
      <c r="G352" s="242"/>
      <c r="H352" s="242"/>
      <c r="I352" s="242"/>
      <c r="J352" s="242"/>
      <c r="K352" s="242"/>
    </row>
    <row r="353" spans="1:11" s="1" customFormat="1" ht="16" thickBot="1">
      <c r="A353" s="207"/>
      <c r="B353" s="204"/>
      <c r="C353" s="236"/>
      <c r="D353" s="227" t="s">
        <v>5813</v>
      </c>
      <c r="E353" s="215" t="s">
        <v>5814</v>
      </c>
      <c r="F353" s="242" t="s">
        <v>16</v>
      </c>
      <c r="G353" s="242"/>
      <c r="H353" s="242"/>
      <c r="I353" s="242"/>
      <c r="J353" s="242"/>
      <c r="K353" s="242"/>
    </row>
    <row r="354" spans="1:11" s="1" customFormat="1" ht="16" thickBot="1">
      <c r="A354" s="207"/>
      <c r="B354" s="204"/>
      <c r="C354" s="236"/>
      <c r="D354" s="227" t="s">
        <v>5815</v>
      </c>
      <c r="E354" s="215" t="s">
        <v>5816</v>
      </c>
      <c r="F354" s="242" t="s">
        <v>16</v>
      </c>
      <c r="G354" s="242"/>
      <c r="H354" s="242"/>
      <c r="I354" s="242"/>
      <c r="J354" s="242"/>
      <c r="K354" s="242"/>
    </row>
    <row r="355" spans="1:11" s="1" customFormat="1" ht="16" thickBot="1">
      <c r="A355" s="207"/>
      <c r="B355" s="204"/>
      <c r="C355" s="236"/>
      <c r="D355" s="227" t="s">
        <v>5817</v>
      </c>
      <c r="E355" s="215" t="s">
        <v>5818</v>
      </c>
      <c r="F355" s="242" t="s">
        <v>16</v>
      </c>
      <c r="G355" s="242"/>
      <c r="H355" s="242"/>
      <c r="I355" s="242"/>
      <c r="J355" s="242"/>
      <c r="K355" s="242"/>
    </row>
    <row r="356" spans="1:11" s="1" customFormat="1" ht="16" thickBot="1">
      <c r="A356" s="207"/>
      <c r="B356" s="204"/>
      <c r="C356" s="236"/>
      <c r="D356" s="227" t="s">
        <v>5678</v>
      </c>
      <c r="E356" s="215" t="s">
        <v>5819</v>
      </c>
      <c r="F356" s="242" t="s">
        <v>16</v>
      </c>
      <c r="G356" s="242"/>
      <c r="H356" s="242"/>
      <c r="I356" s="242"/>
      <c r="J356" s="242"/>
      <c r="K356" s="242"/>
    </row>
    <row r="357" spans="1:11" s="1" customFormat="1" ht="16" thickBot="1">
      <c r="A357" s="207"/>
      <c r="B357" s="204"/>
      <c r="C357" s="236" t="s">
        <v>1732</v>
      </c>
      <c r="D357" s="227" t="s">
        <v>5820</v>
      </c>
      <c r="E357" s="215" t="s">
        <v>5821</v>
      </c>
      <c r="F357" s="242" t="s">
        <v>16</v>
      </c>
      <c r="G357" s="242"/>
      <c r="H357" s="242"/>
      <c r="I357" s="242"/>
      <c r="J357" s="242"/>
      <c r="K357" s="242"/>
    </row>
    <row r="358" spans="1:11" s="1" customFormat="1" ht="16" thickBot="1">
      <c r="A358" s="207"/>
      <c r="B358" s="204"/>
      <c r="C358" s="236"/>
      <c r="D358" s="227" t="s">
        <v>5822</v>
      </c>
      <c r="E358" s="215" t="s">
        <v>5823</v>
      </c>
      <c r="F358" s="242" t="s">
        <v>16</v>
      </c>
      <c r="G358" s="242"/>
      <c r="H358" s="242"/>
      <c r="I358" s="242"/>
      <c r="J358" s="242"/>
      <c r="K358" s="242"/>
    </row>
    <row r="359" spans="1:11" s="1" customFormat="1" ht="16" thickBot="1">
      <c r="A359" s="207"/>
      <c r="B359" s="204"/>
      <c r="C359" s="236"/>
      <c r="D359" s="227" t="s">
        <v>5824</v>
      </c>
      <c r="E359" s="215" t="s">
        <v>5825</v>
      </c>
      <c r="F359" s="242" t="s">
        <v>16</v>
      </c>
      <c r="G359" s="242"/>
      <c r="H359" s="242"/>
      <c r="I359" s="242"/>
      <c r="J359" s="242"/>
      <c r="K359" s="242"/>
    </row>
    <row r="360" spans="1:11" s="1" customFormat="1" ht="16" thickBot="1">
      <c r="A360" s="207"/>
      <c r="B360" s="204"/>
      <c r="C360" s="236"/>
      <c r="D360" s="227" t="s">
        <v>5826</v>
      </c>
      <c r="E360" s="215" t="s">
        <v>5827</v>
      </c>
      <c r="F360" s="242" t="s">
        <v>16</v>
      </c>
      <c r="G360" s="242"/>
      <c r="H360" s="242"/>
      <c r="I360" s="242"/>
      <c r="J360" s="242"/>
      <c r="K360" s="242"/>
    </row>
    <row r="361" spans="1:11" s="1" customFormat="1" ht="16" thickBot="1">
      <c r="A361" s="207"/>
      <c r="B361" s="204"/>
      <c r="C361" s="236"/>
      <c r="D361" s="227" t="s">
        <v>5828</v>
      </c>
      <c r="E361" s="215" t="s">
        <v>5829</v>
      </c>
      <c r="F361" s="242" t="s">
        <v>16</v>
      </c>
      <c r="G361" s="242"/>
      <c r="H361" s="242"/>
      <c r="I361" s="242"/>
      <c r="J361" s="242"/>
      <c r="K361" s="242"/>
    </row>
    <row r="362" spans="1:11" s="1" customFormat="1" ht="16" thickBot="1">
      <c r="A362" s="207"/>
      <c r="B362" s="204"/>
      <c r="C362" s="236" t="s">
        <v>1732</v>
      </c>
      <c r="D362" s="227" t="s">
        <v>5830</v>
      </c>
      <c r="E362" s="215" t="s">
        <v>5831</v>
      </c>
      <c r="F362" s="242" t="s">
        <v>16</v>
      </c>
      <c r="G362" s="242"/>
      <c r="H362" s="242"/>
      <c r="I362" s="242"/>
      <c r="J362" s="242"/>
      <c r="K362" s="242"/>
    </row>
    <row r="363" spans="1:11" s="1" customFormat="1" ht="16" thickBot="1">
      <c r="A363" s="207"/>
      <c r="B363" s="204"/>
      <c r="C363" s="236"/>
      <c r="D363" s="227" t="s">
        <v>5832</v>
      </c>
      <c r="E363" s="215" t="s">
        <v>5833</v>
      </c>
      <c r="F363" s="242" t="s">
        <v>16</v>
      </c>
      <c r="G363" s="242"/>
      <c r="H363" s="242"/>
      <c r="I363" s="242"/>
      <c r="J363" s="242"/>
      <c r="K363" s="242"/>
    </row>
    <row r="364" spans="1:11" s="1" customFormat="1" ht="16" thickBot="1">
      <c r="A364" s="207"/>
      <c r="B364" s="204"/>
      <c r="C364" s="236"/>
      <c r="D364" s="227" t="s">
        <v>5834</v>
      </c>
      <c r="E364" s="215" t="s">
        <v>5835</v>
      </c>
      <c r="F364" s="242" t="s">
        <v>16</v>
      </c>
      <c r="G364" s="242"/>
      <c r="H364" s="242"/>
      <c r="I364" s="242"/>
      <c r="J364" s="242"/>
      <c r="K364" s="242"/>
    </row>
    <row r="365" spans="1:11" s="1" customFormat="1" ht="16" thickBot="1">
      <c r="A365" s="207"/>
      <c r="B365" s="204"/>
      <c r="C365" s="236"/>
      <c r="D365" s="227" t="s">
        <v>5751</v>
      </c>
      <c r="E365" s="215" t="s">
        <v>5836</v>
      </c>
      <c r="F365" s="242" t="s">
        <v>16</v>
      </c>
      <c r="G365" s="242"/>
      <c r="H365" s="242"/>
      <c r="I365" s="242"/>
      <c r="J365" s="242"/>
      <c r="K365" s="242"/>
    </row>
    <row r="366" spans="1:11" s="1" customFormat="1" ht="16" thickBot="1">
      <c r="A366" s="207"/>
      <c r="B366" s="204"/>
      <c r="C366" s="236"/>
      <c r="D366" s="227" t="s">
        <v>5753</v>
      </c>
      <c r="E366" s="215" t="s">
        <v>5837</v>
      </c>
      <c r="F366" s="242" t="s">
        <v>16</v>
      </c>
      <c r="G366" s="242"/>
      <c r="H366" s="242"/>
      <c r="I366" s="242"/>
      <c r="J366" s="242"/>
      <c r="K366" s="242"/>
    </row>
    <row r="367" spans="1:11" s="1" customFormat="1" ht="16" thickBot="1">
      <c r="A367" s="207"/>
      <c r="B367" s="204"/>
      <c r="C367" s="236" t="s">
        <v>1732</v>
      </c>
      <c r="D367" s="227" t="s">
        <v>5716</v>
      </c>
      <c r="E367" s="215" t="s">
        <v>5838</v>
      </c>
      <c r="F367" s="242" t="s">
        <v>16</v>
      </c>
      <c r="G367" s="242"/>
      <c r="H367" s="242"/>
      <c r="I367" s="242"/>
      <c r="J367" s="242"/>
      <c r="K367" s="242"/>
    </row>
    <row r="368" spans="1:11" s="1" customFormat="1" ht="16" thickBot="1">
      <c r="A368" s="207"/>
      <c r="B368" s="204"/>
      <c r="C368" s="236"/>
      <c r="D368" s="227" t="s">
        <v>5839</v>
      </c>
      <c r="E368" s="215" t="s">
        <v>5840</v>
      </c>
      <c r="F368" s="242" t="s">
        <v>16</v>
      </c>
      <c r="G368" s="242"/>
      <c r="H368" s="242"/>
      <c r="I368" s="242"/>
      <c r="J368" s="242"/>
      <c r="K368" s="242"/>
    </row>
    <row r="369" spans="1:11" s="1" customFormat="1" ht="16" thickBot="1">
      <c r="A369" s="207"/>
      <c r="B369" s="204"/>
      <c r="C369" s="236"/>
      <c r="D369" s="227" t="s">
        <v>5841</v>
      </c>
      <c r="E369" s="215" t="s">
        <v>5842</v>
      </c>
      <c r="F369" s="242" t="s">
        <v>16</v>
      </c>
      <c r="G369" s="242"/>
      <c r="H369" s="242"/>
      <c r="I369" s="242"/>
      <c r="J369" s="242"/>
      <c r="K369" s="242"/>
    </row>
    <row r="370" spans="1:11" s="1" customFormat="1" ht="16" thickBot="1">
      <c r="A370" s="207"/>
      <c r="B370" s="204"/>
      <c r="C370" s="236"/>
      <c r="D370" s="227" t="s">
        <v>5843</v>
      </c>
      <c r="E370" s="215" t="s">
        <v>5844</v>
      </c>
      <c r="F370" s="242" t="s">
        <v>16</v>
      </c>
      <c r="G370" s="242"/>
      <c r="H370" s="242"/>
      <c r="I370" s="242"/>
      <c r="J370" s="242"/>
      <c r="K370" s="242"/>
    </row>
    <row r="371" spans="1:11" s="1" customFormat="1" ht="16" thickBot="1">
      <c r="A371" s="207"/>
      <c r="B371" s="204"/>
      <c r="C371" s="236"/>
      <c r="D371" s="227" t="s">
        <v>5782</v>
      </c>
      <c r="E371" s="215" t="s">
        <v>5845</v>
      </c>
      <c r="F371" s="242" t="s">
        <v>16</v>
      </c>
      <c r="G371" s="242"/>
      <c r="H371" s="242"/>
      <c r="I371" s="242"/>
      <c r="J371" s="242"/>
      <c r="K371" s="242"/>
    </row>
    <row r="372" spans="1:11" s="1" customFormat="1" ht="16" thickBot="1">
      <c r="A372" s="207"/>
      <c r="B372" s="204"/>
      <c r="C372" s="236" t="s">
        <v>1733</v>
      </c>
      <c r="D372" s="227" t="s">
        <v>5846</v>
      </c>
      <c r="E372" s="215" t="s">
        <v>5847</v>
      </c>
      <c r="F372" s="242" t="s">
        <v>16</v>
      </c>
      <c r="G372" s="242"/>
      <c r="H372" s="242"/>
      <c r="I372" s="242"/>
      <c r="J372" s="242"/>
      <c r="K372" s="242"/>
    </row>
    <row r="373" spans="1:11" s="1" customFormat="1" ht="16" thickBot="1">
      <c r="A373" s="207"/>
      <c r="B373" s="204"/>
      <c r="C373" s="236"/>
      <c r="D373" s="227" t="s">
        <v>5855</v>
      </c>
      <c r="E373" s="215" t="s">
        <v>5856</v>
      </c>
      <c r="F373" s="242" t="s">
        <v>16</v>
      </c>
      <c r="G373" s="242"/>
      <c r="H373" s="242"/>
      <c r="I373" s="242"/>
      <c r="J373" s="242"/>
      <c r="K373" s="242"/>
    </row>
    <row r="374" spans="1:11" s="1" customFormat="1" ht="16" thickBot="1">
      <c r="A374" s="207"/>
      <c r="B374" s="204"/>
      <c r="C374" s="236"/>
      <c r="D374" s="227" t="s">
        <v>5848</v>
      </c>
      <c r="E374" s="215" t="s">
        <v>5849</v>
      </c>
      <c r="F374" s="242" t="s">
        <v>16</v>
      </c>
      <c r="G374" s="242"/>
      <c r="H374" s="242"/>
      <c r="I374" s="242"/>
      <c r="J374" s="242"/>
      <c r="K374" s="242"/>
    </row>
    <row r="375" spans="1:11" s="1" customFormat="1" ht="16" thickBot="1">
      <c r="A375" s="207"/>
      <c r="B375" s="204"/>
      <c r="C375" s="236"/>
      <c r="D375" s="227" t="s">
        <v>5736</v>
      </c>
      <c r="E375" s="215" t="s">
        <v>5850</v>
      </c>
      <c r="F375" s="242" t="s">
        <v>16</v>
      </c>
      <c r="G375" s="242"/>
      <c r="H375" s="242"/>
      <c r="I375" s="242"/>
      <c r="J375" s="242"/>
      <c r="K375" s="242"/>
    </row>
    <row r="376" spans="1:11" ht="16" thickBot="1">
      <c r="A376" s="208"/>
      <c r="B376" s="205"/>
      <c r="C376" s="236"/>
      <c r="D376" s="227" t="s">
        <v>5851</v>
      </c>
      <c r="E376" s="215" t="s">
        <v>5852</v>
      </c>
      <c r="F376" s="242" t="s">
        <v>23</v>
      </c>
      <c r="G376" s="242"/>
      <c r="H376" s="242"/>
      <c r="I376" s="242"/>
      <c r="J376" s="242"/>
      <c r="K376" s="242"/>
    </row>
    <row r="377" spans="1:11" ht="15.5">
      <c r="D377" s="201"/>
      <c r="E377" s="209"/>
    </row>
    <row r="378" spans="1:11" ht="15.5">
      <c r="D378" s="201"/>
      <c r="E378" s="209"/>
    </row>
    <row r="379" spans="1:11" ht="15.5">
      <c r="D379" s="201"/>
      <c r="E379" s="209"/>
    </row>
    <row r="380" spans="1:11" ht="15.5">
      <c r="D380" s="201"/>
      <c r="E380" s="209"/>
    </row>
    <row r="381" spans="1:11" ht="15.5">
      <c r="D381" s="201"/>
      <c r="E381" s="209"/>
    </row>
  </sheetData>
  <mergeCells count="91">
    <mergeCell ref="C362:C366"/>
    <mergeCell ref="C367:C371"/>
    <mergeCell ref="B152:B176"/>
    <mergeCell ref="B27:B51"/>
    <mergeCell ref="C327:C331"/>
    <mergeCell ref="B327:B351"/>
    <mergeCell ref="C372:C376"/>
    <mergeCell ref="C352:C356"/>
    <mergeCell ref="B352:B376"/>
    <mergeCell ref="C332:C336"/>
    <mergeCell ref="C337:C341"/>
    <mergeCell ref="C342:C346"/>
    <mergeCell ref="C347:C351"/>
    <mergeCell ref="C357:C361"/>
    <mergeCell ref="C302:C306"/>
    <mergeCell ref="B302:B326"/>
    <mergeCell ref="C307:C311"/>
    <mergeCell ref="C312:C316"/>
    <mergeCell ref="C317:C321"/>
    <mergeCell ref="C322:C326"/>
    <mergeCell ref="C277:C281"/>
    <mergeCell ref="B277:B301"/>
    <mergeCell ref="C282:C286"/>
    <mergeCell ref="C287:C291"/>
    <mergeCell ref="C292:C296"/>
    <mergeCell ref="C297:C301"/>
    <mergeCell ref="C252:C256"/>
    <mergeCell ref="B252:B276"/>
    <mergeCell ref="C257:C261"/>
    <mergeCell ref="C262:C266"/>
    <mergeCell ref="C267:C271"/>
    <mergeCell ref="C272:C276"/>
    <mergeCell ref="C222:C226"/>
    <mergeCell ref="C227:C231"/>
    <mergeCell ref="B227:B251"/>
    <mergeCell ref="C232:C236"/>
    <mergeCell ref="C237:C241"/>
    <mergeCell ref="C242:C246"/>
    <mergeCell ref="C247:C251"/>
    <mergeCell ref="B177:B201"/>
    <mergeCell ref="C182:C186"/>
    <mergeCell ref="C187:C191"/>
    <mergeCell ref="C192:C196"/>
    <mergeCell ref="C197:C201"/>
    <mergeCell ref="C202:C206"/>
    <mergeCell ref="B202:B226"/>
    <mergeCell ref="C207:C211"/>
    <mergeCell ref="C212:C216"/>
    <mergeCell ref="C217:C221"/>
    <mergeCell ref="C152:C156"/>
    <mergeCell ref="C157:C161"/>
    <mergeCell ref="C162:C166"/>
    <mergeCell ref="C167:C171"/>
    <mergeCell ref="C172:C176"/>
    <mergeCell ref="C177:C181"/>
    <mergeCell ref="C127:C131"/>
    <mergeCell ref="C132:C136"/>
    <mergeCell ref="C137:C141"/>
    <mergeCell ref="C142:C146"/>
    <mergeCell ref="C147:C151"/>
    <mergeCell ref="B127:B151"/>
    <mergeCell ref="C102:C106"/>
    <mergeCell ref="B102:B126"/>
    <mergeCell ref="C107:C111"/>
    <mergeCell ref="C112:C116"/>
    <mergeCell ref="C117:C121"/>
    <mergeCell ref="C122:C126"/>
    <mergeCell ref="C77:C81"/>
    <mergeCell ref="B77:B101"/>
    <mergeCell ref="C82:C86"/>
    <mergeCell ref="C87:C91"/>
    <mergeCell ref="C92:C96"/>
    <mergeCell ref="C97:C101"/>
    <mergeCell ref="C37:C41"/>
    <mergeCell ref="C42:C46"/>
    <mergeCell ref="C47:C51"/>
    <mergeCell ref="C52:C56"/>
    <mergeCell ref="C57:C61"/>
    <mergeCell ref="B52:B76"/>
    <mergeCell ref="C62:C66"/>
    <mergeCell ref="C67:C71"/>
    <mergeCell ref="C72:C76"/>
    <mergeCell ref="C2:C6"/>
    <mergeCell ref="B2:B26"/>
    <mergeCell ref="A2:A376"/>
    <mergeCell ref="C7:C11"/>
    <mergeCell ref="C12:C16"/>
    <mergeCell ref="C17:C21"/>
    <mergeCell ref="C22:C26"/>
    <mergeCell ref="C27:C31"/>
    <mergeCell ref="C32:C3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
  <sheetViews>
    <sheetView topLeftCell="A70" zoomScale="40" zoomScaleNormal="40" workbookViewId="0">
      <selection activeCell="K2" sqref="A2:K101"/>
    </sheetView>
  </sheetViews>
  <sheetFormatPr baseColWidth="10" defaultRowHeight="14.5"/>
  <cols>
    <col min="1" max="1" width="51" bestFit="1" customWidth="1"/>
    <col min="2" max="2" width="61.36328125" bestFit="1" customWidth="1"/>
    <col min="3" max="3" width="123.26953125" bestFit="1" customWidth="1"/>
    <col min="4" max="4" width="55.08984375" bestFit="1" customWidth="1"/>
    <col min="5" max="5" width="75.1796875" bestFit="1" customWidth="1"/>
    <col min="6" max="6" width="14.1796875" bestFit="1" customWidth="1"/>
    <col min="7" max="7" width="71.1796875" customWidth="1"/>
    <col min="8" max="8" width="47.1796875" bestFit="1" customWidth="1"/>
    <col min="9" max="9" width="12.81640625" customWidth="1"/>
    <col min="10" max="10" width="20.81640625" bestFit="1" customWidth="1"/>
    <col min="11" max="11" width="25.54296875" bestFit="1" customWidth="1"/>
  </cols>
  <sheetData>
    <row r="1" spans="1:11" ht="16" thickBot="1">
      <c r="A1" s="210" t="s">
        <v>1735</v>
      </c>
      <c r="B1" s="210" t="s">
        <v>1</v>
      </c>
      <c r="C1" s="211" t="s">
        <v>2</v>
      </c>
      <c r="D1" s="212" t="s">
        <v>3</v>
      </c>
      <c r="E1" s="212" t="s">
        <v>4</v>
      </c>
      <c r="F1" s="211" t="s">
        <v>5</v>
      </c>
      <c r="G1" s="212" t="s">
        <v>6</v>
      </c>
      <c r="H1" s="212" t="s">
        <v>7</v>
      </c>
      <c r="I1" s="211" t="s">
        <v>8</v>
      </c>
      <c r="J1" s="212" t="s">
        <v>9</v>
      </c>
      <c r="K1" s="212" t="s">
        <v>10</v>
      </c>
    </row>
    <row r="2" spans="1:11" ht="15" thickBot="1">
      <c r="A2" s="213" t="s">
        <v>1736</v>
      </c>
      <c r="B2" s="213" t="s">
        <v>1737</v>
      </c>
      <c r="C2" s="213" t="s">
        <v>1738</v>
      </c>
      <c r="D2" s="227" t="s">
        <v>1974</v>
      </c>
      <c r="E2" s="245" t="s">
        <v>1975</v>
      </c>
      <c r="F2" s="245" t="s">
        <v>16</v>
      </c>
      <c r="G2" s="245" t="s">
        <v>1993</v>
      </c>
      <c r="H2" s="245" t="s">
        <v>1976</v>
      </c>
      <c r="I2" s="351" t="s">
        <v>19</v>
      </c>
      <c r="J2" s="242"/>
      <c r="K2" s="242"/>
    </row>
    <row r="3" spans="1:11" ht="15" thickBot="1">
      <c r="A3" s="200"/>
      <c r="B3" s="200"/>
      <c r="C3" s="200"/>
      <c r="D3" s="224" t="s">
        <v>1977</v>
      </c>
      <c r="E3" s="235" t="s">
        <v>1978</v>
      </c>
      <c r="F3" s="235" t="s">
        <v>16</v>
      </c>
      <c r="G3" s="235" t="s">
        <v>1979</v>
      </c>
      <c r="H3" s="235" t="s">
        <v>1980</v>
      </c>
      <c r="I3" s="246" t="s">
        <v>26</v>
      </c>
      <c r="J3" s="242"/>
      <c r="K3" s="242"/>
    </row>
    <row r="4" spans="1:11" ht="15" thickBot="1">
      <c r="A4" s="200"/>
      <c r="B4" s="200"/>
      <c r="C4" s="200"/>
      <c r="D4" s="224" t="s">
        <v>1981</v>
      </c>
      <c r="E4" s="235" t="s">
        <v>1982</v>
      </c>
      <c r="F4" s="235" t="s">
        <v>16</v>
      </c>
      <c r="G4" s="235" t="s">
        <v>1983</v>
      </c>
      <c r="H4" s="235" t="s">
        <v>1984</v>
      </c>
      <c r="I4" s="246" t="s">
        <v>26</v>
      </c>
      <c r="J4" s="242"/>
      <c r="K4" s="242"/>
    </row>
    <row r="5" spans="1:11" ht="15" thickBot="1">
      <c r="A5" s="200"/>
      <c r="B5" s="200"/>
      <c r="C5" s="200"/>
      <c r="D5" s="224" t="s">
        <v>1985</v>
      </c>
      <c r="E5" s="235" t="s">
        <v>1986</v>
      </c>
      <c r="F5" s="235" t="s">
        <v>58</v>
      </c>
      <c r="G5" s="235" t="s">
        <v>1994</v>
      </c>
      <c r="H5" s="235" t="s">
        <v>1988</v>
      </c>
      <c r="I5" s="352" t="s">
        <v>19</v>
      </c>
      <c r="J5" s="242"/>
      <c r="K5" s="242"/>
    </row>
    <row r="6" spans="1:11" ht="15" thickBot="1">
      <c r="A6" s="200"/>
      <c r="B6" s="200"/>
      <c r="C6" s="200"/>
      <c r="D6" s="224" t="s">
        <v>1989</v>
      </c>
      <c r="E6" s="235" t="s">
        <v>1990</v>
      </c>
      <c r="F6" s="235" t="s">
        <v>16</v>
      </c>
      <c r="G6" s="235" t="s">
        <v>1991</v>
      </c>
      <c r="H6" s="235" t="s">
        <v>1992</v>
      </c>
      <c r="I6" s="246" t="s">
        <v>26</v>
      </c>
      <c r="J6" s="242"/>
      <c r="K6" s="242"/>
    </row>
    <row r="7" spans="1:11" ht="16" thickBot="1">
      <c r="A7" s="200"/>
      <c r="B7" s="200"/>
      <c r="C7" s="200" t="s">
        <v>1739</v>
      </c>
      <c r="D7" s="215" t="s">
        <v>1995</v>
      </c>
      <c r="E7" s="217" t="s">
        <v>1996</v>
      </c>
      <c r="F7" s="217" t="s">
        <v>16</v>
      </c>
      <c r="G7" s="217" t="s">
        <v>1997</v>
      </c>
      <c r="H7" s="217" t="s">
        <v>1998</v>
      </c>
      <c r="I7" s="247" t="s">
        <v>26</v>
      </c>
      <c r="J7" s="242"/>
      <c r="K7" s="242"/>
    </row>
    <row r="8" spans="1:11" ht="16" thickBot="1">
      <c r="A8" s="200"/>
      <c r="B8" s="200"/>
      <c r="C8" s="200"/>
      <c r="D8" s="219" t="s">
        <v>1999</v>
      </c>
      <c r="E8" s="221" t="s">
        <v>2000</v>
      </c>
      <c r="F8" s="221" t="s">
        <v>16</v>
      </c>
      <c r="G8" s="221" t="s">
        <v>2001</v>
      </c>
      <c r="H8" s="221" t="s">
        <v>2002</v>
      </c>
      <c r="I8" s="248" t="s">
        <v>26</v>
      </c>
      <c r="J8" s="242"/>
      <c r="K8" s="242"/>
    </row>
    <row r="9" spans="1:11" ht="16" thickBot="1">
      <c r="A9" s="200"/>
      <c r="B9" s="200"/>
      <c r="C9" s="200"/>
      <c r="D9" s="219" t="s">
        <v>2003</v>
      </c>
      <c r="E9" s="221" t="s">
        <v>2004</v>
      </c>
      <c r="F9" s="221" t="s">
        <v>23</v>
      </c>
      <c r="G9" s="221" t="s">
        <v>2005</v>
      </c>
      <c r="H9" s="221" t="s">
        <v>2006</v>
      </c>
      <c r="I9" s="248" t="s">
        <v>26</v>
      </c>
      <c r="J9" s="242"/>
      <c r="K9" s="242"/>
    </row>
    <row r="10" spans="1:11" ht="16" thickBot="1">
      <c r="A10" s="200"/>
      <c r="B10" s="200"/>
      <c r="C10" s="200"/>
      <c r="D10" s="219" t="s">
        <v>2007</v>
      </c>
      <c r="E10" s="221" t="s">
        <v>2008</v>
      </c>
      <c r="F10" s="221" t="s">
        <v>58</v>
      </c>
      <c r="G10" s="221" t="s">
        <v>2009</v>
      </c>
      <c r="H10" s="221" t="s">
        <v>2010</v>
      </c>
      <c r="I10" s="353" t="s">
        <v>19</v>
      </c>
      <c r="J10" s="242"/>
      <c r="K10" s="242"/>
    </row>
    <row r="11" spans="1:11" ht="16" thickBot="1">
      <c r="A11" s="200"/>
      <c r="B11" s="200"/>
      <c r="C11" s="200"/>
      <c r="D11" s="219" t="s">
        <v>2011</v>
      </c>
      <c r="E11" s="221" t="s">
        <v>2012</v>
      </c>
      <c r="F11" s="221" t="s">
        <v>16</v>
      </c>
      <c r="G11" s="221" t="s">
        <v>2013</v>
      </c>
      <c r="H11" s="221" t="s">
        <v>2014</v>
      </c>
      <c r="I11" s="248" t="s">
        <v>26</v>
      </c>
      <c r="J11" s="242"/>
      <c r="K11" s="242"/>
    </row>
    <row r="12" spans="1:11" ht="16" thickBot="1">
      <c r="A12" s="200"/>
      <c r="B12" s="200"/>
      <c r="C12" s="200" t="s">
        <v>1740</v>
      </c>
      <c r="D12" s="215" t="s">
        <v>2015</v>
      </c>
      <c r="E12" s="215" t="s">
        <v>2016</v>
      </c>
      <c r="F12" s="215" t="s">
        <v>16</v>
      </c>
      <c r="G12" s="215" t="s">
        <v>1997</v>
      </c>
      <c r="H12" s="215" t="s">
        <v>2017</v>
      </c>
      <c r="I12" s="354" t="s">
        <v>19</v>
      </c>
      <c r="J12" s="242"/>
      <c r="K12" s="242"/>
    </row>
    <row r="13" spans="1:11" ht="16" thickBot="1">
      <c r="A13" s="200"/>
      <c r="B13" s="200"/>
      <c r="C13" s="200"/>
      <c r="D13" s="215" t="s">
        <v>2018</v>
      </c>
      <c r="E13" s="215" t="s">
        <v>2019</v>
      </c>
      <c r="F13" s="215" t="s">
        <v>23</v>
      </c>
      <c r="G13" s="215" t="s">
        <v>2020</v>
      </c>
      <c r="H13" s="215" t="s">
        <v>2021</v>
      </c>
      <c r="I13" s="250" t="s">
        <v>26</v>
      </c>
      <c r="J13" s="242"/>
      <c r="K13" s="242"/>
    </row>
    <row r="14" spans="1:11" ht="16" thickBot="1">
      <c r="A14" s="200"/>
      <c r="B14" s="200"/>
      <c r="C14" s="200"/>
      <c r="D14" s="215" t="s">
        <v>2022</v>
      </c>
      <c r="E14" s="215" t="s">
        <v>2023</v>
      </c>
      <c r="F14" s="215" t="s">
        <v>16</v>
      </c>
      <c r="G14" s="215" t="s">
        <v>1987</v>
      </c>
      <c r="H14" s="215" t="s">
        <v>2024</v>
      </c>
      <c r="I14" s="250" t="s">
        <v>26</v>
      </c>
      <c r="J14" s="242"/>
      <c r="K14" s="242"/>
    </row>
    <row r="15" spans="1:11" ht="16" thickBot="1">
      <c r="A15" s="200"/>
      <c r="B15" s="200"/>
      <c r="C15" s="200"/>
      <c r="D15" s="215" t="s">
        <v>2025</v>
      </c>
      <c r="E15" s="215" t="s">
        <v>2026</v>
      </c>
      <c r="F15" s="215" t="s">
        <v>58</v>
      </c>
      <c r="G15" s="215" t="s">
        <v>2027</v>
      </c>
      <c r="H15" s="215" t="s">
        <v>2028</v>
      </c>
      <c r="I15" s="250" t="s">
        <v>26</v>
      </c>
      <c r="J15" s="242"/>
      <c r="K15" s="242"/>
    </row>
    <row r="16" spans="1:11" ht="16" thickBot="1">
      <c r="A16" s="200"/>
      <c r="B16" s="200"/>
      <c r="C16" s="200"/>
      <c r="D16" s="215" t="s">
        <v>2029</v>
      </c>
      <c r="E16" s="215" t="s">
        <v>2030</v>
      </c>
      <c r="F16" s="215" t="s">
        <v>23</v>
      </c>
      <c r="G16" s="215" t="s">
        <v>2009</v>
      </c>
      <c r="H16" s="215" t="s">
        <v>2031</v>
      </c>
      <c r="I16" s="250" t="s">
        <v>26</v>
      </c>
      <c r="J16" s="242"/>
      <c r="K16" s="242"/>
    </row>
    <row r="17" spans="1:11" ht="16" thickBot="1">
      <c r="A17" s="200"/>
      <c r="B17" s="200"/>
      <c r="C17" s="200" t="s">
        <v>1741</v>
      </c>
      <c r="D17" s="215" t="s">
        <v>2032</v>
      </c>
      <c r="E17" s="215" t="s">
        <v>2033</v>
      </c>
      <c r="F17" s="215" t="s">
        <v>16</v>
      </c>
      <c r="G17" s="215" t="s">
        <v>2001</v>
      </c>
      <c r="H17" s="215" t="s">
        <v>2034</v>
      </c>
      <c r="I17" s="354" t="s">
        <v>19</v>
      </c>
      <c r="J17" s="242"/>
      <c r="K17" s="242"/>
    </row>
    <row r="18" spans="1:11" ht="16" thickBot="1">
      <c r="A18" s="200"/>
      <c r="B18" s="200"/>
      <c r="C18" s="200"/>
      <c r="D18" s="215" t="s">
        <v>2035</v>
      </c>
      <c r="E18" s="215" t="s">
        <v>2036</v>
      </c>
      <c r="F18" s="215" t="s">
        <v>16</v>
      </c>
      <c r="G18" s="215" t="s">
        <v>2037</v>
      </c>
      <c r="H18" s="215" t="s">
        <v>2038</v>
      </c>
      <c r="I18" s="250" t="s">
        <v>26</v>
      </c>
      <c r="J18" s="242"/>
      <c r="K18" s="242"/>
    </row>
    <row r="19" spans="1:11" ht="16" thickBot="1">
      <c r="A19" s="200"/>
      <c r="B19" s="200"/>
      <c r="C19" s="200"/>
      <c r="D19" s="215" t="s">
        <v>2039</v>
      </c>
      <c r="E19" s="215" t="s">
        <v>2040</v>
      </c>
      <c r="F19" s="215" t="s">
        <v>58</v>
      </c>
      <c r="G19" s="215" t="s">
        <v>2009</v>
      </c>
      <c r="H19" s="215" t="s">
        <v>2041</v>
      </c>
      <c r="I19" s="250" t="s">
        <v>26</v>
      </c>
      <c r="J19" s="242"/>
      <c r="K19" s="242"/>
    </row>
    <row r="20" spans="1:11" ht="16" thickBot="1">
      <c r="A20" s="200"/>
      <c r="B20" s="200"/>
      <c r="C20" s="200"/>
      <c r="D20" s="215" t="s">
        <v>2042</v>
      </c>
      <c r="E20" s="215" t="s">
        <v>2043</v>
      </c>
      <c r="F20" s="215" t="s">
        <v>23</v>
      </c>
      <c r="G20" s="215" t="s">
        <v>2027</v>
      </c>
      <c r="H20" s="215" t="s">
        <v>2044</v>
      </c>
      <c r="I20" s="250" t="s">
        <v>26</v>
      </c>
      <c r="J20" s="242"/>
      <c r="K20" s="242"/>
    </row>
    <row r="21" spans="1:11" ht="16" thickBot="1">
      <c r="A21" s="200"/>
      <c r="B21" s="200"/>
      <c r="C21" s="200"/>
      <c r="D21" s="215" t="s">
        <v>2045</v>
      </c>
      <c r="E21" s="215" t="s">
        <v>2046</v>
      </c>
      <c r="F21" s="215" t="s">
        <v>16</v>
      </c>
      <c r="G21" s="215" t="s">
        <v>1979</v>
      </c>
      <c r="H21" s="215" t="s">
        <v>2047</v>
      </c>
      <c r="I21" s="251" t="s">
        <v>206</v>
      </c>
      <c r="J21" s="242"/>
      <c r="K21" s="242"/>
    </row>
    <row r="22" spans="1:11" ht="16" thickBot="1">
      <c r="A22" s="200"/>
      <c r="B22" s="200"/>
      <c r="C22" s="200" t="s">
        <v>1742</v>
      </c>
      <c r="D22" s="215" t="s">
        <v>2048</v>
      </c>
      <c r="E22" s="215" t="s">
        <v>2049</v>
      </c>
      <c r="F22" s="215" t="s">
        <v>16</v>
      </c>
      <c r="G22" s="215" t="s">
        <v>2050</v>
      </c>
      <c r="H22" s="215" t="s">
        <v>2051</v>
      </c>
      <c r="I22" s="354" t="s">
        <v>19</v>
      </c>
      <c r="J22" s="242"/>
      <c r="K22" s="242"/>
    </row>
    <row r="23" spans="1:11" ht="16" thickBot="1">
      <c r="A23" s="200"/>
      <c r="B23" s="200"/>
      <c r="C23" s="200"/>
      <c r="D23" s="215" t="s">
        <v>2052</v>
      </c>
      <c r="E23" s="215" t="s">
        <v>2053</v>
      </c>
      <c r="F23" s="215" t="s">
        <v>23</v>
      </c>
      <c r="G23" s="215" t="s">
        <v>2005</v>
      </c>
      <c r="H23" s="215" t="s">
        <v>2054</v>
      </c>
      <c r="I23" s="354" t="s">
        <v>19</v>
      </c>
      <c r="J23" s="242"/>
      <c r="K23" s="242"/>
    </row>
    <row r="24" spans="1:11" ht="16" thickBot="1">
      <c r="A24" s="200"/>
      <c r="B24" s="200"/>
      <c r="C24" s="200"/>
      <c r="D24" s="215" t="s">
        <v>2055</v>
      </c>
      <c r="E24" s="215" t="s">
        <v>2056</v>
      </c>
      <c r="F24" s="215" t="s">
        <v>16</v>
      </c>
      <c r="G24" s="215" t="s">
        <v>2009</v>
      </c>
      <c r="H24" s="215" t="s">
        <v>2057</v>
      </c>
      <c r="I24" s="250" t="s">
        <v>26</v>
      </c>
      <c r="J24" s="242"/>
      <c r="K24" s="242"/>
    </row>
    <row r="25" spans="1:11" ht="16" thickBot="1">
      <c r="A25" s="200"/>
      <c r="B25" s="200"/>
      <c r="C25" s="200"/>
      <c r="D25" s="215" t="s">
        <v>2058</v>
      </c>
      <c r="E25" s="215" t="s">
        <v>2059</v>
      </c>
      <c r="F25" s="215" t="s">
        <v>16</v>
      </c>
      <c r="G25" s="215" t="s">
        <v>1997</v>
      </c>
      <c r="H25" s="215" t="s">
        <v>2060</v>
      </c>
      <c r="I25" s="251" t="s">
        <v>206</v>
      </c>
      <c r="J25" s="242"/>
      <c r="K25" s="242"/>
    </row>
    <row r="26" spans="1:11" ht="16" thickBot="1">
      <c r="A26" s="200"/>
      <c r="B26" s="200"/>
      <c r="C26" s="200"/>
      <c r="D26" s="215" t="s">
        <v>2061</v>
      </c>
      <c r="E26" s="215" t="s">
        <v>2062</v>
      </c>
      <c r="F26" s="215" t="s">
        <v>58</v>
      </c>
      <c r="G26" s="215" t="s">
        <v>1987</v>
      </c>
      <c r="H26" s="215" t="s">
        <v>2063</v>
      </c>
      <c r="I26" s="250" t="s">
        <v>26</v>
      </c>
      <c r="J26" s="242"/>
      <c r="K26" s="242"/>
    </row>
    <row r="27" spans="1:11" ht="16" thickBot="1">
      <c r="A27" s="200"/>
      <c r="B27" s="200" t="s">
        <v>1743</v>
      </c>
      <c r="C27" s="200" t="s">
        <v>1744</v>
      </c>
      <c r="D27" s="215" t="s">
        <v>5857</v>
      </c>
      <c r="E27" s="217" t="s">
        <v>5858</v>
      </c>
      <c r="F27" s="217" t="s">
        <v>23</v>
      </c>
      <c r="G27" s="217" t="s">
        <v>5859</v>
      </c>
      <c r="H27" s="217" t="s">
        <v>5860</v>
      </c>
      <c r="I27" s="247" t="s">
        <v>26</v>
      </c>
      <c r="J27" s="242"/>
      <c r="K27" s="242"/>
    </row>
    <row r="28" spans="1:11" ht="16" thickBot="1">
      <c r="A28" s="200"/>
      <c r="B28" s="200"/>
      <c r="C28" s="200"/>
      <c r="D28" s="222" t="s">
        <v>5861</v>
      </c>
      <c r="E28" s="223" t="s">
        <v>5862</v>
      </c>
      <c r="F28" s="223" t="s">
        <v>58</v>
      </c>
      <c r="G28" s="223" t="s">
        <v>5863</v>
      </c>
      <c r="H28" s="223" t="s">
        <v>5864</v>
      </c>
      <c r="I28" s="357" t="s">
        <v>26</v>
      </c>
      <c r="J28" s="242"/>
      <c r="K28" s="242"/>
    </row>
    <row r="29" spans="1:11" ht="16" thickBot="1">
      <c r="A29" s="200"/>
      <c r="B29" s="200"/>
      <c r="C29" s="200"/>
      <c r="D29" s="222" t="s">
        <v>5865</v>
      </c>
      <c r="E29" s="223" t="s">
        <v>5866</v>
      </c>
      <c r="F29" s="223" t="s">
        <v>23</v>
      </c>
      <c r="G29" s="223" t="s">
        <v>2394</v>
      </c>
      <c r="H29" s="223" t="s">
        <v>5864</v>
      </c>
      <c r="I29" s="358" t="s">
        <v>19</v>
      </c>
      <c r="J29" s="242"/>
      <c r="K29" s="242"/>
    </row>
    <row r="30" spans="1:11" ht="16" thickBot="1">
      <c r="A30" s="200"/>
      <c r="B30" s="200"/>
      <c r="C30" s="200"/>
      <c r="D30" s="219" t="s">
        <v>5867</v>
      </c>
      <c r="E30" s="221" t="s">
        <v>5868</v>
      </c>
      <c r="F30" s="221" t="s">
        <v>23</v>
      </c>
      <c r="G30" s="221" t="s">
        <v>5869</v>
      </c>
      <c r="H30" s="221" t="s">
        <v>5860</v>
      </c>
      <c r="I30" s="248" t="s">
        <v>26</v>
      </c>
      <c r="J30" s="242"/>
      <c r="K30" s="242"/>
    </row>
    <row r="31" spans="1:11" ht="16" thickBot="1">
      <c r="A31" s="200"/>
      <c r="B31" s="200"/>
      <c r="C31" s="200"/>
      <c r="D31" s="222" t="s">
        <v>5870</v>
      </c>
      <c r="E31" s="221" t="s">
        <v>5871</v>
      </c>
      <c r="F31" s="221" t="s">
        <v>16</v>
      </c>
      <c r="G31" s="221" t="s">
        <v>1777</v>
      </c>
      <c r="H31" s="221" t="s">
        <v>5872</v>
      </c>
      <c r="I31" s="248" t="s">
        <v>26</v>
      </c>
      <c r="J31" s="242"/>
      <c r="K31" s="242"/>
    </row>
    <row r="32" spans="1:11" ht="16" thickBot="1">
      <c r="A32" s="200"/>
      <c r="B32" s="200"/>
      <c r="C32" s="200" t="s">
        <v>1745</v>
      </c>
      <c r="D32" s="219" t="s">
        <v>5873</v>
      </c>
      <c r="E32" s="221" t="s">
        <v>5874</v>
      </c>
      <c r="F32" s="221" t="s">
        <v>16</v>
      </c>
      <c r="G32" s="221" t="s">
        <v>2069</v>
      </c>
      <c r="H32" s="221" t="s">
        <v>5860</v>
      </c>
      <c r="I32" s="248" t="s">
        <v>26</v>
      </c>
      <c r="J32" s="242"/>
      <c r="K32" s="242"/>
    </row>
    <row r="33" spans="1:11" ht="16" thickBot="1">
      <c r="A33" s="200"/>
      <c r="B33" s="200"/>
      <c r="C33" s="200"/>
      <c r="D33" s="219" t="s">
        <v>5875</v>
      </c>
      <c r="E33" s="221" t="s">
        <v>5876</v>
      </c>
      <c r="F33" s="221" t="s">
        <v>16</v>
      </c>
      <c r="G33" s="221" t="s">
        <v>2086</v>
      </c>
      <c r="H33" s="221" t="s">
        <v>5877</v>
      </c>
      <c r="I33" s="248" t="s">
        <v>26</v>
      </c>
      <c r="J33" s="242"/>
      <c r="K33" s="242"/>
    </row>
    <row r="34" spans="1:11" ht="16" thickBot="1">
      <c r="A34" s="200"/>
      <c r="B34" s="200"/>
      <c r="C34" s="200"/>
      <c r="D34" s="219" t="s">
        <v>5878</v>
      </c>
      <c r="E34" s="221" t="s">
        <v>5879</v>
      </c>
      <c r="F34" s="221" t="s">
        <v>23</v>
      </c>
      <c r="G34" s="221" t="s">
        <v>2065</v>
      </c>
      <c r="H34" s="221" t="s">
        <v>5877</v>
      </c>
      <c r="I34" s="249" t="s">
        <v>206</v>
      </c>
      <c r="J34" s="242"/>
      <c r="K34" s="242"/>
    </row>
    <row r="35" spans="1:11" ht="16" thickBot="1">
      <c r="A35" s="200"/>
      <c r="B35" s="200"/>
      <c r="C35" s="200"/>
      <c r="D35" s="219" t="s">
        <v>5880</v>
      </c>
      <c r="E35" s="221" t="s">
        <v>5881</v>
      </c>
      <c r="F35" s="221" t="s">
        <v>58</v>
      </c>
      <c r="G35" s="221" t="s">
        <v>5882</v>
      </c>
      <c r="H35" s="221" t="s">
        <v>5877</v>
      </c>
      <c r="I35" s="353" t="s">
        <v>19</v>
      </c>
      <c r="J35" s="242"/>
      <c r="K35" s="242"/>
    </row>
    <row r="36" spans="1:11" ht="16" thickBot="1">
      <c r="A36" s="200"/>
      <c r="B36" s="200"/>
      <c r="C36" s="200"/>
      <c r="D36" s="219" t="s">
        <v>5883</v>
      </c>
      <c r="E36" s="221" t="s">
        <v>5884</v>
      </c>
      <c r="F36" s="221" t="s">
        <v>23</v>
      </c>
      <c r="G36" s="221" t="s">
        <v>653</v>
      </c>
      <c r="H36" s="221" t="s">
        <v>5885</v>
      </c>
      <c r="I36" s="248" t="s">
        <v>26</v>
      </c>
      <c r="J36" s="242"/>
      <c r="K36" s="242"/>
    </row>
    <row r="37" spans="1:11" ht="16" thickBot="1">
      <c r="A37" s="200"/>
      <c r="B37" s="200"/>
      <c r="C37" s="200" t="s">
        <v>1746</v>
      </c>
      <c r="D37" s="222" t="s">
        <v>5886</v>
      </c>
      <c r="E37" s="223" t="s">
        <v>5887</v>
      </c>
      <c r="F37" s="223" t="s">
        <v>23</v>
      </c>
      <c r="G37" s="223" t="s">
        <v>1771</v>
      </c>
      <c r="H37" s="223" t="s">
        <v>5864</v>
      </c>
      <c r="I37" s="357" t="s">
        <v>26</v>
      </c>
      <c r="J37" s="242"/>
      <c r="K37" s="242"/>
    </row>
    <row r="38" spans="1:11" ht="16" thickBot="1">
      <c r="A38" s="200"/>
      <c r="B38" s="200"/>
      <c r="C38" s="200"/>
      <c r="D38" s="219" t="s">
        <v>5888</v>
      </c>
      <c r="E38" s="221" t="s">
        <v>5889</v>
      </c>
      <c r="F38" s="221" t="s">
        <v>16</v>
      </c>
      <c r="G38" s="221" t="s">
        <v>671</v>
      </c>
      <c r="H38" s="221" t="s">
        <v>5877</v>
      </c>
      <c r="I38" s="353" t="s">
        <v>19</v>
      </c>
      <c r="J38" s="242"/>
      <c r="K38" s="242"/>
    </row>
    <row r="39" spans="1:11" ht="16" thickBot="1">
      <c r="A39" s="200"/>
      <c r="B39" s="200"/>
      <c r="C39" s="200"/>
      <c r="D39" s="219" t="s">
        <v>5890</v>
      </c>
      <c r="E39" s="221" t="s">
        <v>5891</v>
      </c>
      <c r="F39" s="221" t="s">
        <v>23</v>
      </c>
      <c r="G39" s="221" t="s">
        <v>5892</v>
      </c>
      <c r="H39" s="221" t="s">
        <v>5860</v>
      </c>
      <c r="I39" s="249" t="s">
        <v>206</v>
      </c>
      <c r="J39" s="242"/>
      <c r="K39" s="242"/>
    </row>
    <row r="40" spans="1:11" ht="16" thickBot="1">
      <c r="A40" s="200"/>
      <c r="B40" s="200"/>
      <c r="C40" s="200"/>
      <c r="D40" s="219" t="s">
        <v>5893</v>
      </c>
      <c r="E40" s="221" t="s">
        <v>5894</v>
      </c>
      <c r="F40" s="221" t="s">
        <v>16</v>
      </c>
      <c r="G40" s="221" t="s">
        <v>2066</v>
      </c>
      <c r="H40" s="221" t="s">
        <v>5860</v>
      </c>
      <c r="I40" s="249" t="s">
        <v>206</v>
      </c>
      <c r="J40" s="242"/>
      <c r="K40" s="242"/>
    </row>
    <row r="41" spans="1:11" ht="16" thickBot="1">
      <c r="A41" s="200"/>
      <c r="B41" s="200"/>
      <c r="C41" s="200"/>
      <c r="D41" s="219" t="s">
        <v>5895</v>
      </c>
      <c r="E41" s="221" t="s">
        <v>5896</v>
      </c>
      <c r="F41" s="221" t="s">
        <v>23</v>
      </c>
      <c r="G41" s="221" t="s">
        <v>5892</v>
      </c>
      <c r="H41" s="221" t="s">
        <v>5877</v>
      </c>
      <c r="I41" s="353" t="s">
        <v>19</v>
      </c>
      <c r="J41" s="242"/>
      <c r="K41" s="242"/>
    </row>
    <row r="42" spans="1:11" ht="16" thickBot="1">
      <c r="A42" s="200"/>
      <c r="B42" s="200"/>
      <c r="C42" s="200" t="s">
        <v>1747</v>
      </c>
      <c r="D42" s="356" t="s">
        <v>5897</v>
      </c>
      <c r="E42" s="359" t="s">
        <v>5898</v>
      </c>
      <c r="F42" s="359" t="s">
        <v>16</v>
      </c>
      <c r="G42" s="359" t="s">
        <v>599</v>
      </c>
      <c r="H42" s="359" t="s">
        <v>5864</v>
      </c>
      <c r="I42" s="360" t="s">
        <v>26</v>
      </c>
      <c r="J42" s="242"/>
      <c r="K42" s="242"/>
    </row>
    <row r="43" spans="1:11" ht="16" thickBot="1">
      <c r="A43" s="200"/>
      <c r="B43" s="200"/>
      <c r="C43" s="200"/>
      <c r="D43" s="222" t="s">
        <v>5899</v>
      </c>
      <c r="E43" s="223" t="s">
        <v>5900</v>
      </c>
      <c r="F43" s="223" t="s">
        <v>23</v>
      </c>
      <c r="G43" s="223" t="s">
        <v>2069</v>
      </c>
      <c r="H43" s="223" t="s">
        <v>5860</v>
      </c>
      <c r="I43" s="361" t="s">
        <v>206</v>
      </c>
      <c r="J43" s="242"/>
      <c r="K43" s="242"/>
    </row>
    <row r="44" spans="1:11" ht="16" thickBot="1">
      <c r="A44" s="200"/>
      <c r="B44" s="200"/>
      <c r="C44" s="200"/>
      <c r="D44" s="222" t="s">
        <v>5901</v>
      </c>
      <c r="E44" s="223" t="s">
        <v>5902</v>
      </c>
      <c r="F44" s="223" t="s">
        <v>16</v>
      </c>
      <c r="G44" s="223" t="s">
        <v>5903</v>
      </c>
      <c r="H44" s="223" t="s">
        <v>5877</v>
      </c>
      <c r="I44" s="358" t="s">
        <v>19</v>
      </c>
      <c r="J44" s="242"/>
      <c r="K44" s="242"/>
    </row>
    <row r="45" spans="1:11" ht="16" thickBot="1">
      <c r="A45" s="200"/>
      <c r="B45" s="200"/>
      <c r="C45" s="200"/>
      <c r="D45" s="222" t="s">
        <v>5904</v>
      </c>
      <c r="E45" s="223" t="s">
        <v>5905</v>
      </c>
      <c r="F45" s="223" t="s">
        <v>58</v>
      </c>
      <c r="G45" s="223" t="s">
        <v>646</v>
      </c>
      <c r="H45" s="223" t="s">
        <v>5864</v>
      </c>
      <c r="I45" s="357" t="s">
        <v>26</v>
      </c>
      <c r="J45" s="242"/>
      <c r="K45" s="242"/>
    </row>
    <row r="46" spans="1:11" ht="16" thickBot="1">
      <c r="A46" s="200"/>
      <c r="B46" s="200"/>
      <c r="C46" s="200"/>
      <c r="D46" s="222" t="s">
        <v>5906</v>
      </c>
      <c r="E46" s="223" t="s">
        <v>5907</v>
      </c>
      <c r="F46" s="223" t="s">
        <v>16</v>
      </c>
      <c r="G46" s="223" t="s">
        <v>1780</v>
      </c>
      <c r="H46" s="223" t="s">
        <v>5872</v>
      </c>
      <c r="I46" s="361" t="s">
        <v>206</v>
      </c>
      <c r="J46" s="242"/>
      <c r="K46" s="242"/>
    </row>
    <row r="47" spans="1:11" ht="16" thickBot="1">
      <c r="A47" s="200"/>
      <c r="B47" s="200"/>
      <c r="C47" s="200" t="s">
        <v>1748</v>
      </c>
      <c r="D47" s="222" t="s">
        <v>5908</v>
      </c>
      <c r="E47" s="223" t="s">
        <v>5909</v>
      </c>
      <c r="F47" s="223" t="s">
        <v>23</v>
      </c>
      <c r="G47" s="223" t="s">
        <v>5910</v>
      </c>
      <c r="H47" s="223" t="s">
        <v>5885</v>
      </c>
      <c r="I47" s="357" t="s">
        <v>26</v>
      </c>
      <c r="J47" s="242"/>
      <c r="K47" s="242"/>
    </row>
    <row r="48" spans="1:11" ht="16" thickBot="1">
      <c r="A48" s="200"/>
      <c r="B48" s="200"/>
      <c r="C48" s="200"/>
      <c r="D48" s="222" t="s">
        <v>5911</v>
      </c>
      <c r="E48" s="223" t="s">
        <v>5912</v>
      </c>
      <c r="F48" s="223" t="s">
        <v>16</v>
      </c>
      <c r="G48" s="223" t="s">
        <v>2248</v>
      </c>
      <c r="H48" s="223" t="s">
        <v>5877</v>
      </c>
      <c r="I48" s="358" t="s">
        <v>19</v>
      </c>
      <c r="J48" s="242"/>
      <c r="K48" s="242"/>
    </row>
    <row r="49" spans="1:11" ht="16" thickBot="1">
      <c r="A49" s="200"/>
      <c r="B49" s="200"/>
      <c r="C49" s="200"/>
      <c r="D49" s="222" t="s">
        <v>5913</v>
      </c>
      <c r="E49" s="223" t="s">
        <v>5914</v>
      </c>
      <c r="F49" s="223" t="s">
        <v>23</v>
      </c>
      <c r="G49" s="223" t="s">
        <v>2070</v>
      </c>
      <c r="H49" s="223" t="s">
        <v>5860</v>
      </c>
      <c r="I49" s="361" t="s">
        <v>206</v>
      </c>
      <c r="J49" s="242"/>
      <c r="K49" s="242"/>
    </row>
    <row r="50" spans="1:11" ht="16" thickBot="1">
      <c r="A50" s="200"/>
      <c r="B50" s="200"/>
      <c r="C50" s="200"/>
      <c r="D50" s="222" t="s">
        <v>5915</v>
      </c>
      <c r="E50" s="223" t="s">
        <v>5916</v>
      </c>
      <c r="F50" s="223" t="s">
        <v>16</v>
      </c>
      <c r="G50" s="223" t="s">
        <v>1821</v>
      </c>
      <c r="H50" s="223" t="s">
        <v>5864</v>
      </c>
      <c r="I50" s="357" t="s">
        <v>26</v>
      </c>
      <c r="J50" s="242"/>
      <c r="K50" s="242"/>
    </row>
    <row r="51" spans="1:11" ht="16" thickBot="1">
      <c r="A51" s="200"/>
      <c r="B51" s="200"/>
      <c r="C51" s="200"/>
      <c r="D51" s="222" t="s">
        <v>5917</v>
      </c>
      <c r="E51" s="223" t="s">
        <v>5918</v>
      </c>
      <c r="F51" s="223" t="s">
        <v>58</v>
      </c>
      <c r="G51" s="223" t="s">
        <v>2078</v>
      </c>
      <c r="H51" s="223" t="s">
        <v>5872</v>
      </c>
      <c r="I51" s="357" t="s">
        <v>26</v>
      </c>
      <c r="J51" s="242"/>
      <c r="K51" s="242"/>
    </row>
    <row r="52" spans="1:11" ht="16" thickBot="1">
      <c r="A52" s="200"/>
      <c r="B52" s="200" t="s">
        <v>1749</v>
      </c>
      <c r="C52" s="200" t="s">
        <v>1750</v>
      </c>
      <c r="D52" s="222" t="s">
        <v>5919</v>
      </c>
      <c r="E52" s="223" t="s">
        <v>5920</v>
      </c>
      <c r="F52" s="223" t="s">
        <v>16</v>
      </c>
      <c r="G52" s="223" t="s">
        <v>599</v>
      </c>
      <c r="H52" s="223" t="s">
        <v>5885</v>
      </c>
      <c r="I52" s="358" t="s">
        <v>19</v>
      </c>
      <c r="J52" s="242"/>
      <c r="K52" s="242"/>
    </row>
    <row r="53" spans="1:11" ht="16" thickBot="1">
      <c r="A53" s="200"/>
      <c r="B53" s="200"/>
      <c r="C53" s="200"/>
      <c r="D53" s="222" t="s">
        <v>5921</v>
      </c>
      <c r="E53" s="223" t="s">
        <v>5922</v>
      </c>
      <c r="F53" s="223" t="s">
        <v>23</v>
      </c>
      <c r="G53" s="223" t="s">
        <v>1793</v>
      </c>
      <c r="H53" s="223" t="s">
        <v>5860</v>
      </c>
      <c r="I53" s="357" t="s">
        <v>26</v>
      </c>
      <c r="J53" s="242"/>
      <c r="K53" s="242"/>
    </row>
    <row r="54" spans="1:11" ht="16" thickBot="1">
      <c r="A54" s="200"/>
      <c r="B54" s="200"/>
      <c r="C54" s="200"/>
      <c r="D54" s="222" t="s">
        <v>5923</v>
      </c>
      <c r="E54" s="223" t="s">
        <v>5924</v>
      </c>
      <c r="F54" s="223" t="s">
        <v>16</v>
      </c>
      <c r="G54" s="223" t="s">
        <v>2086</v>
      </c>
      <c r="H54" s="223" t="s">
        <v>5864</v>
      </c>
      <c r="I54" s="361" t="s">
        <v>206</v>
      </c>
      <c r="J54" s="242"/>
      <c r="K54" s="242"/>
    </row>
    <row r="55" spans="1:11" ht="16" thickBot="1">
      <c r="A55" s="200"/>
      <c r="B55" s="200"/>
      <c r="C55" s="200"/>
      <c r="D55" s="222" t="s">
        <v>5925</v>
      </c>
      <c r="E55" s="223" t="s">
        <v>5926</v>
      </c>
      <c r="F55" s="223" t="s">
        <v>16</v>
      </c>
      <c r="G55" s="223" t="s">
        <v>1780</v>
      </c>
      <c r="H55" s="223" t="s">
        <v>5877</v>
      </c>
      <c r="I55" s="358" t="s">
        <v>19</v>
      </c>
      <c r="J55" s="242"/>
      <c r="K55" s="242"/>
    </row>
    <row r="56" spans="1:11" ht="16" thickBot="1">
      <c r="A56" s="200"/>
      <c r="B56" s="200"/>
      <c r="C56" s="200"/>
      <c r="D56" s="222" t="s">
        <v>5927</v>
      </c>
      <c r="E56" s="223" t="s">
        <v>5928</v>
      </c>
      <c r="F56" s="223" t="s">
        <v>23</v>
      </c>
      <c r="G56" s="223" t="s">
        <v>5929</v>
      </c>
      <c r="H56" s="223" t="s">
        <v>5885</v>
      </c>
      <c r="I56" s="357" t="s">
        <v>26</v>
      </c>
      <c r="J56" s="242"/>
      <c r="K56" s="242"/>
    </row>
    <row r="57" spans="1:11" ht="16" thickBot="1">
      <c r="A57" s="200"/>
      <c r="B57" s="200"/>
      <c r="C57" s="200" t="s">
        <v>1751</v>
      </c>
      <c r="D57" s="222" t="s">
        <v>5930</v>
      </c>
      <c r="E57" s="223" t="s">
        <v>5931</v>
      </c>
      <c r="F57" s="223" t="s">
        <v>16</v>
      </c>
      <c r="G57" s="223" t="s">
        <v>5932</v>
      </c>
      <c r="H57" s="223" t="s">
        <v>5864</v>
      </c>
      <c r="I57" s="361" t="s">
        <v>206</v>
      </c>
      <c r="J57" s="242"/>
      <c r="K57" s="242"/>
    </row>
    <row r="58" spans="1:11" ht="16" thickBot="1">
      <c r="A58" s="200"/>
      <c r="B58" s="200"/>
      <c r="C58" s="200"/>
      <c r="D58" s="222" t="s">
        <v>5933</v>
      </c>
      <c r="E58" s="223" t="s">
        <v>5934</v>
      </c>
      <c r="F58" s="223" t="s">
        <v>23</v>
      </c>
      <c r="G58" s="223" t="s">
        <v>5869</v>
      </c>
      <c r="H58" s="223" t="s">
        <v>5860</v>
      </c>
      <c r="I58" s="357" t="s">
        <v>26</v>
      </c>
      <c r="J58" s="242"/>
      <c r="K58" s="242"/>
    </row>
    <row r="59" spans="1:11" ht="16" thickBot="1">
      <c r="A59" s="200"/>
      <c r="B59" s="200"/>
      <c r="C59" s="200"/>
      <c r="D59" s="222" t="s">
        <v>5935</v>
      </c>
      <c r="E59" s="223" t="s">
        <v>5936</v>
      </c>
      <c r="F59" s="223" t="s">
        <v>58</v>
      </c>
      <c r="G59" s="223" t="s">
        <v>1793</v>
      </c>
      <c r="H59" s="223" t="s">
        <v>5864</v>
      </c>
      <c r="I59" s="361" t="s">
        <v>206</v>
      </c>
      <c r="J59" s="242"/>
      <c r="K59" s="242"/>
    </row>
    <row r="60" spans="1:11" ht="16" thickBot="1">
      <c r="A60" s="200"/>
      <c r="B60" s="200"/>
      <c r="C60" s="200"/>
      <c r="D60" s="222" t="s">
        <v>5937</v>
      </c>
      <c r="E60" s="223" t="s">
        <v>5938</v>
      </c>
      <c r="F60" s="223" t="s">
        <v>16</v>
      </c>
      <c r="G60" s="223" t="s">
        <v>2253</v>
      </c>
      <c r="H60" s="223" t="s">
        <v>5877</v>
      </c>
      <c r="I60" s="358" t="s">
        <v>19</v>
      </c>
      <c r="J60" s="242"/>
      <c r="K60" s="242"/>
    </row>
    <row r="61" spans="1:11" ht="16" thickBot="1">
      <c r="A61" s="200"/>
      <c r="B61" s="200"/>
      <c r="C61" s="200"/>
      <c r="D61" s="222" t="s">
        <v>5939</v>
      </c>
      <c r="E61" s="223" t="s">
        <v>5940</v>
      </c>
      <c r="F61" s="223" t="s">
        <v>23</v>
      </c>
      <c r="G61" s="223" t="s">
        <v>1780</v>
      </c>
      <c r="H61" s="223" t="s">
        <v>5885</v>
      </c>
      <c r="I61" s="357" t="s">
        <v>26</v>
      </c>
      <c r="J61" s="242"/>
      <c r="K61" s="242"/>
    </row>
    <row r="62" spans="1:11" ht="16" thickBot="1">
      <c r="A62" s="200"/>
      <c r="B62" s="200"/>
      <c r="C62" s="200" t="s">
        <v>1752</v>
      </c>
      <c r="D62" s="222" t="s">
        <v>5941</v>
      </c>
      <c r="E62" s="223" t="s">
        <v>5942</v>
      </c>
      <c r="F62" s="223" t="s">
        <v>58</v>
      </c>
      <c r="G62" s="223" t="s">
        <v>5869</v>
      </c>
      <c r="H62" s="223" t="s">
        <v>5877</v>
      </c>
      <c r="I62" s="358" t="s">
        <v>19</v>
      </c>
      <c r="J62" s="242"/>
      <c r="K62" s="242"/>
    </row>
    <row r="63" spans="1:11" ht="16" thickBot="1">
      <c r="A63" s="200"/>
      <c r="B63" s="200"/>
      <c r="C63" s="200"/>
      <c r="D63" s="222" t="s">
        <v>5943</v>
      </c>
      <c r="E63" s="223" t="s">
        <v>5944</v>
      </c>
      <c r="F63" s="223" t="s">
        <v>23</v>
      </c>
      <c r="G63" s="223" t="s">
        <v>2066</v>
      </c>
      <c r="H63" s="223" t="s">
        <v>5864</v>
      </c>
      <c r="I63" s="361" t="s">
        <v>206</v>
      </c>
      <c r="J63" s="242"/>
      <c r="K63" s="242"/>
    </row>
    <row r="64" spans="1:11" ht="16" thickBot="1">
      <c r="A64" s="200"/>
      <c r="B64" s="200"/>
      <c r="C64" s="200"/>
      <c r="D64" s="222" t="s">
        <v>5945</v>
      </c>
      <c r="E64" s="223" t="s">
        <v>5946</v>
      </c>
      <c r="F64" s="223" t="s">
        <v>16</v>
      </c>
      <c r="G64" s="223" t="s">
        <v>5859</v>
      </c>
      <c r="H64" s="223" t="s">
        <v>5860</v>
      </c>
      <c r="I64" s="357" t="s">
        <v>26</v>
      </c>
      <c r="J64" s="242"/>
      <c r="K64" s="242"/>
    </row>
    <row r="65" spans="1:11" ht="16" thickBot="1">
      <c r="A65" s="200"/>
      <c r="B65" s="200"/>
      <c r="C65" s="200"/>
      <c r="D65" s="222" t="s">
        <v>5947</v>
      </c>
      <c r="E65" s="223" t="s">
        <v>5948</v>
      </c>
      <c r="F65" s="223" t="s">
        <v>16</v>
      </c>
      <c r="G65" s="223" t="s">
        <v>2064</v>
      </c>
      <c r="H65" s="223" t="s">
        <v>5877</v>
      </c>
      <c r="I65" s="357" t="s">
        <v>26</v>
      </c>
      <c r="J65" s="242"/>
      <c r="K65" s="242"/>
    </row>
    <row r="66" spans="1:11" ht="16" thickBot="1">
      <c r="A66" s="200"/>
      <c r="B66" s="200"/>
      <c r="C66" s="200"/>
      <c r="D66" s="222" t="s">
        <v>5949</v>
      </c>
      <c r="E66" s="223" t="s">
        <v>5950</v>
      </c>
      <c r="F66" s="223" t="s">
        <v>23</v>
      </c>
      <c r="G66" s="223" t="s">
        <v>2235</v>
      </c>
      <c r="H66" s="223" t="s">
        <v>5885</v>
      </c>
      <c r="I66" s="358" t="s">
        <v>19</v>
      </c>
      <c r="J66" s="242"/>
      <c r="K66" s="242"/>
    </row>
    <row r="67" spans="1:11" ht="16" thickBot="1">
      <c r="A67" s="200"/>
      <c r="B67" s="200"/>
      <c r="C67" s="200" t="s">
        <v>1753</v>
      </c>
      <c r="D67" s="215" t="s">
        <v>5951</v>
      </c>
      <c r="E67" s="215" t="s">
        <v>5952</v>
      </c>
      <c r="F67" s="215" t="s">
        <v>16</v>
      </c>
      <c r="G67" s="215" t="s">
        <v>599</v>
      </c>
      <c r="H67" s="215" t="s">
        <v>5877</v>
      </c>
      <c r="I67" s="250" t="s">
        <v>26</v>
      </c>
      <c r="J67" s="242"/>
      <c r="K67" s="242"/>
    </row>
    <row r="68" spans="1:11" ht="16" thickBot="1">
      <c r="A68" s="200"/>
      <c r="B68" s="200"/>
      <c r="C68" s="200"/>
      <c r="D68" s="215" t="s">
        <v>5953</v>
      </c>
      <c r="E68" s="215" t="s">
        <v>5954</v>
      </c>
      <c r="F68" s="215" t="s">
        <v>23</v>
      </c>
      <c r="G68" s="215" t="s">
        <v>2086</v>
      </c>
      <c r="H68" s="215" t="s">
        <v>5885</v>
      </c>
      <c r="I68" s="251" t="s">
        <v>206</v>
      </c>
      <c r="J68" s="242"/>
      <c r="K68" s="242"/>
    </row>
    <row r="69" spans="1:11" ht="16" thickBot="1">
      <c r="A69" s="200"/>
      <c r="B69" s="200"/>
      <c r="C69" s="200"/>
      <c r="D69" s="215" t="s">
        <v>5955</v>
      </c>
      <c r="E69" s="215" t="s">
        <v>5956</v>
      </c>
      <c r="F69" s="215" t="s">
        <v>16</v>
      </c>
      <c r="G69" s="215" t="s">
        <v>1793</v>
      </c>
      <c r="H69" s="215" t="s">
        <v>5860</v>
      </c>
      <c r="I69" s="250" t="s">
        <v>26</v>
      </c>
      <c r="J69" s="242"/>
      <c r="K69" s="242"/>
    </row>
    <row r="70" spans="1:11" ht="16" thickBot="1">
      <c r="A70" s="200"/>
      <c r="B70" s="200"/>
      <c r="C70" s="200"/>
      <c r="D70" s="215" t="s">
        <v>5957</v>
      </c>
      <c r="E70" s="215" t="s">
        <v>5958</v>
      </c>
      <c r="F70" s="215" t="s">
        <v>58</v>
      </c>
      <c r="G70" s="215" t="s">
        <v>2064</v>
      </c>
      <c r="H70" s="215" t="s">
        <v>5864</v>
      </c>
      <c r="I70" s="251" t="s">
        <v>206</v>
      </c>
      <c r="J70" s="242"/>
      <c r="K70" s="242"/>
    </row>
    <row r="71" spans="1:11" ht="16" thickBot="1">
      <c r="A71" s="200"/>
      <c r="B71" s="200"/>
      <c r="C71" s="200"/>
      <c r="D71" s="215" t="s">
        <v>5959</v>
      </c>
      <c r="E71" s="215" t="s">
        <v>5960</v>
      </c>
      <c r="F71" s="215" t="s">
        <v>23</v>
      </c>
      <c r="G71" s="215" t="s">
        <v>2087</v>
      </c>
      <c r="H71" s="215" t="s">
        <v>5877</v>
      </c>
      <c r="I71" s="354" t="s">
        <v>19</v>
      </c>
      <c r="J71" s="242"/>
      <c r="K71" s="242"/>
    </row>
    <row r="72" spans="1:11" ht="16" thickBot="1">
      <c r="A72" s="200"/>
      <c r="B72" s="200"/>
      <c r="C72" s="200" t="s">
        <v>1754</v>
      </c>
      <c r="D72" s="215" t="s">
        <v>5961</v>
      </c>
      <c r="E72" s="215" t="s">
        <v>5962</v>
      </c>
      <c r="F72" s="215" t="s">
        <v>23</v>
      </c>
      <c r="G72" s="215" t="s">
        <v>5963</v>
      </c>
      <c r="H72" s="215" t="s">
        <v>5885</v>
      </c>
      <c r="I72" s="250" t="s">
        <v>26</v>
      </c>
      <c r="J72" s="242"/>
      <c r="K72" s="242"/>
    </row>
    <row r="73" spans="1:11" ht="16" thickBot="1">
      <c r="A73" s="200"/>
      <c r="B73" s="200"/>
      <c r="C73" s="200"/>
      <c r="D73" s="215" t="s">
        <v>5964</v>
      </c>
      <c r="E73" s="215" t="s">
        <v>5965</v>
      </c>
      <c r="F73" s="215" t="s">
        <v>16</v>
      </c>
      <c r="G73" s="215" t="s">
        <v>5966</v>
      </c>
      <c r="H73" s="215" t="s">
        <v>5877</v>
      </c>
      <c r="I73" s="354" t="s">
        <v>19</v>
      </c>
      <c r="J73" s="242"/>
      <c r="K73" s="242"/>
    </row>
    <row r="74" spans="1:11" ht="16" thickBot="1">
      <c r="A74" s="200"/>
      <c r="B74" s="200"/>
      <c r="C74" s="200"/>
      <c r="D74" s="215" t="s">
        <v>5967</v>
      </c>
      <c r="E74" s="215" t="s">
        <v>5968</v>
      </c>
      <c r="F74" s="215" t="s">
        <v>58</v>
      </c>
      <c r="G74" s="215" t="s">
        <v>5969</v>
      </c>
      <c r="H74" s="215" t="s">
        <v>5864</v>
      </c>
      <c r="I74" s="251" t="s">
        <v>206</v>
      </c>
      <c r="J74" s="242"/>
      <c r="K74" s="242"/>
    </row>
    <row r="75" spans="1:11" ht="16" thickBot="1">
      <c r="A75" s="200"/>
      <c r="B75" s="200"/>
      <c r="C75" s="200"/>
      <c r="D75" s="215" t="s">
        <v>5970</v>
      </c>
      <c r="E75" s="215" t="s">
        <v>5971</v>
      </c>
      <c r="F75" s="215" t="s">
        <v>23</v>
      </c>
      <c r="G75" s="215" t="s">
        <v>2145</v>
      </c>
      <c r="H75" s="215" t="s">
        <v>5877</v>
      </c>
      <c r="I75" s="250" t="s">
        <v>26</v>
      </c>
      <c r="J75" s="242"/>
      <c r="K75" s="242"/>
    </row>
    <row r="76" spans="1:11" ht="16" thickBot="1">
      <c r="A76" s="200"/>
      <c r="B76" s="200"/>
      <c r="C76" s="200"/>
      <c r="D76" s="215" t="s">
        <v>5972</v>
      </c>
      <c r="E76" s="215" t="s">
        <v>5973</v>
      </c>
      <c r="F76" s="215" t="s">
        <v>16</v>
      </c>
      <c r="G76" s="215" t="s">
        <v>658</v>
      </c>
      <c r="H76" s="215" t="s">
        <v>5860</v>
      </c>
      <c r="I76" s="251" t="s">
        <v>206</v>
      </c>
      <c r="J76" s="242"/>
      <c r="K76" s="242"/>
    </row>
    <row r="77" spans="1:11" ht="16" thickBot="1">
      <c r="A77" s="200"/>
      <c r="B77" s="200" t="s">
        <v>1755</v>
      </c>
      <c r="C77" s="200" t="s">
        <v>1756</v>
      </c>
      <c r="D77" s="215" t="s">
        <v>5974</v>
      </c>
      <c r="E77" s="215" t="s">
        <v>5975</v>
      </c>
      <c r="F77" s="215" t="s">
        <v>16</v>
      </c>
      <c r="G77" s="215" t="s">
        <v>5869</v>
      </c>
      <c r="H77" s="215" t="s">
        <v>5864</v>
      </c>
      <c r="I77" s="250" t="s">
        <v>26</v>
      </c>
      <c r="J77" s="242"/>
      <c r="K77" s="242"/>
    </row>
    <row r="78" spans="1:11" ht="16" thickBot="1">
      <c r="A78" s="200"/>
      <c r="B78" s="200"/>
      <c r="C78" s="200"/>
      <c r="D78" s="215" t="s">
        <v>5976</v>
      </c>
      <c r="E78" s="215" t="s">
        <v>5977</v>
      </c>
      <c r="F78" s="215" t="s">
        <v>23</v>
      </c>
      <c r="G78" s="215" t="s">
        <v>2086</v>
      </c>
      <c r="H78" s="215" t="s">
        <v>5860</v>
      </c>
      <c r="I78" s="251" t="s">
        <v>206</v>
      </c>
      <c r="J78" s="242"/>
      <c r="K78" s="242"/>
    </row>
    <row r="79" spans="1:11" ht="16" thickBot="1">
      <c r="A79" s="200"/>
      <c r="B79" s="200"/>
      <c r="C79" s="200"/>
      <c r="D79" s="215" t="s">
        <v>5978</v>
      </c>
      <c r="E79" s="215" t="s">
        <v>5979</v>
      </c>
      <c r="F79" s="215" t="s">
        <v>16</v>
      </c>
      <c r="G79" s="215" t="s">
        <v>2235</v>
      </c>
      <c r="H79" s="215" t="s">
        <v>5877</v>
      </c>
      <c r="I79" s="354" t="s">
        <v>19</v>
      </c>
      <c r="J79" s="242"/>
      <c r="K79" s="242"/>
    </row>
    <row r="80" spans="1:11" ht="16" thickBot="1">
      <c r="A80" s="200"/>
      <c r="B80" s="200"/>
      <c r="C80" s="200"/>
      <c r="D80" s="215" t="s">
        <v>5980</v>
      </c>
      <c r="E80" s="215" t="s">
        <v>5981</v>
      </c>
      <c r="F80" s="215" t="s">
        <v>16</v>
      </c>
      <c r="G80" s="215" t="s">
        <v>653</v>
      </c>
      <c r="H80" s="215" t="s">
        <v>5885</v>
      </c>
      <c r="I80" s="250" t="s">
        <v>26</v>
      </c>
      <c r="J80" s="242"/>
      <c r="K80" s="242"/>
    </row>
    <row r="81" spans="1:11" ht="16" thickBot="1">
      <c r="A81" s="200"/>
      <c r="B81" s="200"/>
      <c r="C81" s="200"/>
      <c r="D81" s="215" t="s">
        <v>5982</v>
      </c>
      <c r="E81" s="215" t="s">
        <v>1917</v>
      </c>
      <c r="F81" s="215" t="s">
        <v>16</v>
      </c>
      <c r="G81" s="215" t="s">
        <v>671</v>
      </c>
      <c r="H81" s="215" t="s">
        <v>5864</v>
      </c>
      <c r="I81" s="250" t="s">
        <v>26</v>
      </c>
      <c r="J81" s="242"/>
      <c r="K81" s="242"/>
    </row>
    <row r="82" spans="1:11" ht="16" thickBot="1">
      <c r="A82" s="200"/>
      <c r="B82" s="200"/>
      <c r="C82" s="200" t="s">
        <v>1757</v>
      </c>
      <c r="D82" s="215" t="s">
        <v>5983</v>
      </c>
      <c r="E82" s="215" t="s">
        <v>5984</v>
      </c>
      <c r="F82" s="215" t="s">
        <v>16</v>
      </c>
      <c r="G82" s="215" t="s">
        <v>1793</v>
      </c>
      <c r="H82" s="215" t="s">
        <v>5885</v>
      </c>
      <c r="I82" s="250" t="s">
        <v>26</v>
      </c>
      <c r="J82" s="242"/>
      <c r="K82" s="242"/>
    </row>
    <row r="83" spans="1:11" ht="16" thickBot="1">
      <c r="A83" s="200"/>
      <c r="B83" s="200"/>
      <c r="C83" s="200"/>
      <c r="D83" s="215" t="s">
        <v>5985</v>
      </c>
      <c r="E83" s="215" t="s">
        <v>5986</v>
      </c>
      <c r="F83" s="215" t="s">
        <v>16</v>
      </c>
      <c r="G83" s="215" t="s">
        <v>5882</v>
      </c>
      <c r="H83" s="215" t="s">
        <v>5860</v>
      </c>
      <c r="I83" s="250" t="s">
        <v>26</v>
      </c>
      <c r="J83" s="242"/>
      <c r="K83" s="242"/>
    </row>
    <row r="84" spans="1:11" ht="16" thickBot="1">
      <c r="A84" s="200"/>
      <c r="B84" s="200"/>
      <c r="C84" s="200"/>
      <c r="D84" s="215" t="s">
        <v>5987</v>
      </c>
      <c r="E84" s="215" t="s">
        <v>5988</v>
      </c>
      <c r="F84" s="215" t="s">
        <v>23</v>
      </c>
      <c r="G84" s="215" t="s">
        <v>1821</v>
      </c>
      <c r="H84" s="215" t="s">
        <v>5877</v>
      </c>
      <c r="I84" s="354" t="s">
        <v>19</v>
      </c>
      <c r="J84" s="242"/>
      <c r="K84" s="242"/>
    </row>
    <row r="85" spans="1:11" ht="16" thickBot="1">
      <c r="A85" s="200"/>
      <c r="B85" s="200"/>
      <c r="C85" s="200"/>
      <c r="D85" s="215" t="s">
        <v>5989</v>
      </c>
      <c r="E85" s="215" t="s">
        <v>5990</v>
      </c>
      <c r="F85" s="215" t="s">
        <v>16</v>
      </c>
      <c r="G85" s="215" t="s">
        <v>2064</v>
      </c>
      <c r="H85" s="215" t="s">
        <v>5864</v>
      </c>
      <c r="I85" s="251" t="s">
        <v>206</v>
      </c>
      <c r="J85" s="242"/>
      <c r="K85" s="242"/>
    </row>
    <row r="86" spans="1:11" ht="16" thickBot="1">
      <c r="A86" s="200"/>
      <c r="B86" s="200"/>
      <c r="C86" s="200"/>
      <c r="D86" s="215" t="s">
        <v>5991</v>
      </c>
      <c r="E86" s="215" t="s">
        <v>5992</v>
      </c>
      <c r="F86" s="215" t="s">
        <v>58</v>
      </c>
      <c r="G86" s="215" t="s">
        <v>2081</v>
      </c>
      <c r="H86" s="215" t="s">
        <v>5860</v>
      </c>
      <c r="I86" s="250" t="s">
        <v>26</v>
      </c>
      <c r="J86" s="242"/>
      <c r="K86" s="242"/>
    </row>
    <row r="87" spans="1:11" ht="16" thickBot="1">
      <c r="A87" s="200"/>
      <c r="B87" s="200"/>
      <c r="C87" s="200" t="s">
        <v>1758</v>
      </c>
      <c r="D87" s="215" t="s">
        <v>5993</v>
      </c>
      <c r="E87" s="215" t="s">
        <v>5994</v>
      </c>
      <c r="F87" s="215" t="s">
        <v>16</v>
      </c>
      <c r="G87" s="215" t="s">
        <v>610</v>
      </c>
      <c r="H87" s="215" t="s">
        <v>5877</v>
      </c>
      <c r="I87" s="250" t="s">
        <v>26</v>
      </c>
      <c r="J87" s="242"/>
      <c r="K87" s="242"/>
    </row>
    <row r="88" spans="1:11" ht="16" thickBot="1">
      <c r="A88" s="200"/>
      <c r="B88" s="200"/>
      <c r="C88" s="200"/>
      <c r="D88" s="215" t="s">
        <v>5995</v>
      </c>
      <c r="E88" s="215" t="s">
        <v>5996</v>
      </c>
      <c r="F88" s="215" t="s">
        <v>16</v>
      </c>
      <c r="G88" s="215" t="s">
        <v>1780</v>
      </c>
      <c r="H88" s="215" t="s">
        <v>5885</v>
      </c>
      <c r="I88" s="354" t="s">
        <v>19</v>
      </c>
      <c r="J88" s="242"/>
      <c r="K88" s="242"/>
    </row>
    <row r="89" spans="1:11" ht="16" thickBot="1">
      <c r="A89" s="200"/>
      <c r="B89" s="200"/>
      <c r="C89" s="200"/>
      <c r="D89" s="215" t="s">
        <v>5997</v>
      </c>
      <c r="E89" s="215" t="s">
        <v>5998</v>
      </c>
      <c r="F89" s="215" t="s">
        <v>16</v>
      </c>
      <c r="G89" s="215" t="s">
        <v>2064</v>
      </c>
      <c r="H89" s="215" t="s">
        <v>5860</v>
      </c>
      <c r="I89" s="251" t="s">
        <v>206</v>
      </c>
      <c r="J89" s="242"/>
      <c r="K89" s="242"/>
    </row>
    <row r="90" spans="1:11" ht="16" thickBot="1">
      <c r="A90" s="200"/>
      <c r="B90" s="200"/>
      <c r="C90" s="200"/>
      <c r="D90" s="215" t="s">
        <v>5999</v>
      </c>
      <c r="E90" s="215" t="s">
        <v>6000</v>
      </c>
      <c r="F90" s="215" t="s">
        <v>16</v>
      </c>
      <c r="G90" s="215" t="s">
        <v>1796</v>
      </c>
      <c r="H90" s="215" t="s">
        <v>5864</v>
      </c>
      <c r="I90" s="250" t="s">
        <v>26</v>
      </c>
      <c r="J90" s="242"/>
      <c r="K90" s="242"/>
    </row>
    <row r="91" spans="1:11" ht="16" thickBot="1">
      <c r="A91" s="200"/>
      <c r="B91" s="200"/>
      <c r="C91" s="200"/>
      <c r="D91" s="215" t="s">
        <v>6001</v>
      </c>
      <c r="E91" s="215" t="s">
        <v>6002</v>
      </c>
      <c r="F91" s="215" t="s">
        <v>16</v>
      </c>
      <c r="G91" s="215" t="s">
        <v>646</v>
      </c>
      <c r="H91" s="215" t="s">
        <v>5860</v>
      </c>
      <c r="I91" s="251" t="s">
        <v>206</v>
      </c>
      <c r="J91" s="242"/>
      <c r="K91" s="242"/>
    </row>
    <row r="92" spans="1:11" ht="16" thickBot="1">
      <c r="A92" s="200"/>
      <c r="B92" s="200"/>
      <c r="C92" s="200" t="s">
        <v>1759</v>
      </c>
      <c r="D92" s="215" t="s">
        <v>6003</v>
      </c>
      <c r="E92" s="215" t="s">
        <v>6004</v>
      </c>
      <c r="F92" s="215" t="s">
        <v>16</v>
      </c>
      <c r="G92" s="215" t="s">
        <v>1762</v>
      </c>
      <c r="H92" s="215" t="s">
        <v>5877</v>
      </c>
      <c r="I92" s="215" t="s">
        <v>19</v>
      </c>
      <c r="J92" s="242"/>
      <c r="K92" s="242"/>
    </row>
    <row r="93" spans="1:11" ht="16" thickBot="1">
      <c r="A93" s="200"/>
      <c r="B93" s="200"/>
      <c r="C93" s="200"/>
      <c r="D93" s="215" t="s">
        <v>6005</v>
      </c>
      <c r="E93" s="215" t="s">
        <v>6006</v>
      </c>
      <c r="F93" s="215" t="s">
        <v>16</v>
      </c>
      <c r="G93" s="215" t="s">
        <v>2086</v>
      </c>
      <c r="H93" s="215" t="s">
        <v>5864</v>
      </c>
      <c r="I93" s="215" t="s">
        <v>26</v>
      </c>
      <c r="J93" s="242"/>
      <c r="K93" s="242"/>
    </row>
    <row r="94" spans="1:11" ht="16" thickBot="1">
      <c r="A94" s="200"/>
      <c r="B94" s="200"/>
      <c r="C94" s="200"/>
      <c r="D94" s="215" t="s">
        <v>6007</v>
      </c>
      <c r="E94" s="215" t="s">
        <v>6008</v>
      </c>
      <c r="F94" s="215" t="s">
        <v>16</v>
      </c>
      <c r="G94" s="215" t="s">
        <v>1780</v>
      </c>
      <c r="H94" s="215" t="s">
        <v>5860</v>
      </c>
      <c r="I94" s="215" t="s">
        <v>26</v>
      </c>
      <c r="J94" s="242"/>
      <c r="K94" s="242"/>
    </row>
    <row r="95" spans="1:11" ht="16" thickBot="1">
      <c r="A95" s="200"/>
      <c r="B95" s="200"/>
      <c r="C95" s="200"/>
      <c r="D95" s="215" t="s">
        <v>6009</v>
      </c>
      <c r="E95" s="215" t="s">
        <v>6010</v>
      </c>
      <c r="F95" s="215" t="s">
        <v>16</v>
      </c>
      <c r="G95" s="215" t="s">
        <v>658</v>
      </c>
      <c r="H95" s="215" t="s">
        <v>5885</v>
      </c>
      <c r="I95" s="215" t="s">
        <v>206</v>
      </c>
      <c r="J95" s="242"/>
      <c r="K95" s="242"/>
    </row>
    <row r="96" spans="1:11" ht="16" thickBot="1">
      <c r="A96" s="200"/>
      <c r="B96" s="200"/>
      <c r="C96" s="200"/>
      <c r="D96" s="215" t="s">
        <v>6011</v>
      </c>
      <c r="E96" s="215" t="s">
        <v>6012</v>
      </c>
      <c r="F96" s="215" t="s">
        <v>16</v>
      </c>
      <c r="G96" s="215" t="s">
        <v>610</v>
      </c>
      <c r="H96" s="215" t="s">
        <v>5864</v>
      </c>
      <c r="I96" s="215" t="s">
        <v>206</v>
      </c>
      <c r="J96" s="242"/>
      <c r="K96" s="242"/>
    </row>
    <row r="97" spans="1:11" ht="16" thickBot="1">
      <c r="A97" s="200"/>
      <c r="B97" s="200"/>
      <c r="C97" s="200" t="s">
        <v>1760</v>
      </c>
      <c r="D97" s="215" t="s">
        <v>6013</v>
      </c>
      <c r="E97" s="215" t="s">
        <v>6014</v>
      </c>
      <c r="F97" s="215" t="s">
        <v>16</v>
      </c>
      <c r="G97" s="215" t="s">
        <v>2065</v>
      </c>
      <c r="H97" s="215" t="s">
        <v>5864</v>
      </c>
      <c r="I97" s="215" t="s">
        <v>26</v>
      </c>
      <c r="J97" s="242"/>
      <c r="K97" s="242"/>
    </row>
    <row r="98" spans="1:11" ht="16" thickBot="1">
      <c r="A98" s="200"/>
      <c r="B98" s="200"/>
      <c r="C98" s="200"/>
      <c r="D98" s="215" t="s">
        <v>6015</v>
      </c>
      <c r="E98" s="215" t="s">
        <v>6016</v>
      </c>
      <c r="F98" s="215" t="s">
        <v>23</v>
      </c>
      <c r="G98" s="215" t="s">
        <v>1796</v>
      </c>
      <c r="H98" s="215" t="s">
        <v>5877</v>
      </c>
      <c r="I98" s="215" t="s">
        <v>206</v>
      </c>
      <c r="J98" s="242"/>
      <c r="K98" s="242"/>
    </row>
    <row r="99" spans="1:11" ht="16" thickBot="1">
      <c r="A99" s="200"/>
      <c r="B99" s="200"/>
      <c r="C99" s="200"/>
      <c r="D99" s="215" t="s">
        <v>6017</v>
      </c>
      <c r="E99" s="215" t="s">
        <v>6018</v>
      </c>
      <c r="F99" s="215" t="s">
        <v>58</v>
      </c>
      <c r="G99" s="215" t="s">
        <v>646</v>
      </c>
      <c r="H99" s="215" t="s">
        <v>5860</v>
      </c>
      <c r="I99" s="215" t="s">
        <v>206</v>
      </c>
      <c r="J99" s="242"/>
      <c r="K99" s="242"/>
    </row>
    <row r="100" spans="1:11" ht="16" thickBot="1">
      <c r="A100" s="200"/>
      <c r="B100" s="200"/>
      <c r="C100" s="200"/>
      <c r="D100" s="215" t="s">
        <v>6019</v>
      </c>
      <c r="E100" s="215" t="s">
        <v>6020</v>
      </c>
      <c r="F100" s="215" t="s">
        <v>23</v>
      </c>
      <c r="G100" s="215" t="s">
        <v>1793</v>
      </c>
      <c r="H100" s="215" t="s">
        <v>5885</v>
      </c>
      <c r="I100" s="215" t="s">
        <v>26</v>
      </c>
      <c r="J100" s="242"/>
      <c r="K100" s="242"/>
    </row>
    <row r="101" spans="1:11" ht="16" thickBot="1">
      <c r="A101" s="200"/>
      <c r="B101" s="200"/>
      <c r="C101" s="200"/>
      <c r="D101" s="215" t="s">
        <v>6021</v>
      </c>
      <c r="E101" s="215" t="s">
        <v>6022</v>
      </c>
      <c r="F101" s="215" t="s">
        <v>16</v>
      </c>
      <c r="G101" s="215" t="s">
        <v>2145</v>
      </c>
      <c r="H101" s="215" t="s">
        <v>5864</v>
      </c>
      <c r="I101" s="215" t="s">
        <v>26</v>
      </c>
      <c r="J101" s="242"/>
      <c r="K101" s="242"/>
    </row>
  </sheetData>
  <mergeCells count="25">
    <mergeCell ref="B77:B101"/>
    <mergeCell ref="C77:C81"/>
    <mergeCell ref="C82:C86"/>
    <mergeCell ref="C87:C91"/>
    <mergeCell ref="C92:C96"/>
    <mergeCell ref="C97:C101"/>
    <mergeCell ref="C37:C41"/>
    <mergeCell ref="C42:C46"/>
    <mergeCell ref="C47:C51"/>
    <mergeCell ref="B52:B76"/>
    <mergeCell ref="C52:C56"/>
    <mergeCell ref="C57:C61"/>
    <mergeCell ref="C62:C66"/>
    <mergeCell ref="C67:C71"/>
    <mergeCell ref="C72:C76"/>
    <mergeCell ref="A2:A101"/>
    <mergeCell ref="B2:B26"/>
    <mergeCell ref="C2:C6"/>
    <mergeCell ref="C7:C11"/>
    <mergeCell ref="C12:C16"/>
    <mergeCell ref="C17:C21"/>
    <mergeCell ref="C22:C26"/>
    <mergeCell ref="B27:B51"/>
    <mergeCell ref="C27:C31"/>
    <mergeCell ref="C32:C3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1"/>
  <sheetViews>
    <sheetView zoomScale="40" zoomScaleNormal="40" workbookViewId="0">
      <selection activeCell="J321" sqref="A2:J321"/>
    </sheetView>
  </sheetViews>
  <sheetFormatPr baseColWidth="10" defaultRowHeight="14.5"/>
  <cols>
    <col min="1" max="1" width="33.08984375" bestFit="1" customWidth="1"/>
    <col min="2" max="2" width="50.453125" bestFit="1" customWidth="1"/>
    <col min="3" max="3" width="255.6328125" bestFit="1" customWidth="1"/>
    <col min="4" max="4" width="57.7265625" bestFit="1" customWidth="1"/>
    <col min="5" max="5" width="78.26953125" bestFit="1" customWidth="1"/>
    <col min="6" max="6" width="14.453125" customWidth="1"/>
    <col min="7" max="7" width="48.90625" bestFit="1" customWidth="1"/>
    <col min="8" max="8" width="33.54296875" bestFit="1" customWidth="1"/>
    <col min="9" max="9" width="48.54296875" bestFit="1" customWidth="1"/>
    <col min="10" max="10" width="68.54296875" bestFit="1" customWidth="1"/>
  </cols>
  <sheetData>
    <row r="1" spans="1:10" ht="16" thickBot="1">
      <c r="A1" s="318" t="s">
        <v>0</v>
      </c>
      <c r="B1" s="319" t="s">
        <v>3852</v>
      </c>
      <c r="C1" s="319" t="s">
        <v>3853</v>
      </c>
      <c r="D1" s="319" t="s">
        <v>3854</v>
      </c>
      <c r="E1" s="319" t="s">
        <v>3855</v>
      </c>
      <c r="F1" s="402" t="s">
        <v>3856</v>
      </c>
      <c r="G1" s="319" t="s">
        <v>6043</v>
      </c>
      <c r="H1" s="319" t="s">
        <v>7</v>
      </c>
      <c r="I1" s="319" t="s">
        <v>3857</v>
      </c>
      <c r="J1" s="320" t="s">
        <v>10</v>
      </c>
    </row>
    <row r="2" spans="1:10" ht="16" thickBot="1">
      <c r="A2" s="337" t="s">
        <v>5574</v>
      </c>
      <c r="B2" s="321" t="s">
        <v>3858</v>
      </c>
      <c r="C2" s="321" t="s">
        <v>3859</v>
      </c>
      <c r="D2" s="322" t="s">
        <v>3860</v>
      </c>
      <c r="E2" s="392" t="s">
        <v>3861</v>
      </c>
      <c r="F2" s="356" t="s">
        <v>3862</v>
      </c>
      <c r="G2" s="397" t="s">
        <v>3863</v>
      </c>
      <c r="H2" s="322" t="s">
        <v>3864</v>
      </c>
      <c r="I2" s="322" t="s">
        <v>3865</v>
      </c>
      <c r="J2" s="323" t="s">
        <v>3866</v>
      </c>
    </row>
    <row r="3" spans="1:10" ht="16" thickBot="1">
      <c r="A3" s="338"/>
      <c r="B3" s="321"/>
      <c r="C3" s="321"/>
      <c r="D3" s="322" t="s">
        <v>3867</v>
      </c>
      <c r="E3" s="392" t="s">
        <v>3868</v>
      </c>
      <c r="F3" s="356" t="s">
        <v>3862</v>
      </c>
      <c r="G3" s="397" t="s">
        <v>3869</v>
      </c>
      <c r="H3" s="322" t="s">
        <v>3870</v>
      </c>
      <c r="I3" s="322" t="s">
        <v>3871</v>
      </c>
      <c r="J3" s="323" t="s">
        <v>3872</v>
      </c>
    </row>
    <row r="4" spans="1:10" ht="16" thickBot="1">
      <c r="A4" s="338"/>
      <c r="B4" s="321"/>
      <c r="C4" s="321"/>
      <c r="D4" s="322" t="s">
        <v>3873</v>
      </c>
      <c r="E4" s="392" t="s">
        <v>3874</v>
      </c>
      <c r="F4" s="356" t="s">
        <v>3862</v>
      </c>
      <c r="G4" s="397" t="s">
        <v>3875</v>
      </c>
      <c r="H4" s="322" t="s">
        <v>3876</v>
      </c>
      <c r="I4" s="322" t="s">
        <v>3877</v>
      </c>
      <c r="J4" s="323" t="s">
        <v>3878</v>
      </c>
    </row>
    <row r="5" spans="1:10" ht="16" thickBot="1">
      <c r="A5" s="338"/>
      <c r="B5" s="321"/>
      <c r="C5" s="321"/>
      <c r="D5" s="322" t="s">
        <v>3879</v>
      </c>
      <c r="E5" s="392" t="s">
        <v>3880</v>
      </c>
      <c r="F5" s="356" t="s">
        <v>4494</v>
      </c>
      <c r="G5" s="397" t="s">
        <v>3882</v>
      </c>
      <c r="H5" s="322" t="s">
        <v>3883</v>
      </c>
      <c r="I5" s="322" t="s">
        <v>3884</v>
      </c>
      <c r="J5" s="323" t="s">
        <v>3885</v>
      </c>
    </row>
    <row r="6" spans="1:10" ht="16" thickBot="1">
      <c r="A6" s="338"/>
      <c r="B6" s="321"/>
      <c r="C6" s="321"/>
      <c r="D6" s="322" t="s">
        <v>3886</v>
      </c>
      <c r="E6" s="392" t="s">
        <v>3887</v>
      </c>
      <c r="F6" s="356" t="s">
        <v>4598</v>
      </c>
      <c r="G6" s="397" t="s">
        <v>3889</v>
      </c>
      <c r="H6" s="322" t="s">
        <v>3890</v>
      </c>
      <c r="I6" s="322" t="s">
        <v>3891</v>
      </c>
      <c r="J6" s="323" t="s">
        <v>3892</v>
      </c>
    </row>
    <row r="7" spans="1:10" ht="16" thickBot="1">
      <c r="A7" s="338"/>
      <c r="B7" s="321"/>
      <c r="C7" s="321" t="s">
        <v>3893</v>
      </c>
      <c r="D7" s="324" t="s">
        <v>3894</v>
      </c>
      <c r="E7" s="393" t="s">
        <v>3895</v>
      </c>
      <c r="F7" s="345" t="s">
        <v>3862</v>
      </c>
      <c r="G7" s="398" t="s">
        <v>3896</v>
      </c>
      <c r="H7" s="324" t="s">
        <v>3897</v>
      </c>
      <c r="I7" s="324" t="s">
        <v>3898</v>
      </c>
      <c r="J7" s="325" t="s">
        <v>3899</v>
      </c>
    </row>
    <row r="8" spans="1:10" ht="16" thickBot="1">
      <c r="A8" s="338"/>
      <c r="B8" s="321"/>
      <c r="C8" s="321"/>
      <c r="D8" s="324" t="s">
        <v>3900</v>
      </c>
      <c r="E8" s="393" t="s">
        <v>3901</v>
      </c>
      <c r="F8" s="345" t="s">
        <v>3862</v>
      </c>
      <c r="G8" s="398" t="s">
        <v>3902</v>
      </c>
      <c r="H8" s="324" t="s">
        <v>3903</v>
      </c>
      <c r="I8" s="324" t="s">
        <v>3904</v>
      </c>
      <c r="J8" s="325" t="s">
        <v>3905</v>
      </c>
    </row>
    <row r="9" spans="1:10" ht="16" thickBot="1">
      <c r="A9" s="338"/>
      <c r="B9" s="321"/>
      <c r="C9" s="321"/>
      <c r="D9" s="324" t="s">
        <v>3906</v>
      </c>
      <c r="E9" s="393" t="s">
        <v>3907</v>
      </c>
      <c r="F9" s="345" t="s">
        <v>3862</v>
      </c>
      <c r="G9" s="398" t="s">
        <v>3908</v>
      </c>
      <c r="H9" s="324" t="s">
        <v>3909</v>
      </c>
      <c r="I9" s="324" t="s">
        <v>3910</v>
      </c>
      <c r="J9" s="325" t="s">
        <v>3911</v>
      </c>
    </row>
    <row r="10" spans="1:10" ht="16" thickBot="1">
      <c r="A10" s="338"/>
      <c r="B10" s="321"/>
      <c r="C10" s="321"/>
      <c r="D10" s="324" t="s">
        <v>3912</v>
      </c>
      <c r="E10" s="393" t="s">
        <v>3913</v>
      </c>
      <c r="F10" s="345" t="s">
        <v>3862</v>
      </c>
      <c r="G10" s="398" t="s">
        <v>3914</v>
      </c>
      <c r="H10" s="324" t="s">
        <v>3915</v>
      </c>
      <c r="I10" s="324" t="s">
        <v>3916</v>
      </c>
      <c r="J10" s="325" t="s">
        <v>3917</v>
      </c>
    </row>
    <row r="11" spans="1:10" ht="16" thickBot="1">
      <c r="A11" s="338"/>
      <c r="B11" s="321"/>
      <c r="C11" s="321"/>
      <c r="D11" s="324" t="s">
        <v>3918</v>
      </c>
      <c r="E11" s="393" t="s">
        <v>3919</v>
      </c>
      <c r="F11" s="345" t="s">
        <v>3862</v>
      </c>
      <c r="G11" s="398" t="s">
        <v>333</v>
      </c>
      <c r="H11" s="324" t="s">
        <v>3920</v>
      </c>
      <c r="I11" s="324" t="s">
        <v>3921</v>
      </c>
      <c r="J11" s="325" t="s">
        <v>3922</v>
      </c>
    </row>
    <row r="12" spans="1:10" ht="16" thickBot="1">
      <c r="A12" s="338"/>
      <c r="B12" s="321"/>
      <c r="C12" s="321" t="s">
        <v>3923</v>
      </c>
      <c r="D12" s="324" t="s">
        <v>3924</v>
      </c>
      <c r="E12" s="394" t="s">
        <v>3925</v>
      </c>
      <c r="F12" s="345" t="s">
        <v>3862</v>
      </c>
      <c r="G12" s="399" t="s">
        <v>3926</v>
      </c>
      <c r="H12" s="326" t="s">
        <v>3927</v>
      </c>
      <c r="I12" s="324" t="s">
        <v>3928</v>
      </c>
      <c r="J12" s="327" t="s">
        <v>3929</v>
      </c>
    </row>
    <row r="13" spans="1:10" ht="16" thickBot="1">
      <c r="A13" s="338"/>
      <c r="B13" s="321"/>
      <c r="C13" s="321"/>
      <c r="D13" s="324" t="s">
        <v>3930</v>
      </c>
      <c r="E13" s="394" t="s">
        <v>3931</v>
      </c>
      <c r="F13" s="345" t="s">
        <v>3862</v>
      </c>
      <c r="G13" s="399" t="s">
        <v>3932</v>
      </c>
      <c r="H13" s="326" t="s">
        <v>3933</v>
      </c>
      <c r="I13" s="326" t="s">
        <v>3934</v>
      </c>
      <c r="J13" s="327" t="s">
        <v>3935</v>
      </c>
    </row>
    <row r="14" spans="1:10" ht="16" thickBot="1">
      <c r="A14" s="338"/>
      <c r="B14" s="321"/>
      <c r="C14" s="321"/>
      <c r="D14" s="324" t="s">
        <v>3936</v>
      </c>
      <c r="E14" s="394" t="s">
        <v>3937</v>
      </c>
      <c r="F14" s="345" t="s">
        <v>3862</v>
      </c>
      <c r="G14" s="399" t="s">
        <v>3938</v>
      </c>
      <c r="H14" s="326" t="s">
        <v>3939</v>
      </c>
      <c r="I14" s="326" t="s">
        <v>3940</v>
      </c>
      <c r="J14" s="327" t="s">
        <v>3941</v>
      </c>
    </row>
    <row r="15" spans="1:10" ht="16" thickBot="1">
      <c r="A15" s="338"/>
      <c r="B15" s="321"/>
      <c r="C15" s="321"/>
      <c r="D15" s="324" t="s">
        <v>3942</v>
      </c>
      <c r="E15" s="394" t="s">
        <v>3943</v>
      </c>
      <c r="F15" s="345" t="s">
        <v>3862</v>
      </c>
      <c r="G15" s="399" t="s">
        <v>3944</v>
      </c>
      <c r="H15" s="326" t="s">
        <v>3945</v>
      </c>
      <c r="I15" s="326" t="s">
        <v>3946</v>
      </c>
      <c r="J15" s="327" t="s">
        <v>3947</v>
      </c>
    </row>
    <row r="16" spans="1:10" ht="16" thickBot="1">
      <c r="A16" s="338"/>
      <c r="B16" s="321"/>
      <c r="C16" s="321"/>
      <c r="D16" s="324" t="s">
        <v>3948</v>
      </c>
      <c r="E16" s="394" t="s">
        <v>3949</v>
      </c>
      <c r="F16" s="345" t="s">
        <v>3862</v>
      </c>
      <c r="G16" s="399" t="s">
        <v>3950</v>
      </c>
      <c r="H16" s="326" t="s">
        <v>3951</v>
      </c>
      <c r="I16" s="326" t="s">
        <v>3952</v>
      </c>
      <c r="J16" s="327" t="s">
        <v>3953</v>
      </c>
    </row>
    <row r="17" spans="1:10" ht="16" thickBot="1">
      <c r="A17" s="338"/>
      <c r="B17" s="321"/>
      <c r="C17" s="321" t="s">
        <v>3954</v>
      </c>
      <c r="D17" s="322" t="s">
        <v>3955</v>
      </c>
      <c r="E17" s="392" t="s">
        <v>3956</v>
      </c>
      <c r="F17" s="356" t="s">
        <v>3862</v>
      </c>
      <c r="G17" s="397" t="s">
        <v>3957</v>
      </c>
      <c r="H17" s="322" t="s">
        <v>3958</v>
      </c>
      <c r="I17" s="322" t="s">
        <v>3959</v>
      </c>
      <c r="J17" s="323" t="s">
        <v>3960</v>
      </c>
    </row>
    <row r="18" spans="1:10" ht="16" thickBot="1">
      <c r="A18" s="338"/>
      <c r="B18" s="321"/>
      <c r="C18" s="321"/>
      <c r="D18" s="322" t="s">
        <v>3961</v>
      </c>
      <c r="E18" s="392" t="s">
        <v>3962</v>
      </c>
      <c r="F18" s="356" t="s">
        <v>3862</v>
      </c>
      <c r="G18" s="397" t="s">
        <v>3963</v>
      </c>
      <c r="H18" s="322" t="s">
        <v>3964</v>
      </c>
      <c r="I18" s="322" t="s">
        <v>3965</v>
      </c>
      <c r="J18" s="323" t="s">
        <v>3966</v>
      </c>
    </row>
    <row r="19" spans="1:10" ht="16" thickBot="1">
      <c r="A19" s="338"/>
      <c r="B19" s="321"/>
      <c r="C19" s="321"/>
      <c r="D19" s="322" t="s">
        <v>3967</v>
      </c>
      <c r="E19" s="392" t="s">
        <v>3968</v>
      </c>
      <c r="F19" s="356" t="s">
        <v>3862</v>
      </c>
      <c r="G19" s="397" t="s">
        <v>3969</v>
      </c>
      <c r="H19" s="322" t="s">
        <v>3970</v>
      </c>
      <c r="I19" s="322" t="s">
        <v>3971</v>
      </c>
      <c r="J19" s="323" t="s">
        <v>3972</v>
      </c>
    </row>
    <row r="20" spans="1:10" ht="16" thickBot="1">
      <c r="A20" s="338"/>
      <c r="B20" s="321"/>
      <c r="C20" s="321"/>
      <c r="D20" s="322" t="s">
        <v>3973</v>
      </c>
      <c r="E20" s="392" t="s">
        <v>3974</v>
      </c>
      <c r="F20" s="356" t="s">
        <v>3862</v>
      </c>
      <c r="G20" s="397" t="s">
        <v>3975</v>
      </c>
      <c r="H20" s="322" t="s">
        <v>3976</v>
      </c>
      <c r="I20" s="322" t="s">
        <v>3977</v>
      </c>
      <c r="J20" s="323" t="s">
        <v>3978</v>
      </c>
    </row>
    <row r="21" spans="1:10" ht="16" thickBot="1">
      <c r="A21" s="338"/>
      <c r="B21" s="321"/>
      <c r="C21" s="321"/>
      <c r="D21" s="322" t="s">
        <v>3979</v>
      </c>
      <c r="E21" s="392" t="s">
        <v>3980</v>
      </c>
      <c r="F21" s="356" t="s">
        <v>3862</v>
      </c>
      <c r="G21" s="397" t="s">
        <v>3981</v>
      </c>
      <c r="H21" s="322" t="s">
        <v>3982</v>
      </c>
      <c r="I21" s="322" t="s">
        <v>3983</v>
      </c>
      <c r="J21" s="323" t="s">
        <v>3984</v>
      </c>
    </row>
    <row r="22" spans="1:10" ht="16" thickBot="1">
      <c r="A22" s="338"/>
      <c r="B22" s="321"/>
      <c r="C22" s="321" t="s">
        <v>3985</v>
      </c>
      <c r="D22" s="322" t="s">
        <v>3986</v>
      </c>
      <c r="E22" s="392" t="s">
        <v>3987</v>
      </c>
      <c r="F22" s="356" t="s">
        <v>3862</v>
      </c>
      <c r="G22" s="397" t="s">
        <v>3988</v>
      </c>
      <c r="H22" s="322" t="s">
        <v>3989</v>
      </c>
      <c r="I22" s="322" t="s">
        <v>3990</v>
      </c>
      <c r="J22" s="323" t="s">
        <v>3991</v>
      </c>
    </row>
    <row r="23" spans="1:10" ht="16" thickBot="1">
      <c r="A23" s="338"/>
      <c r="B23" s="321"/>
      <c r="C23" s="321"/>
      <c r="D23" s="322" t="s">
        <v>3992</v>
      </c>
      <c r="E23" s="392" t="s">
        <v>3993</v>
      </c>
      <c r="F23" s="356" t="s">
        <v>3862</v>
      </c>
      <c r="G23" s="397" t="s">
        <v>3994</v>
      </c>
      <c r="H23" s="322" t="s">
        <v>3995</v>
      </c>
      <c r="I23" s="322" t="s">
        <v>3996</v>
      </c>
      <c r="J23" s="323" t="s">
        <v>3997</v>
      </c>
    </row>
    <row r="24" spans="1:10" ht="16" thickBot="1">
      <c r="A24" s="338"/>
      <c r="B24" s="321"/>
      <c r="C24" s="321"/>
      <c r="D24" s="322" t="s">
        <v>3998</v>
      </c>
      <c r="E24" s="392" t="s">
        <v>3999</v>
      </c>
      <c r="F24" s="356" t="s">
        <v>3862</v>
      </c>
      <c r="G24" s="397" t="s">
        <v>4000</v>
      </c>
      <c r="H24" s="322" t="s">
        <v>4001</v>
      </c>
      <c r="I24" s="322" t="s">
        <v>4002</v>
      </c>
      <c r="J24" s="323" t="s">
        <v>4003</v>
      </c>
    </row>
    <row r="25" spans="1:10" ht="16" thickBot="1">
      <c r="A25" s="338"/>
      <c r="B25" s="321"/>
      <c r="C25" s="321"/>
      <c r="D25" s="322" t="s">
        <v>4004</v>
      </c>
      <c r="E25" s="392" t="s">
        <v>4005</v>
      </c>
      <c r="F25" s="356" t="s">
        <v>3862</v>
      </c>
      <c r="G25" s="397" t="s">
        <v>4006</v>
      </c>
      <c r="H25" s="322" t="s">
        <v>4007</v>
      </c>
      <c r="I25" s="322" t="s">
        <v>4008</v>
      </c>
      <c r="J25" s="323" t="s">
        <v>4009</v>
      </c>
    </row>
    <row r="26" spans="1:10" ht="16" thickBot="1">
      <c r="A26" s="338"/>
      <c r="B26" s="321"/>
      <c r="C26" s="321"/>
      <c r="D26" s="322" t="s">
        <v>4010</v>
      </c>
      <c r="E26" s="392" t="s">
        <v>4011</v>
      </c>
      <c r="F26" s="356" t="s">
        <v>3862</v>
      </c>
      <c r="G26" s="397" t="s">
        <v>4012</v>
      </c>
      <c r="H26" s="322" t="s">
        <v>4013</v>
      </c>
      <c r="I26" s="322" t="s">
        <v>4014</v>
      </c>
      <c r="J26" s="323" t="s">
        <v>4015</v>
      </c>
    </row>
    <row r="27" spans="1:10" ht="16" thickBot="1">
      <c r="A27" s="338"/>
      <c r="B27" s="321"/>
      <c r="C27" s="321" t="s">
        <v>4016</v>
      </c>
      <c r="D27" s="324" t="s">
        <v>4017</v>
      </c>
      <c r="E27" s="393" t="s">
        <v>4018</v>
      </c>
      <c r="F27" s="356" t="s">
        <v>3862</v>
      </c>
      <c r="G27" s="398" t="s">
        <v>4019</v>
      </c>
      <c r="H27" s="324" t="s">
        <v>4020</v>
      </c>
      <c r="I27" s="324" t="s">
        <v>4021</v>
      </c>
      <c r="J27" s="325" t="s">
        <v>4022</v>
      </c>
    </row>
    <row r="28" spans="1:10" ht="16" thickBot="1">
      <c r="A28" s="338"/>
      <c r="B28" s="321"/>
      <c r="C28" s="321"/>
      <c r="D28" s="324" t="s">
        <v>4023</v>
      </c>
      <c r="E28" s="393" t="s">
        <v>4024</v>
      </c>
      <c r="F28" s="356" t="s">
        <v>3862</v>
      </c>
      <c r="G28" s="398" t="s">
        <v>4025</v>
      </c>
      <c r="H28" s="324" t="s">
        <v>4026</v>
      </c>
      <c r="I28" s="324" t="s">
        <v>4027</v>
      </c>
      <c r="J28" s="325" t="s">
        <v>4028</v>
      </c>
    </row>
    <row r="29" spans="1:10" ht="16" thickBot="1">
      <c r="A29" s="338"/>
      <c r="B29" s="321"/>
      <c r="C29" s="321"/>
      <c r="D29" s="324" t="s">
        <v>4029</v>
      </c>
      <c r="E29" s="393" t="s">
        <v>4030</v>
      </c>
      <c r="F29" s="356" t="s">
        <v>3862</v>
      </c>
      <c r="G29" s="398" t="s">
        <v>4031</v>
      </c>
      <c r="H29" s="324" t="s">
        <v>4032</v>
      </c>
      <c r="I29" s="324" t="s">
        <v>4033</v>
      </c>
      <c r="J29" s="325" t="s">
        <v>4034</v>
      </c>
    </row>
    <row r="30" spans="1:10" ht="16" thickBot="1">
      <c r="A30" s="338"/>
      <c r="B30" s="321"/>
      <c r="C30" s="321"/>
      <c r="D30" s="324" t="s">
        <v>4035</v>
      </c>
      <c r="E30" s="393" t="s">
        <v>4036</v>
      </c>
      <c r="F30" s="356" t="s">
        <v>3862</v>
      </c>
      <c r="G30" s="398" t="s">
        <v>4037</v>
      </c>
      <c r="H30" s="324" t="s">
        <v>4038</v>
      </c>
      <c r="I30" s="324" t="s">
        <v>4039</v>
      </c>
      <c r="J30" s="325" t="s">
        <v>4040</v>
      </c>
    </row>
    <row r="31" spans="1:10" ht="16" thickBot="1">
      <c r="A31" s="338"/>
      <c r="B31" s="321"/>
      <c r="C31" s="321"/>
      <c r="D31" s="324" t="s">
        <v>4041</v>
      </c>
      <c r="E31" s="393" t="s">
        <v>4042</v>
      </c>
      <c r="F31" s="356" t="s">
        <v>3862</v>
      </c>
      <c r="G31" s="398" t="s">
        <v>4043</v>
      </c>
      <c r="H31" s="324" t="s">
        <v>4044</v>
      </c>
      <c r="I31" s="324" t="s">
        <v>4045</v>
      </c>
      <c r="J31" s="325" t="s">
        <v>4046</v>
      </c>
    </row>
    <row r="32" spans="1:10" ht="16" thickBot="1">
      <c r="A32" s="338"/>
      <c r="B32" s="321"/>
      <c r="C32" s="328" t="s">
        <v>4047</v>
      </c>
      <c r="D32" s="324" t="s">
        <v>4048</v>
      </c>
      <c r="E32" s="393" t="s">
        <v>4049</v>
      </c>
      <c r="F32" s="356" t="s">
        <v>3862</v>
      </c>
      <c r="G32" s="398" t="s">
        <v>4050</v>
      </c>
      <c r="H32" s="324" t="s">
        <v>4051</v>
      </c>
      <c r="I32" s="324" t="s">
        <v>4052</v>
      </c>
      <c r="J32" s="325" t="s">
        <v>4053</v>
      </c>
    </row>
    <row r="33" spans="1:10" ht="16" thickBot="1">
      <c r="A33" s="338"/>
      <c r="B33" s="321"/>
      <c r="C33" s="328"/>
      <c r="D33" s="324" t="s">
        <v>4054</v>
      </c>
      <c r="E33" s="393" t="s">
        <v>4055</v>
      </c>
      <c r="F33" s="356" t="s">
        <v>3862</v>
      </c>
      <c r="G33" s="398" t="s">
        <v>646</v>
      </c>
      <c r="H33" s="324" t="s">
        <v>4056</v>
      </c>
      <c r="I33" s="324" t="s">
        <v>4057</v>
      </c>
      <c r="J33" s="325" t="s">
        <v>4058</v>
      </c>
    </row>
    <row r="34" spans="1:10" ht="16" thickBot="1">
      <c r="A34" s="338"/>
      <c r="B34" s="321"/>
      <c r="C34" s="328"/>
      <c r="D34" s="324" t="s">
        <v>4059</v>
      </c>
      <c r="E34" s="393" t="s">
        <v>4060</v>
      </c>
      <c r="F34" s="345" t="s">
        <v>4494</v>
      </c>
      <c r="G34" s="398" t="s">
        <v>4061</v>
      </c>
      <c r="H34" s="324" t="s">
        <v>4062</v>
      </c>
      <c r="I34" s="324" t="s">
        <v>4063</v>
      </c>
      <c r="J34" s="325" t="s">
        <v>4064</v>
      </c>
    </row>
    <row r="35" spans="1:10" ht="16" thickBot="1">
      <c r="A35" s="338"/>
      <c r="B35" s="321"/>
      <c r="C35" s="328"/>
      <c r="D35" s="324" t="s">
        <v>4065</v>
      </c>
      <c r="E35" s="393" t="s">
        <v>4066</v>
      </c>
      <c r="F35" s="345" t="s">
        <v>3862</v>
      </c>
      <c r="G35" s="398" t="s">
        <v>4067</v>
      </c>
      <c r="H35" s="324" t="s">
        <v>4068</v>
      </c>
      <c r="I35" s="324" t="s">
        <v>4069</v>
      </c>
      <c r="J35" s="325" t="s">
        <v>4070</v>
      </c>
    </row>
    <row r="36" spans="1:10" ht="16" thickBot="1">
      <c r="A36" s="338"/>
      <c r="B36" s="321"/>
      <c r="C36" s="328"/>
      <c r="D36" s="324" t="s">
        <v>4071</v>
      </c>
      <c r="E36" s="393" t="s">
        <v>4072</v>
      </c>
      <c r="F36" s="345" t="s">
        <v>3862</v>
      </c>
      <c r="G36" s="398" t="s">
        <v>4073</v>
      </c>
      <c r="H36" s="324" t="s">
        <v>4074</v>
      </c>
      <c r="I36" s="324" t="s">
        <v>4075</v>
      </c>
      <c r="J36" s="325" t="s">
        <v>4076</v>
      </c>
    </row>
    <row r="37" spans="1:10" ht="16" thickBot="1">
      <c r="A37" s="338"/>
      <c r="B37" s="321"/>
      <c r="C37" s="328" t="s">
        <v>4077</v>
      </c>
      <c r="D37" s="324" t="s">
        <v>4078</v>
      </c>
      <c r="E37" s="393" t="s">
        <v>4079</v>
      </c>
      <c r="F37" s="345" t="s">
        <v>3862</v>
      </c>
      <c r="G37" s="398" t="s">
        <v>4080</v>
      </c>
      <c r="H37" s="324" t="s">
        <v>4081</v>
      </c>
      <c r="I37" s="324" t="s">
        <v>4082</v>
      </c>
      <c r="J37" s="325" t="s">
        <v>4083</v>
      </c>
    </row>
    <row r="38" spans="1:10" ht="16" thickBot="1">
      <c r="A38" s="338"/>
      <c r="B38" s="321"/>
      <c r="C38" s="328"/>
      <c r="D38" s="324" t="s">
        <v>4084</v>
      </c>
      <c r="E38" s="393" t="s">
        <v>4085</v>
      </c>
      <c r="F38" s="345" t="s">
        <v>3862</v>
      </c>
      <c r="G38" s="398" t="s">
        <v>4086</v>
      </c>
      <c r="H38" s="324" t="s">
        <v>4087</v>
      </c>
      <c r="I38" s="324" t="s">
        <v>4088</v>
      </c>
      <c r="J38" s="325" t="s">
        <v>4089</v>
      </c>
    </row>
    <row r="39" spans="1:10" ht="16" thickBot="1">
      <c r="A39" s="338"/>
      <c r="B39" s="321"/>
      <c r="C39" s="328"/>
      <c r="D39" s="324" t="s">
        <v>4090</v>
      </c>
      <c r="E39" s="393" t="s">
        <v>4091</v>
      </c>
      <c r="F39" s="345" t="s">
        <v>3862</v>
      </c>
      <c r="G39" s="398" t="s">
        <v>4092</v>
      </c>
      <c r="H39" s="324" t="s">
        <v>4093</v>
      </c>
      <c r="I39" s="324" t="s">
        <v>4094</v>
      </c>
      <c r="J39" s="325" t="s">
        <v>4095</v>
      </c>
    </row>
    <row r="40" spans="1:10" ht="16" thickBot="1">
      <c r="A40" s="338"/>
      <c r="B40" s="321"/>
      <c r="C40" s="328"/>
      <c r="D40" s="324" t="s">
        <v>4096</v>
      </c>
      <c r="E40" s="393" t="s">
        <v>4097</v>
      </c>
      <c r="F40" s="345" t="s">
        <v>4598</v>
      </c>
      <c r="G40" s="398" t="s">
        <v>2621</v>
      </c>
      <c r="H40" s="324" t="s">
        <v>4098</v>
      </c>
      <c r="I40" s="324" t="s">
        <v>4099</v>
      </c>
      <c r="J40" s="325" t="s">
        <v>4100</v>
      </c>
    </row>
    <row r="41" spans="1:10" ht="16" thickBot="1">
      <c r="A41" s="338"/>
      <c r="B41" s="321"/>
      <c r="C41" s="328"/>
      <c r="D41" s="324" t="s">
        <v>4101</v>
      </c>
      <c r="E41" s="393" t="s">
        <v>4102</v>
      </c>
      <c r="F41" s="345" t="s">
        <v>3862</v>
      </c>
      <c r="G41" s="398" t="s">
        <v>4103</v>
      </c>
      <c r="H41" s="324" t="s">
        <v>4104</v>
      </c>
      <c r="I41" s="324" t="s">
        <v>4105</v>
      </c>
      <c r="J41" s="325" t="s">
        <v>4106</v>
      </c>
    </row>
    <row r="42" spans="1:10" ht="16" thickBot="1">
      <c r="A42" s="338"/>
      <c r="B42" s="321" t="s">
        <v>4107</v>
      </c>
      <c r="C42" s="321" t="s">
        <v>4108</v>
      </c>
      <c r="D42" s="324" t="s">
        <v>4109</v>
      </c>
      <c r="E42" s="393" t="s">
        <v>4110</v>
      </c>
      <c r="F42" s="345" t="s">
        <v>3862</v>
      </c>
      <c r="G42" s="398" t="s">
        <v>4111</v>
      </c>
      <c r="H42" s="324" t="s">
        <v>4112</v>
      </c>
      <c r="I42" s="324" t="s">
        <v>4113</v>
      </c>
      <c r="J42" s="325" t="s">
        <v>4114</v>
      </c>
    </row>
    <row r="43" spans="1:10" ht="16" thickBot="1">
      <c r="A43" s="338"/>
      <c r="B43" s="321"/>
      <c r="C43" s="321"/>
      <c r="D43" s="324" t="s">
        <v>4115</v>
      </c>
      <c r="E43" s="393" t="s">
        <v>4116</v>
      </c>
      <c r="F43" s="345" t="s">
        <v>3862</v>
      </c>
      <c r="G43" s="398" t="s">
        <v>4117</v>
      </c>
      <c r="H43" s="324" t="s">
        <v>4118</v>
      </c>
      <c r="I43" s="324" t="s">
        <v>4119</v>
      </c>
      <c r="J43" s="325" t="s">
        <v>4120</v>
      </c>
    </row>
    <row r="44" spans="1:10" ht="16" thickBot="1">
      <c r="A44" s="338"/>
      <c r="B44" s="321"/>
      <c r="C44" s="321"/>
      <c r="D44" s="324" t="s">
        <v>4121</v>
      </c>
      <c r="E44" s="393" t="s">
        <v>4122</v>
      </c>
      <c r="F44" s="345" t="s">
        <v>3862</v>
      </c>
      <c r="G44" s="398" t="s">
        <v>4123</v>
      </c>
      <c r="H44" s="324" t="s">
        <v>4124</v>
      </c>
      <c r="I44" s="324" t="s">
        <v>4125</v>
      </c>
      <c r="J44" s="325" t="s">
        <v>4126</v>
      </c>
    </row>
    <row r="45" spans="1:10" ht="16" thickBot="1">
      <c r="A45" s="338"/>
      <c r="B45" s="321"/>
      <c r="C45" s="321"/>
      <c r="D45" s="324" t="s">
        <v>4127</v>
      </c>
      <c r="E45" s="393" t="s">
        <v>4128</v>
      </c>
      <c r="F45" s="345" t="s">
        <v>3862</v>
      </c>
      <c r="G45" s="398" t="s">
        <v>4129</v>
      </c>
      <c r="H45" s="324" t="s">
        <v>4130</v>
      </c>
      <c r="I45" s="324" t="s">
        <v>4131</v>
      </c>
      <c r="J45" s="325" t="s">
        <v>4132</v>
      </c>
    </row>
    <row r="46" spans="1:10" ht="16" thickBot="1">
      <c r="A46" s="338"/>
      <c r="B46" s="321"/>
      <c r="C46" s="321"/>
      <c r="D46" s="324" t="s">
        <v>4133</v>
      </c>
      <c r="E46" s="393" t="s">
        <v>4134</v>
      </c>
      <c r="F46" s="345" t="s">
        <v>3862</v>
      </c>
      <c r="G46" s="398" t="s">
        <v>4135</v>
      </c>
      <c r="H46" s="324" t="s">
        <v>4136</v>
      </c>
      <c r="I46" s="324" t="s">
        <v>4137</v>
      </c>
      <c r="J46" s="325" t="s">
        <v>4138</v>
      </c>
    </row>
    <row r="47" spans="1:10" ht="16" thickBot="1">
      <c r="A47" s="338"/>
      <c r="B47" s="321"/>
      <c r="C47" s="321" t="s">
        <v>4139</v>
      </c>
      <c r="D47" s="326" t="s">
        <v>4140</v>
      </c>
      <c r="E47" s="393" t="s">
        <v>4141</v>
      </c>
      <c r="F47" s="345" t="s">
        <v>3862</v>
      </c>
      <c r="G47" s="399" t="s">
        <v>4142</v>
      </c>
      <c r="H47" s="326" t="s">
        <v>4038</v>
      </c>
      <c r="I47" s="326" t="s">
        <v>4143</v>
      </c>
      <c r="J47" s="327" t="s">
        <v>4144</v>
      </c>
    </row>
    <row r="48" spans="1:10" ht="16" thickBot="1">
      <c r="A48" s="338"/>
      <c r="B48" s="321"/>
      <c r="C48" s="321"/>
      <c r="D48" s="326" t="s">
        <v>4145</v>
      </c>
      <c r="E48" s="393" t="s">
        <v>4146</v>
      </c>
      <c r="F48" s="345" t="s">
        <v>3862</v>
      </c>
      <c r="G48" s="399" t="s">
        <v>4147</v>
      </c>
      <c r="H48" s="326" t="s">
        <v>4148</v>
      </c>
      <c r="I48" s="326" t="s">
        <v>4149</v>
      </c>
      <c r="J48" s="327" t="s">
        <v>4150</v>
      </c>
    </row>
    <row r="49" spans="1:10" ht="16" thickBot="1">
      <c r="A49" s="338"/>
      <c r="B49" s="321"/>
      <c r="C49" s="321"/>
      <c r="D49" s="326" t="s">
        <v>4151</v>
      </c>
      <c r="E49" s="393" t="s">
        <v>4152</v>
      </c>
      <c r="F49" s="345" t="s">
        <v>3862</v>
      </c>
      <c r="G49" s="399" t="s">
        <v>4153</v>
      </c>
      <c r="H49" s="326" t="s">
        <v>4154</v>
      </c>
      <c r="I49" s="326" t="s">
        <v>4155</v>
      </c>
      <c r="J49" s="327" t="s">
        <v>4156</v>
      </c>
    </row>
    <row r="50" spans="1:10" ht="16" thickBot="1">
      <c r="A50" s="338"/>
      <c r="B50" s="321"/>
      <c r="C50" s="321"/>
      <c r="D50" s="326" t="s">
        <v>4157</v>
      </c>
      <c r="E50" s="393" t="s">
        <v>4158</v>
      </c>
      <c r="F50" s="345" t="s">
        <v>3862</v>
      </c>
      <c r="G50" s="399" t="s">
        <v>4159</v>
      </c>
      <c r="H50" s="326" t="s">
        <v>4160</v>
      </c>
      <c r="I50" s="326" t="s">
        <v>2436</v>
      </c>
      <c r="J50" s="327" t="s">
        <v>4161</v>
      </c>
    </row>
    <row r="51" spans="1:10" ht="16" thickBot="1">
      <c r="A51" s="338"/>
      <c r="B51" s="321"/>
      <c r="C51" s="321"/>
      <c r="D51" s="326" t="s">
        <v>4162</v>
      </c>
      <c r="E51" s="393" t="s">
        <v>4163</v>
      </c>
      <c r="F51" s="345" t="s">
        <v>3862</v>
      </c>
      <c r="G51" s="399" t="s">
        <v>4164</v>
      </c>
      <c r="H51" s="326" t="s">
        <v>4165</v>
      </c>
      <c r="I51" s="326" t="s">
        <v>4166</v>
      </c>
      <c r="J51" s="327" t="s">
        <v>4167</v>
      </c>
    </row>
    <row r="52" spans="1:10" ht="16" thickBot="1">
      <c r="A52" s="338"/>
      <c r="B52" s="321"/>
      <c r="C52" s="321" t="s">
        <v>4168</v>
      </c>
      <c r="D52" s="324" t="s">
        <v>4169</v>
      </c>
      <c r="E52" s="393" t="s">
        <v>4170</v>
      </c>
      <c r="F52" s="345" t="s">
        <v>3862</v>
      </c>
      <c r="G52" s="398" t="s">
        <v>4171</v>
      </c>
      <c r="H52" s="324" t="s">
        <v>4172</v>
      </c>
      <c r="I52" s="324" t="s">
        <v>3883</v>
      </c>
      <c r="J52" s="325" t="s">
        <v>4173</v>
      </c>
    </row>
    <row r="53" spans="1:10" ht="16" thickBot="1">
      <c r="A53" s="338"/>
      <c r="B53" s="321"/>
      <c r="C53" s="321"/>
      <c r="D53" s="324" t="s">
        <v>4174</v>
      </c>
      <c r="E53" s="393" t="s">
        <v>4175</v>
      </c>
      <c r="F53" s="345" t="s">
        <v>3881</v>
      </c>
      <c r="G53" s="398" t="s">
        <v>4176</v>
      </c>
      <c r="H53" s="324" t="s">
        <v>4177</v>
      </c>
      <c r="I53" s="324" t="s">
        <v>4178</v>
      </c>
      <c r="J53" s="325" t="s">
        <v>4179</v>
      </c>
    </row>
    <row r="54" spans="1:10" ht="16" thickBot="1">
      <c r="A54" s="338"/>
      <c r="B54" s="321"/>
      <c r="C54" s="321"/>
      <c r="D54" s="324" t="s">
        <v>4180</v>
      </c>
      <c r="E54" s="393" t="s">
        <v>4181</v>
      </c>
      <c r="F54" s="345" t="s">
        <v>3862</v>
      </c>
      <c r="G54" s="398" t="s">
        <v>4182</v>
      </c>
      <c r="H54" s="324" t="s">
        <v>4183</v>
      </c>
      <c r="I54" s="324" t="s">
        <v>4184</v>
      </c>
      <c r="J54" s="325" t="s">
        <v>4185</v>
      </c>
    </row>
    <row r="55" spans="1:10" ht="16" thickBot="1">
      <c r="A55" s="338"/>
      <c r="B55" s="321"/>
      <c r="C55" s="321"/>
      <c r="D55" s="324" t="s">
        <v>4186</v>
      </c>
      <c r="E55" s="393" t="s">
        <v>4187</v>
      </c>
      <c r="F55" s="345" t="s">
        <v>3862</v>
      </c>
      <c r="G55" s="398" t="s">
        <v>4188</v>
      </c>
      <c r="H55" s="324" t="s">
        <v>4189</v>
      </c>
      <c r="I55" s="324" t="s">
        <v>4190</v>
      </c>
      <c r="J55" s="325" t="s">
        <v>4191</v>
      </c>
    </row>
    <row r="56" spans="1:10" ht="16" thickBot="1">
      <c r="A56" s="338"/>
      <c r="B56" s="321"/>
      <c r="C56" s="321"/>
      <c r="D56" s="324" t="s">
        <v>4192</v>
      </c>
      <c r="E56" s="393" t="s">
        <v>4193</v>
      </c>
      <c r="F56" s="345" t="s">
        <v>3862</v>
      </c>
      <c r="G56" s="398" t="s">
        <v>4194</v>
      </c>
      <c r="H56" s="324" t="s">
        <v>4195</v>
      </c>
      <c r="I56" s="324" t="s">
        <v>4196</v>
      </c>
      <c r="J56" s="325" t="s">
        <v>4197</v>
      </c>
    </row>
    <row r="57" spans="1:10" ht="16" thickBot="1">
      <c r="A57" s="338"/>
      <c r="B57" s="321"/>
      <c r="C57" s="321" t="s">
        <v>4198</v>
      </c>
      <c r="D57" s="324" t="s">
        <v>4199</v>
      </c>
      <c r="E57" s="393" t="s">
        <v>4200</v>
      </c>
      <c r="F57" s="345" t="s">
        <v>3862</v>
      </c>
      <c r="G57" s="398" t="s">
        <v>4201</v>
      </c>
      <c r="H57" s="324" t="s">
        <v>4202</v>
      </c>
      <c r="I57" s="324" t="s">
        <v>4203</v>
      </c>
      <c r="J57" s="325" t="s">
        <v>4204</v>
      </c>
    </row>
    <row r="58" spans="1:10" ht="16" thickBot="1">
      <c r="A58" s="338"/>
      <c r="B58" s="321"/>
      <c r="C58" s="321"/>
      <c r="D58" s="324" t="s">
        <v>4205</v>
      </c>
      <c r="E58" s="393" t="s">
        <v>4206</v>
      </c>
      <c r="F58" s="345" t="s">
        <v>3862</v>
      </c>
      <c r="G58" s="398" t="s">
        <v>4207</v>
      </c>
      <c r="H58" s="324" t="s">
        <v>4208</v>
      </c>
      <c r="I58" s="324" t="s">
        <v>4209</v>
      </c>
      <c r="J58" s="325" t="s">
        <v>4210</v>
      </c>
    </row>
    <row r="59" spans="1:10" ht="16" thickBot="1">
      <c r="A59" s="338"/>
      <c r="B59" s="321"/>
      <c r="C59" s="321"/>
      <c r="D59" s="324" t="s">
        <v>4211</v>
      </c>
      <c r="E59" s="393" t="s">
        <v>4212</v>
      </c>
      <c r="F59" s="345" t="s">
        <v>3862</v>
      </c>
      <c r="G59" s="398" t="s">
        <v>4213</v>
      </c>
      <c r="H59" s="324" t="s">
        <v>4214</v>
      </c>
      <c r="I59" s="324" t="s">
        <v>4215</v>
      </c>
      <c r="J59" s="325" t="s">
        <v>4216</v>
      </c>
    </row>
    <row r="60" spans="1:10" ht="16" thickBot="1">
      <c r="A60" s="338"/>
      <c r="B60" s="321"/>
      <c r="C60" s="321"/>
      <c r="D60" s="324" t="s">
        <v>4217</v>
      </c>
      <c r="E60" s="393" t="s">
        <v>4218</v>
      </c>
      <c r="F60" s="345" t="s">
        <v>3862</v>
      </c>
      <c r="G60" s="398" t="s">
        <v>4219</v>
      </c>
      <c r="H60" s="324" t="s">
        <v>4220</v>
      </c>
      <c r="I60" s="324" t="s">
        <v>4221</v>
      </c>
      <c r="J60" s="325" t="s">
        <v>4222</v>
      </c>
    </row>
    <row r="61" spans="1:10" ht="16" thickBot="1">
      <c r="A61" s="338"/>
      <c r="B61" s="321"/>
      <c r="C61" s="321"/>
      <c r="D61" s="324" t="s">
        <v>4223</v>
      </c>
      <c r="E61" s="393" t="s">
        <v>4224</v>
      </c>
      <c r="F61" s="345" t="s">
        <v>3862</v>
      </c>
      <c r="G61" s="398" t="s">
        <v>4073</v>
      </c>
      <c r="H61" s="324" t="s">
        <v>4225</v>
      </c>
      <c r="I61" s="324" t="s">
        <v>4226</v>
      </c>
      <c r="J61" s="325" t="s">
        <v>4227</v>
      </c>
    </row>
    <row r="62" spans="1:10" ht="16" thickBot="1">
      <c r="A62" s="338"/>
      <c r="B62" s="321" t="s">
        <v>4228</v>
      </c>
      <c r="C62" s="321" t="s">
        <v>4229</v>
      </c>
      <c r="D62" s="324" t="s">
        <v>4230</v>
      </c>
      <c r="E62" s="393" t="s">
        <v>4231</v>
      </c>
      <c r="F62" s="345" t="s">
        <v>3862</v>
      </c>
      <c r="G62" s="398" t="s">
        <v>4232</v>
      </c>
      <c r="H62" s="324" t="s">
        <v>4233</v>
      </c>
      <c r="I62" s="324" t="s">
        <v>4234</v>
      </c>
      <c r="J62" s="325" t="s">
        <v>4235</v>
      </c>
    </row>
    <row r="63" spans="1:10" ht="16" thickBot="1">
      <c r="A63" s="338"/>
      <c r="B63" s="321"/>
      <c r="C63" s="321"/>
      <c r="D63" s="324" t="s">
        <v>4236</v>
      </c>
      <c r="E63" s="393" t="s">
        <v>4237</v>
      </c>
      <c r="F63" s="345" t="s">
        <v>3862</v>
      </c>
      <c r="G63" s="398" t="s">
        <v>4176</v>
      </c>
      <c r="H63" s="324" t="s">
        <v>4238</v>
      </c>
      <c r="I63" s="324" t="s">
        <v>4239</v>
      </c>
      <c r="J63" s="325" t="s">
        <v>4240</v>
      </c>
    </row>
    <row r="64" spans="1:10" ht="16" thickBot="1">
      <c r="A64" s="338"/>
      <c r="B64" s="321"/>
      <c r="C64" s="321"/>
      <c r="D64" s="324" t="s">
        <v>4241</v>
      </c>
      <c r="E64" s="393" t="s">
        <v>4242</v>
      </c>
      <c r="F64" s="345" t="s">
        <v>3862</v>
      </c>
      <c r="G64" s="398" t="s">
        <v>4243</v>
      </c>
      <c r="H64" s="324" t="s">
        <v>4244</v>
      </c>
      <c r="I64" s="324" t="s">
        <v>4245</v>
      </c>
      <c r="J64" s="325" t="s">
        <v>4246</v>
      </c>
    </row>
    <row r="65" spans="1:10" ht="16" thickBot="1">
      <c r="A65" s="338"/>
      <c r="B65" s="321"/>
      <c r="C65" s="321"/>
      <c r="D65" s="324" t="s">
        <v>4247</v>
      </c>
      <c r="E65" s="393" t="s">
        <v>4248</v>
      </c>
      <c r="F65" s="345" t="s">
        <v>3862</v>
      </c>
      <c r="G65" s="398" t="s">
        <v>4249</v>
      </c>
      <c r="H65" s="324" t="s">
        <v>4250</v>
      </c>
      <c r="I65" s="324" t="s">
        <v>4251</v>
      </c>
      <c r="J65" s="325" t="s">
        <v>4252</v>
      </c>
    </row>
    <row r="66" spans="1:10" ht="16" thickBot="1">
      <c r="A66" s="338"/>
      <c r="B66" s="321"/>
      <c r="C66" s="321"/>
      <c r="D66" s="324" t="s">
        <v>4253</v>
      </c>
      <c r="E66" s="393" t="s">
        <v>4254</v>
      </c>
      <c r="F66" s="345" t="s">
        <v>3862</v>
      </c>
      <c r="G66" s="398" t="s">
        <v>4255</v>
      </c>
      <c r="H66" s="324" t="s">
        <v>4256</v>
      </c>
      <c r="I66" s="324" t="s">
        <v>4257</v>
      </c>
      <c r="J66" s="325" t="s">
        <v>4258</v>
      </c>
    </row>
    <row r="67" spans="1:10" ht="16" thickBot="1">
      <c r="A67" s="338"/>
      <c r="B67" s="321"/>
      <c r="C67" s="321" t="s">
        <v>4259</v>
      </c>
      <c r="D67" s="322" t="s">
        <v>1926</v>
      </c>
      <c r="E67" s="392" t="s">
        <v>4260</v>
      </c>
      <c r="F67" s="345" t="s">
        <v>3862</v>
      </c>
      <c r="G67" s="397" t="s">
        <v>4232</v>
      </c>
      <c r="H67" s="322" t="s">
        <v>4261</v>
      </c>
      <c r="I67" s="322" t="s">
        <v>4262</v>
      </c>
      <c r="J67" s="323" t="s">
        <v>4263</v>
      </c>
    </row>
    <row r="68" spans="1:10" ht="16" thickBot="1">
      <c r="A68" s="338"/>
      <c r="B68" s="321"/>
      <c r="C68" s="321"/>
      <c r="D68" s="322" t="s">
        <v>2154</v>
      </c>
      <c r="E68" s="392" t="s">
        <v>4264</v>
      </c>
      <c r="F68" s="345" t="s">
        <v>3862</v>
      </c>
      <c r="G68" s="397" t="s">
        <v>4265</v>
      </c>
      <c r="H68" s="322" t="s">
        <v>4266</v>
      </c>
      <c r="I68" s="322" t="s">
        <v>4267</v>
      </c>
      <c r="J68" s="323" t="s">
        <v>4268</v>
      </c>
    </row>
    <row r="69" spans="1:10" ht="16" thickBot="1">
      <c r="A69" s="338"/>
      <c r="B69" s="321"/>
      <c r="C69" s="321"/>
      <c r="D69" s="322" t="s">
        <v>4269</v>
      </c>
      <c r="E69" s="392" t="s">
        <v>4270</v>
      </c>
      <c r="F69" s="345" t="s">
        <v>3862</v>
      </c>
      <c r="G69" s="397" t="s">
        <v>4271</v>
      </c>
      <c r="H69" s="322" t="s">
        <v>4272</v>
      </c>
      <c r="I69" s="322" t="s">
        <v>3982</v>
      </c>
      <c r="J69" s="323" t="s">
        <v>4273</v>
      </c>
    </row>
    <row r="70" spans="1:10" ht="16" thickBot="1">
      <c r="A70" s="338"/>
      <c r="B70" s="321"/>
      <c r="C70" s="321"/>
      <c r="D70" s="322" t="s">
        <v>4274</v>
      </c>
      <c r="E70" s="392" t="s">
        <v>4275</v>
      </c>
      <c r="F70" s="345" t="s">
        <v>3862</v>
      </c>
      <c r="G70" s="397" t="s">
        <v>4276</v>
      </c>
      <c r="H70" s="322" t="s">
        <v>4277</v>
      </c>
      <c r="I70" s="322" t="s">
        <v>4278</v>
      </c>
      <c r="J70" s="323" t="s">
        <v>4279</v>
      </c>
    </row>
    <row r="71" spans="1:10" ht="16" thickBot="1">
      <c r="A71" s="338"/>
      <c r="B71" s="321"/>
      <c r="C71" s="321"/>
      <c r="D71" s="322" t="s">
        <v>4280</v>
      </c>
      <c r="E71" s="392" t="s">
        <v>4281</v>
      </c>
      <c r="F71" s="345" t="s">
        <v>3862</v>
      </c>
      <c r="G71" s="397" t="s">
        <v>4282</v>
      </c>
      <c r="H71" s="322" t="s">
        <v>4283</v>
      </c>
      <c r="I71" s="322" t="s">
        <v>4284</v>
      </c>
      <c r="J71" s="323" t="s">
        <v>4285</v>
      </c>
    </row>
    <row r="72" spans="1:10" ht="16" thickBot="1">
      <c r="A72" s="338"/>
      <c r="B72" s="321"/>
      <c r="C72" s="321" t="s">
        <v>4286</v>
      </c>
      <c r="D72" s="322" t="s">
        <v>4287</v>
      </c>
      <c r="E72" s="392" t="s">
        <v>4288</v>
      </c>
      <c r="F72" s="345" t="s">
        <v>3862</v>
      </c>
      <c r="G72" s="397" t="s">
        <v>4289</v>
      </c>
      <c r="H72" s="322" t="s">
        <v>4290</v>
      </c>
      <c r="I72" s="322" t="s">
        <v>4291</v>
      </c>
      <c r="J72" s="323" t="s">
        <v>4292</v>
      </c>
    </row>
    <row r="73" spans="1:10" ht="16" thickBot="1">
      <c r="A73" s="338"/>
      <c r="B73" s="321"/>
      <c r="C73" s="321"/>
      <c r="D73" s="322" t="s">
        <v>4293</v>
      </c>
      <c r="E73" s="392" t="s">
        <v>4294</v>
      </c>
      <c r="F73" s="345" t="s">
        <v>3862</v>
      </c>
      <c r="G73" s="397" t="s">
        <v>4295</v>
      </c>
      <c r="H73" s="322" t="s">
        <v>4296</v>
      </c>
      <c r="I73" s="322" t="s">
        <v>4297</v>
      </c>
      <c r="J73" s="323" t="s">
        <v>4298</v>
      </c>
    </row>
    <row r="74" spans="1:10" ht="16" thickBot="1">
      <c r="A74" s="338"/>
      <c r="B74" s="321"/>
      <c r="C74" s="321"/>
      <c r="D74" s="322" t="s">
        <v>4299</v>
      </c>
      <c r="E74" s="392" t="s">
        <v>4300</v>
      </c>
      <c r="F74" s="345" t="s">
        <v>3862</v>
      </c>
      <c r="G74" s="397" t="s">
        <v>4301</v>
      </c>
      <c r="H74" s="322" t="s">
        <v>4302</v>
      </c>
      <c r="I74" s="322" t="s">
        <v>4303</v>
      </c>
      <c r="J74" s="323" t="s">
        <v>4304</v>
      </c>
    </row>
    <row r="75" spans="1:10" ht="16" thickBot="1">
      <c r="A75" s="338"/>
      <c r="B75" s="321"/>
      <c r="C75" s="321"/>
      <c r="D75" s="322" t="s">
        <v>4305</v>
      </c>
      <c r="E75" s="392" t="s">
        <v>4306</v>
      </c>
      <c r="F75" s="345" t="s">
        <v>3862</v>
      </c>
      <c r="G75" s="397" t="s">
        <v>4307</v>
      </c>
      <c r="H75" s="322" t="s">
        <v>4308</v>
      </c>
      <c r="I75" s="322" t="s">
        <v>4309</v>
      </c>
      <c r="J75" s="323" t="s">
        <v>4310</v>
      </c>
    </row>
    <row r="76" spans="1:10" ht="16" thickBot="1">
      <c r="A76" s="338"/>
      <c r="B76" s="321"/>
      <c r="C76" s="321"/>
      <c r="D76" s="322" t="s">
        <v>4311</v>
      </c>
      <c r="E76" s="392" t="s">
        <v>4312</v>
      </c>
      <c r="F76" s="345" t="s">
        <v>3862</v>
      </c>
      <c r="G76" s="397" t="s">
        <v>4176</v>
      </c>
      <c r="H76" s="322" t="s">
        <v>4313</v>
      </c>
      <c r="I76" s="322" t="s">
        <v>77</v>
      </c>
      <c r="J76" s="323" t="s">
        <v>4314</v>
      </c>
    </row>
    <row r="77" spans="1:10" ht="16" thickBot="1">
      <c r="A77" s="338"/>
      <c r="B77" s="321"/>
      <c r="C77" s="321" t="s">
        <v>4315</v>
      </c>
      <c r="D77" s="322" t="s">
        <v>4316</v>
      </c>
      <c r="E77" s="392" t="s">
        <v>4317</v>
      </c>
      <c r="F77" s="345" t="s">
        <v>3862</v>
      </c>
      <c r="G77" s="397" t="s">
        <v>4318</v>
      </c>
      <c r="H77" s="322" t="s">
        <v>4319</v>
      </c>
      <c r="I77" s="322" t="s">
        <v>4320</v>
      </c>
      <c r="J77" s="323" t="s">
        <v>4321</v>
      </c>
    </row>
    <row r="78" spans="1:10" ht="16" thickBot="1">
      <c r="A78" s="338"/>
      <c r="B78" s="321"/>
      <c r="C78" s="321"/>
      <c r="D78" s="322" t="s">
        <v>4322</v>
      </c>
      <c r="E78" s="392" t="s">
        <v>4323</v>
      </c>
      <c r="F78" s="345" t="s">
        <v>3862</v>
      </c>
      <c r="G78" s="397" t="s">
        <v>4324</v>
      </c>
      <c r="H78" s="322" t="s">
        <v>4325</v>
      </c>
      <c r="I78" s="322" t="s">
        <v>4326</v>
      </c>
      <c r="J78" s="323" t="s">
        <v>4327</v>
      </c>
    </row>
    <row r="79" spans="1:10" ht="16" thickBot="1">
      <c r="A79" s="338"/>
      <c r="B79" s="321"/>
      <c r="C79" s="321"/>
      <c r="D79" s="322" t="s">
        <v>4328</v>
      </c>
      <c r="E79" s="392" t="s">
        <v>4329</v>
      </c>
      <c r="F79" s="345" t="s">
        <v>3862</v>
      </c>
      <c r="G79" s="397" t="s">
        <v>4330</v>
      </c>
      <c r="H79" s="322" t="s">
        <v>4331</v>
      </c>
      <c r="I79" s="322" t="s">
        <v>4332</v>
      </c>
      <c r="J79" s="323" t="s">
        <v>4333</v>
      </c>
    </row>
    <row r="80" spans="1:10" ht="16" thickBot="1">
      <c r="A80" s="338"/>
      <c r="B80" s="321"/>
      <c r="C80" s="321"/>
      <c r="D80" s="322" t="s">
        <v>4334</v>
      </c>
      <c r="E80" s="392" t="s">
        <v>4335</v>
      </c>
      <c r="F80" s="345" t="s">
        <v>3862</v>
      </c>
      <c r="G80" s="397" t="s">
        <v>4336</v>
      </c>
      <c r="H80" s="322" t="s">
        <v>4337</v>
      </c>
      <c r="I80" s="322" t="s">
        <v>4338</v>
      </c>
      <c r="J80" s="323" t="s">
        <v>4339</v>
      </c>
    </row>
    <row r="81" spans="1:10" ht="16" thickBot="1">
      <c r="A81" s="338"/>
      <c r="B81" s="321"/>
      <c r="C81" s="321"/>
      <c r="D81" s="322" t="s">
        <v>4340</v>
      </c>
      <c r="E81" s="392" t="s">
        <v>4341</v>
      </c>
      <c r="F81" s="345" t="s">
        <v>3862</v>
      </c>
      <c r="G81" s="397" t="s">
        <v>4342</v>
      </c>
      <c r="H81" s="322" t="s">
        <v>4343</v>
      </c>
      <c r="I81" s="322" t="s">
        <v>4344</v>
      </c>
      <c r="J81" s="323" t="s">
        <v>4345</v>
      </c>
    </row>
    <row r="82" spans="1:10" ht="16" thickBot="1">
      <c r="A82" s="338"/>
      <c r="B82" s="321"/>
      <c r="C82" s="321" t="s">
        <v>4346</v>
      </c>
      <c r="D82" s="322" t="s">
        <v>4347</v>
      </c>
      <c r="E82" s="392" t="s">
        <v>4348</v>
      </c>
      <c r="F82" s="345" t="s">
        <v>3862</v>
      </c>
      <c r="G82" s="397" t="s">
        <v>4349</v>
      </c>
      <c r="H82" s="322" t="s">
        <v>4350</v>
      </c>
      <c r="I82" s="322" t="s">
        <v>4351</v>
      </c>
      <c r="J82" s="323" t="s">
        <v>4352</v>
      </c>
    </row>
    <row r="83" spans="1:10" ht="16" thickBot="1">
      <c r="A83" s="338"/>
      <c r="B83" s="321"/>
      <c r="C83" s="321"/>
      <c r="D83" s="322" t="s">
        <v>4353</v>
      </c>
      <c r="E83" s="392" t="s">
        <v>4354</v>
      </c>
      <c r="F83" s="345" t="s">
        <v>3862</v>
      </c>
      <c r="G83" s="397" t="s">
        <v>4355</v>
      </c>
      <c r="H83" s="322" t="s">
        <v>4356</v>
      </c>
      <c r="I83" s="322" t="s">
        <v>4357</v>
      </c>
      <c r="J83" s="323" t="s">
        <v>4358</v>
      </c>
    </row>
    <row r="84" spans="1:10" ht="16" thickBot="1">
      <c r="A84" s="338"/>
      <c r="B84" s="321"/>
      <c r="C84" s="321"/>
      <c r="D84" s="322" t="s">
        <v>4359</v>
      </c>
      <c r="E84" s="392" t="s">
        <v>4360</v>
      </c>
      <c r="F84" s="345" t="s">
        <v>3862</v>
      </c>
      <c r="G84" s="397" t="s">
        <v>4361</v>
      </c>
      <c r="H84" s="322" t="s">
        <v>4362</v>
      </c>
      <c r="I84" s="322" t="s">
        <v>4363</v>
      </c>
      <c r="J84" s="323" t="s">
        <v>4364</v>
      </c>
    </row>
    <row r="85" spans="1:10" ht="16" thickBot="1">
      <c r="A85" s="338"/>
      <c r="B85" s="321"/>
      <c r="C85" s="321"/>
      <c r="D85" s="322" t="s">
        <v>4365</v>
      </c>
      <c r="E85" s="392" t="s">
        <v>4366</v>
      </c>
      <c r="F85" s="345" t="s">
        <v>3862</v>
      </c>
      <c r="G85" s="397" t="s">
        <v>4367</v>
      </c>
      <c r="H85" s="322" t="s">
        <v>4368</v>
      </c>
      <c r="I85" s="322" t="s">
        <v>4369</v>
      </c>
      <c r="J85" s="323" t="s">
        <v>4370</v>
      </c>
    </row>
    <row r="86" spans="1:10" ht="16" thickBot="1">
      <c r="A86" s="338"/>
      <c r="B86" s="321"/>
      <c r="C86" s="321"/>
      <c r="D86" s="322" t="s">
        <v>4371</v>
      </c>
      <c r="E86" s="392" t="s">
        <v>4372</v>
      </c>
      <c r="F86" s="345" t="s">
        <v>3862</v>
      </c>
      <c r="G86" s="397" t="s">
        <v>4373</v>
      </c>
      <c r="H86" s="322" t="s">
        <v>4374</v>
      </c>
      <c r="I86" s="322" t="s">
        <v>4375</v>
      </c>
      <c r="J86" s="323" t="s">
        <v>4376</v>
      </c>
    </row>
    <row r="87" spans="1:10" ht="16" thickBot="1">
      <c r="A87" s="338"/>
      <c r="B87" s="321"/>
      <c r="C87" s="321" t="s">
        <v>4377</v>
      </c>
      <c r="D87" s="324" t="s">
        <v>4378</v>
      </c>
      <c r="E87" s="393" t="s">
        <v>4379</v>
      </c>
      <c r="F87" s="345" t="s">
        <v>3862</v>
      </c>
      <c r="G87" s="398" t="s">
        <v>4380</v>
      </c>
      <c r="H87" s="324" t="s">
        <v>4381</v>
      </c>
      <c r="I87" s="324" t="s">
        <v>4382</v>
      </c>
      <c r="J87" s="325" t="s">
        <v>4383</v>
      </c>
    </row>
    <row r="88" spans="1:10" ht="16" thickBot="1">
      <c r="A88" s="338"/>
      <c r="B88" s="321"/>
      <c r="C88" s="321"/>
      <c r="D88" s="324" t="s">
        <v>4384</v>
      </c>
      <c r="E88" s="393" t="s">
        <v>4385</v>
      </c>
      <c r="F88" s="345" t="s">
        <v>3862</v>
      </c>
      <c r="G88" s="398" t="s">
        <v>4386</v>
      </c>
      <c r="H88" s="324" t="s">
        <v>4387</v>
      </c>
      <c r="I88" s="324" t="s">
        <v>4388</v>
      </c>
      <c r="J88" s="325" t="s">
        <v>4389</v>
      </c>
    </row>
    <row r="89" spans="1:10" ht="16" thickBot="1">
      <c r="A89" s="338"/>
      <c r="B89" s="321"/>
      <c r="C89" s="321"/>
      <c r="D89" s="324" t="s">
        <v>4390</v>
      </c>
      <c r="E89" s="393" t="s">
        <v>4391</v>
      </c>
      <c r="F89" s="345" t="s">
        <v>3862</v>
      </c>
      <c r="G89" s="398" t="s">
        <v>4392</v>
      </c>
      <c r="H89" s="324" t="s">
        <v>4393</v>
      </c>
      <c r="I89" s="324" t="s">
        <v>4394</v>
      </c>
      <c r="J89" s="325" t="s">
        <v>4395</v>
      </c>
    </row>
    <row r="90" spans="1:10" ht="16" thickBot="1">
      <c r="A90" s="338"/>
      <c r="B90" s="321"/>
      <c r="C90" s="321"/>
      <c r="D90" s="324" t="s">
        <v>4396</v>
      </c>
      <c r="E90" s="393" t="s">
        <v>4397</v>
      </c>
      <c r="F90" s="345" t="s">
        <v>3862</v>
      </c>
      <c r="G90" s="398" t="s">
        <v>4398</v>
      </c>
      <c r="H90" s="324" t="s">
        <v>4399</v>
      </c>
      <c r="I90" s="324" t="s">
        <v>4400</v>
      </c>
      <c r="J90" s="325" t="s">
        <v>4401</v>
      </c>
    </row>
    <row r="91" spans="1:10" ht="16" thickBot="1">
      <c r="A91" s="338"/>
      <c r="B91" s="321"/>
      <c r="C91" s="321"/>
      <c r="D91" s="324" t="s">
        <v>4402</v>
      </c>
      <c r="E91" s="393" t="s">
        <v>4403</v>
      </c>
      <c r="F91" s="345" t="s">
        <v>3888</v>
      </c>
      <c r="G91" s="398" t="s">
        <v>4404</v>
      </c>
      <c r="H91" s="324" t="s">
        <v>4405</v>
      </c>
      <c r="I91" s="324" t="s">
        <v>4406</v>
      </c>
      <c r="J91" s="325" t="s">
        <v>4407</v>
      </c>
    </row>
    <row r="92" spans="1:10" ht="16" thickBot="1">
      <c r="A92" s="338"/>
      <c r="B92" s="321"/>
      <c r="C92" s="321" t="s">
        <v>4408</v>
      </c>
      <c r="D92" s="324" t="s">
        <v>4409</v>
      </c>
      <c r="E92" s="393" t="s">
        <v>4410</v>
      </c>
      <c r="F92" s="345" t="s">
        <v>3862</v>
      </c>
      <c r="G92" s="398" t="s">
        <v>4411</v>
      </c>
      <c r="H92" s="324" t="s">
        <v>4412</v>
      </c>
      <c r="I92" s="324" t="s">
        <v>4413</v>
      </c>
      <c r="J92" s="325" t="s">
        <v>4414</v>
      </c>
    </row>
    <row r="93" spans="1:10" ht="16" thickBot="1">
      <c r="A93" s="338"/>
      <c r="B93" s="321"/>
      <c r="C93" s="321"/>
      <c r="D93" s="324" t="s">
        <v>4415</v>
      </c>
      <c r="E93" s="393" t="s">
        <v>4416</v>
      </c>
      <c r="F93" s="345" t="s">
        <v>3862</v>
      </c>
      <c r="G93" s="398" t="s">
        <v>4417</v>
      </c>
      <c r="H93" s="324" t="s">
        <v>4418</v>
      </c>
      <c r="I93" s="324" t="s">
        <v>4419</v>
      </c>
      <c r="J93" s="325" t="s">
        <v>4420</v>
      </c>
    </row>
    <row r="94" spans="1:10" ht="16" thickBot="1">
      <c r="A94" s="338"/>
      <c r="B94" s="321"/>
      <c r="C94" s="321"/>
      <c r="D94" s="324" t="s">
        <v>4421</v>
      </c>
      <c r="E94" s="393" t="s">
        <v>4422</v>
      </c>
      <c r="F94" s="345" t="s">
        <v>3862</v>
      </c>
      <c r="G94" s="398" t="s">
        <v>4423</v>
      </c>
      <c r="H94" s="324" t="s">
        <v>4424</v>
      </c>
      <c r="I94" s="324" t="s">
        <v>4425</v>
      </c>
      <c r="J94" s="325" t="s">
        <v>4426</v>
      </c>
    </row>
    <row r="95" spans="1:10" ht="16" thickBot="1">
      <c r="A95" s="338"/>
      <c r="B95" s="321"/>
      <c r="C95" s="321"/>
      <c r="D95" s="324" t="s">
        <v>4427</v>
      </c>
      <c r="E95" s="393" t="s">
        <v>4428</v>
      </c>
      <c r="F95" s="345" t="s">
        <v>3888</v>
      </c>
      <c r="G95" s="398" t="s">
        <v>4429</v>
      </c>
      <c r="H95" s="324" t="s">
        <v>4430</v>
      </c>
      <c r="I95" s="324" t="s">
        <v>4431</v>
      </c>
      <c r="J95" s="325" t="s">
        <v>4432</v>
      </c>
    </row>
    <row r="96" spans="1:10" ht="16" thickBot="1">
      <c r="A96" s="338"/>
      <c r="B96" s="321"/>
      <c r="C96" s="321"/>
      <c r="D96" s="324" t="s">
        <v>4433</v>
      </c>
      <c r="E96" s="393" t="s">
        <v>4434</v>
      </c>
      <c r="F96" s="345" t="s">
        <v>3862</v>
      </c>
      <c r="G96" s="398" t="s">
        <v>4435</v>
      </c>
      <c r="H96" s="324" t="s">
        <v>4436</v>
      </c>
      <c r="I96" s="324" t="s">
        <v>4437</v>
      </c>
      <c r="J96" s="325" t="s">
        <v>4438</v>
      </c>
    </row>
    <row r="97" spans="1:10" ht="16" thickBot="1">
      <c r="A97" s="338"/>
      <c r="B97" s="321"/>
      <c r="C97" s="321" t="s">
        <v>4439</v>
      </c>
      <c r="D97" s="324" t="s">
        <v>4440</v>
      </c>
      <c r="E97" s="393" t="s">
        <v>4441</v>
      </c>
      <c r="F97" s="345" t="s">
        <v>3862</v>
      </c>
      <c r="G97" s="398" t="s">
        <v>4442</v>
      </c>
      <c r="H97" s="324" t="s">
        <v>4443</v>
      </c>
      <c r="I97" s="324" t="s">
        <v>4444</v>
      </c>
      <c r="J97" s="325" t="s">
        <v>4445</v>
      </c>
    </row>
    <row r="98" spans="1:10" ht="16" thickBot="1">
      <c r="A98" s="338"/>
      <c r="B98" s="321"/>
      <c r="C98" s="321"/>
      <c r="D98" s="324" t="s">
        <v>4446</v>
      </c>
      <c r="E98" s="393" t="s">
        <v>4447</v>
      </c>
      <c r="F98" s="345" t="s">
        <v>3862</v>
      </c>
      <c r="G98" s="398" t="s">
        <v>2013</v>
      </c>
      <c r="H98" s="324" t="s">
        <v>4448</v>
      </c>
      <c r="I98" s="324" t="s">
        <v>4449</v>
      </c>
      <c r="J98" s="325" t="s">
        <v>4450</v>
      </c>
    </row>
    <row r="99" spans="1:10" ht="16" thickBot="1">
      <c r="A99" s="338"/>
      <c r="B99" s="321"/>
      <c r="C99" s="321"/>
      <c r="D99" s="324" t="s">
        <v>4451</v>
      </c>
      <c r="E99" s="393" t="s">
        <v>4452</v>
      </c>
      <c r="F99" s="345" t="s">
        <v>3862</v>
      </c>
      <c r="G99" s="398" t="s">
        <v>4453</v>
      </c>
      <c r="H99" s="324" t="s">
        <v>4454</v>
      </c>
      <c r="I99" s="324" t="s">
        <v>4455</v>
      </c>
      <c r="J99" s="325" t="s">
        <v>4456</v>
      </c>
    </row>
    <row r="100" spans="1:10" ht="16" thickBot="1">
      <c r="A100" s="338"/>
      <c r="B100" s="321"/>
      <c r="C100" s="321"/>
      <c r="D100" s="324" t="s">
        <v>1772</v>
      </c>
      <c r="E100" s="393" t="s">
        <v>4457</v>
      </c>
      <c r="F100" s="345" t="s">
        <v>3862</v>
      </c>
      <c r="G100" s="398" t="s">
        <v>4458</v>
      </c>
      <c r="H100" s="324" t="s">
        <v>4459</v>
      </c>
      <c r="I100" s="324" t="s">
        <v>4460</v>
      </c>
      <c r="J100" s="325" t="s">
        <v>4461</v>
      </c>
    </row>
    <row r="101" spans="1:10" ht="16" thickBot="1">
      <c r="A101" s="338"/>
      <c r="B101" s="321"/>
      <c r="C101" s="321"/>
      <c r="D101" s="324" t="s">
        <v>4462</v>
      </c>
      <c r="E101" s="393" t="s">
        <v>4463</v>
      </c>
      <c r="F101" s="345" t="s">
        <v>3862</v>
      </c>
      <c r="G101" s="398" t="s">
        <v>4464</v>
      </c>
      <c r="H101" s="324" t="s">
        <v>4465</v>
      </c>
      <c r="I101" s="324" t="s">
        <v>4466</v>
      </c>
      <c r="J101" s="325" t="s">
        <v>4467</v>
      </c>
    </row>
    <row r="102" spans="1:10" ht="16" thickBot="1">
      <c r="A102" s="338"/>
      <c r="B102" s="321" t="s">
        <v>4468</v>
      </c>
      <c r="C102" s="321" t="s">
        <v>4469</v>
      </c>
      <c r="D102" s="324" t="s">
        <v>4470</v>
      </c>
      <c r="E102" s="394" t="s">
        <v>4471</v>
      </c>
      <c r="F102" s="345" t="s">
        <v>3862</v>
      </c>
      <c r="G102" s="399" t="s">
        <v>4472</v>
      </c>
      <c r="H102" s="326" t="s">
        <v>4473</v>
      </c>
      <c r="I102" s="326" t="s">
        <v>4474</v>
      </c>
      <c r="J102" s="327" t="s">
        <v>4475</v>
      </c>
    </row>
    <row r="103" spans="1:10" ht="16" thickBot="1">
      <c r="A103" s="338"/>
      <c r="B103" s="321"/>
      <c r="C103" s="321"/>
      <c r="D103" s="324" t="s">
        <v>4476</v>
      </c>
      <c r="E103" s="394" t="s">
        <v>4477</v>
      </c>
      <c r="F103" s="345" t="s">
        <v>3862</v>
      </c>
      <c r="G103" s="399" t="s">
        <v>4478</v>
      </c>
      <c r="H103" s="326" t="s">
        <v>4479</v>
      </c>
      <c r="I103" s="326" t="s">
        <v>4480</v>
      </c>
      <c r="J103" s="327" t="s">
        <v>4481</v>
      </c>
    </row>
    <row r="104" spans="1:10" ht="16" thickBot="1">
      <c r="A104" s="338"/>
      <c r="B104" s="321"/>
      <c r="C104" s="321"/>
      <c r="D104" s="324" t="s">
        <v>4482</v>
      </c>
      <c r="E104" s="394" t="s">
        <v>4483</v>
      </c>
      <c r="F104" s="345" t="s">
        <v>3862</v>
      </c>
      <c r="G104" s="399" t="s">
        <v>4484</v>
      </c>
      <c r="H104" s="326" t="s">
        <v>4485</v>
      </c>
      <c r="I104" s="326" t="s">
        <v>4486</v>
      </c>
      <c r="J104" s="327" t="s">
        <v>4487</v>
      </c>
    </row>
    <row r="105" spans="1:10" ht="16" thickBot="1">
      <c r="A105" s="338"/>
      <c r="B105" s="321"/>
      <c r="C105" s="321"/>
      <c r="D105" s="324" t="s">
        <v>2154</v>
      </c>
      <c r="E105" s="394" t="s">
        <v>4488</v>
      </c>
      <c r="F105" s="345" t="s">
        <v>3862</v>
      </c>
      <c r="G105" s="399" t="s">
        <v>4043</v>
      </c>
      <c r="H105" s="326" t="s">
        <v>4489</v>
      </c>
      <c r="I105" s="326" t="s">
        <v>4490</v>
      </c>
      <c r="J105" s="327" t="s">
        <v>4491</v>
      </c>
    </row>
    <row r="106" spans="1:10" ht="16" thickBot="1">
      <c r="A106" s="338"/>
      <c r="B106" s="321"/>
      <c r="C106" s="321"/>
      <c r="D106" s="324" t="s">
        <v>4492</v>
      </c>
      <c r="E106" s="394" t="s">
        <v>4493</v>
      </c>
      <c r="F106" s="403" t="s">
        <v>4494</v>
      </c>
      <c r="G106" s="399" t="s">
        <v>4495</v>
      </c>
      <c r="H106" s="326" t="s">
        <v>4496</v>
      </c>
      <c r="I106" s="326" t="s">
        <v>4497</v>
      </c>
      <c r="J106" s="327" t="s">
        <v>4498</v>
      </c>
    </row>
    <row r="107" spans="1:10" ht="15.5" thickBot="1">
      <c r="A107" s="338"/>
      <c r="B107" s="321"/>
      <c r="C107" s="321" t="s">
        <v>4499</v>
      </c>
      <c r="D107" s="329" t="s">
        <v>4500</v>
      </c>
      <c r="E107" s="395" t="s">
        <v>4501</v>
      </c>
      <c r="F107" s="404" t="s">
        <v>3862</v>
      </c>
      <c r="G107" s="400" t="s">
        <v>4502</v>
      </c>
      <c r="H107" s="329" t="s">
        <v>4503</v>
      </c>
      <c r="I107" s="329" t="s">
        <v>4504</v>
      </c>
      <c r="J107" s="330" t="s">
        <v>4505</v>
      </c>
    </row>
    <row r="108" spans="1:10" ht="15.5" thickBot="1">
      <c r="A108" s="338"/>
      <c r="B108" s="321"/>
      <c r="C108" s="321"/>
      <c r="D108" s="329" t="s">
        <v>4506</v>
      </c>
      <c r="E108" s="395" t="s">
        <v>4507</v>
      </c>
      <c r="F108" s="404" t="s">
        <v>4494</v>
      </c>
      <c r="G108" s="400" t="s">
        <v>4508</v>
      </c>
      <c r="H108" s="329" t="s">
        <v>4509</v>
      </c>
      <c r="I108" s="329" t="s">
        <v>4510</v>
      </c>
      <c r="J108" s="330" t="s">
        <v>4511</v>
      </c>
    </row>
    <row r="109" spans="1:10" ht="15.5" thickBot="1">
      <c r="A109" s="338"/>
      <c r="B109" s="321"/>
      <c r="C109" s="321"/>
      <c r="D109" s="329" t="s">
        <v>4512</v>
      </c>
      <c r="E109" s="395" t="s">
        <v>4513</v>
      </c>
      <c r="F109" s="404" t="s">
        <v>3862</v>
      </c>
      <c r="G109" s="400" t="s">
        <v>4514</v>
      </c>
      <c r="H109" s="329" t="s">
        <v>4515</v>
      </c>
      <c r="I109" s="329" t="s">
        <v>4516</v>
      </c>
      <c r="J109" s="330" t="s">
        <v>4517</v>
      </c>
    </row>
    <row r="110" spans="1:10" ht="15.5" thickBot="1">
      <c r="A110" s="338"/>
      <c r="B110" s="321"/>
      <c r="C110" s="321"/>
      <c r="D110" s="329" t="s">
        <v>4518</v>
      </c>
      <c r="E110" s="395" t="s">
        <v>4519</v>
      </c>
      <c r="F110" s="404" t="s">
        <v>3862</v>
      </c>
      <c r="G110" s="400" t="s">
        <v>4520</v>
      </c>
      <c r="H110" s="329" t="s">
        <v>4521</v>
      </c>
      <c r="I110" s="329" t="s">
        <v>4522</v>
      </c>
      <c r="J110" s="330" t="s">
        <v>4523</v>
      </c>
    </row>
    <row r="111" spans="1:10" ht="15.5" thickBot="1">
      <c r="A111" s="338"/>
      <c r="B111" s="321"/>
      <c r="C111" s="321"/>
      <c r="D111" s="329" t="s">
        <v>4524</v>
      </c>
      <c r="E111" s="395" t="s">
        <v>4525</v>
      </c>
      <c r="F111" s="404" t="s">
        <v>4494</v>
      </c>
      <c r="G111" s="400" t="s">
        <v>4526</v>
      </c>
      <c r="H111" s="329" t="s">
        <v>4527</v>
      </c>
      <c r="I111" s="329" t="s">
        <v>4528</v>
      </c>
      <c r="J111" s="330" t="s">
        <v>4529</v>
      </c>
    </row>
    <row r="112" spans="1:10" ht="16" thickBot="1">
      <c r="A112" s="338"/>
      <c r="B112" s="321"/>
      <c r="C112" s="321" t="s">
        <v>4530</v>
      </c>
      <c r="D112" s="324" t="s">
        <v>4531</v>
      </c>
      <c r="E112" s="394" t="s">
        <v>4532</v>
      </c>
      <c r="F112" s="403" t="s">
        <v>3862</v>
      </c>
      <c r="G112" s="399" t="s">
        <v>4533</v>
      </c>
      <c r="H112" s="326" t="s">
        <v>4534</v>
      </c>
      <c r="I112" s="326" t="s">
        <v>4535</v>
      </c>
      <c r="J112" s="327" t="s">
        <v>4536</v>
      </c>
    </row>
    <row r="113" spans="1:10" ht="16" thickBot="1">
      <c r="A113" s="338"/>
      <c r="B113" s="321"/>
      <c r="C113" s="321"/>
      <c r="D113" s="324" t="s">
        <v>4537</v>
      </c>
      <c r="E113" s="394" t="s">
        <v>4538</v>
      </c>
      <c r="F113" s="403" t="s">
        <v>3862</v>
      </c>
      <c r="G113" s="399" t="s">
        <v>4539</v>
      </c>
      <c r="H113" s="326" t="s">
        <v>4540</v>
      </c>
      <c r="I113" s="326" t="s">
        <v>4541</v>
      </c>
      <c r="J113" s="327" t="s">
        <v>4542</v>
      </c>
    </row>
    <row r="114" spans="1:10" ht="16" thickBot="1">
      <c r="A114" s="338"/>
      <c r="B114" s="321"/>
      <c r="C114" s="321"/>
      <c r="D114" s="324" t="s">
        <v>4543</v>
      </c>
      <c r="E114" s="394" t="s">
        <v>4544</v>
      </c>
      <c r="F114" s="403" t="s">
        <v>3862</v>
      </c>
      <c r="G114" s="399" t="s">
        <v>4545</v>
      </c>
      <c r="H114" s="326" t="s">
        <v>4546</v>
      </c>
      <c r="I114" s="326" t="s">
        <v>4547</v>
      </c>
      <c r="J114" s="327" t="s">
        <v>4548</v>
      </c>
    </row>
    <row r="115" spans="1:10" ht="16" thickBot="1">
      <c r="A115" s="338"/>
      <c r="B115" s="321"/>
      <c r="C115" s="321"/>
      <c r="D115" s="324" t="s">
        <v>4549</v>
      </c>
      <c r="E115" s="394" t="s">
        <v>4550</v>
      </c>
      <c r="F115" s="403" t="s">
        <v>3862</v>
      </c>
      <c r="G115" s="399" t="s">
        <v>4551</v>
      </c>
      <c r="H115" s="326" t="s">
        <v>4552</v>
      </c>
      <c r="I115" s="326" t="s">
        <v>4553</v>
      </c>
      <c r="J115" s="327" t="s">
        <v>4554</v>
      </c>
    </row>
    <row r="116" spans="1:10" ht="16" thickBot="1">
      <c r="A116" s="338"/>
      <c r="B116" s="321"/>
      <c r="C116" s="321"/>
      <c r="D116" s="324" t="s">
        <v>4555</v>
      </c>
      <c r="E116" s="394" t="s">
        <v>4556</v>
      </c>
      <c r="F116" s="403" t="s">
        <v>3862</v>
      </c>
      <c r="G116" s="399" t="s">
        <v>4557</v>
      </c>
      <c r="H116" s="326" t="s">
        <v>4558</v>
      </c>
      <c r="I116" s="326" t="s">
        <v>4559</v>
      </c>
      <c r="J116" s="327" t="s">
        <v>4560</v>
      </c>
    </row>
    <row r="117" spans="1:10" ht="15.5" thickBot="1">
      <c r="A117" s="338"/>
      <c r="B117" s="321"/>
      <c r="C117" s="321" t="s">
        <v>4561</v>
      </c>
      <c r="D117" s="331" t="s">
        <v>4562</v>
      </c>
      <c r="E117" s="396" t="s">
        <v>4563</v>
      </c>
      <c r="F117" s="405" t="s">
        <v>4494</v>
      </c>
      <c r="G117" s="401" t="s">
        <v>4564</v>
      </c>
      <c r="H117" s="331" t="s">
        <v>4552</v>
      </c>
      <c r="I117" s="331" t="s">
        <v>4565</v>
      </c>
      <c r="J117" s="332" t="s">
        <v>4566</v>
      </c>
    </row>
    <row r="118" spans="1:10" ht="15.5" thickBot="1">
      <c r="A118" s="338"/>
      <c r="B118" s="321"/>
      <c r="C118" s="321"/>
      <c r="D118" s="329" t="s">
        <v>4567</v>
      </c>
      <c r="E118" s="396" t="s">
        <v>4568</v>
      </c>
      <c r="F118" s="405" t="s">
        <v>4494</v>
      </c>
      <c r="G118" s="401" t="s">
        <v>4569</v>
      </c>
      <c r="H118" s="331" t="s">
        <v>2436</v>
      </c>
      <c r="I118" s="331" t="s">
        <v>4570</v>
      </c>
      <c r="J118" s="332" t="s">
        <v>4571</v>
      </c>
    </row>
    <row r="119" spans="1:10" ht="15.5" thickBot="1">
      <c r="A119" s="338"/>
      <c r="B119" s="321"/>
      <c r="C119" s="321"/>
      <c r="D119" s="329" t="s">
        <v>4572</v>
      </c>
      <c r="E119" s="396" t="s">
        <v>4573</v>
      </c>
      <c r="F119" s="405" t="s">
        <v>4494</v>
      </c>
      <c r="G119" s="401" t="s">
        <v>4574</v>
      </c>
      <c r="H119" s="331" t="s">
        <v>4575</v>
      </c>
      <c r="I119" s="331" t="s">
        <v>4576</v>
      </c>
      <c r="J119" s="332" t="s">
        <v>4577</v>
      </c>
    </row>
    <row r="120" spans="1:10" ht="15.5" thickBot="1">
      <c r="A120" s="338"/>
      <c r="B120" s="321"/>
      <c r="C120" s="321"/>
      <c r="D120" s="329" t="s">
        <v>4578</v>
      </c>
      <c r="E120" s="396" t="s">
        <v>4579</v>
      </c>
      <c r="F120" s="405" t="s">
        <v>4494</v>
      </c>
      <c r="G120" s="401" t="s">
        <v>4580</v>
      </c>
      <c r="H120" s="331" t="s">
        <v>4581</v>
      </c>
      <c r="I120" s="331" t="s">
        <v>4582</v>
      </c>
      <c r="J120" s="332" t="s">
        <v>4583</v>
      </c>
    </row>
    <row r="121" spans="1:10" ht="15.5" thickBot="1">
      <c r="A121" s="338"/>
      <c r="B121" s="321"/>
      <c r="C121" s="321"/>
      <c r="D121" s="329" t="s">
        <v>4584</v>
      </c>
      <c r="E121" s="396" t="s">
        <v>4585</v>
      </c>
      <c r="F121" s="405" t="s">
        <v>4494</v>
      </c>
      <c r="G121" s="401" t="s">
        <v>4586</v>
      </c>
      <c r="H121" s="331" t="s">
        <v>4587</v>
      </c>
      <c r="I121" s="331" t="s">
        <v>4588</v>
      </c>
      <c r="J121" s="332" t="s">
        <v>4589</v>
      </c>
    </row>
    <row r="122" spans="1:10" ht="15.5" thickBot="1">
      <c r="A122" s="338"/>
      <c r="B122" s="321" t="s">
        <v>4590</v>
      </c>
      <c r="C122" s="321" t="s">
        <v>4591</v>
      </c>
      <c r="D122" s="329" t="s">
        <v>2588</v>
      </c>
      <c r="E122" s="395" t="s">
        <v>4592</v>
      </c>
      <c r="F122" s="404" t="s">
        <v>4494</v>
      </c>
      <c r="G122" s="400" t="s">
        <v>2588</v>
      </c>
      <c r="H122" s="329" t="s">
        <v>4593</v>
      </c>
      <c r="I122" s="329" t="s">
        <v>4594</v>
      </c>
      <c r="J122" s="330" t="s">
        <v>4595</v>
      </c>
    </row>
    <row r="123" spans="1:10" ht="15.5" thickBot="1">
      <c r="A123" s="338"/>
      <c r="B123" s="321"/>
      <c r="C123" s="321"/>
      <c r="D123" s="329" t="s">
        <v>4596</v>
      </c>
      <c r="E123" s="395" t="s">
        <v>4597</v>
      </c>
      <c r="F123" s="404" t="s">
        <v>4598</v>
      </c>
      <c r="G123" s="400" t="s">
        <v>4599</v>
      </c>
      <c r="H123" s="329" t="s">
        <v>3933</v>
      </c>
      <c r="I123" s="329" t="s">
        <v>4600</v>
      </c>
      <c r="J123" s="330" t="s">
        <v>4601</v>
      </c>
    </row>
    <row r="124" spans="1:10" ht="15.5" thickBot="1">
      <c r="A124" s="338"/>
      <c r="B124" s="321"/>
      <c r="C124" s="321"/>
      <c r="D124" s="329" t="s">
        <v>4602</v>
      </c>
      <c r="E124" s="395" t="s">
        <v>4603</v>
      </c>
      <c r="F124" s="404" t="s">
        <v>4494</v>
      </c>
      <c r="G124" s="400" t="s">
        <v>4604</v>
      </c>
      <c r="H124" s="329" t="s">
        <v>4605</v>
      </c>
      <c r="I124" s="329" t="s">
        <v>4606</v>
      </c>
      <c r="J124" s="330" t="s">
        <v>4607</v>
      </c>
    </row>
    <row r="125" spans="1:10" ht="15.5" thickBot="1">
      <c r="A125" s="338"/>
      <c r="B125" s="321"/>
      <c r="C125" s="321"/>
      <c r="D125" s="329" t="s">
        <v>4608</v>
      </c>
      <c r="E125" s="395" t="s">
        <v>4609</v>
      </c>
      <c r="F125" s="404" t="s">
        <v>3862</v>
      </c>
      <c r="G125" s="400" t="s">
        <v>4610</v>
      </c>
      <c r="H125" s="329" t="s">
        <v>4611</v>
      </c>
      <c r="I125" s="329" t="s">
        <v>4612</v>
      </c>
      <c r="J125" s="330" t="s">
        <v>4613</v>
      </c>
    </row>
    <row r="126" spans="1:10" ht="15.5" thickBot="1">
      <c r="A126" s="338"/>
      <c r="B126" s="321"/>
      <c r="C126" s="321"/>
      <c r="D126" s="329" t="s">
        <v>4614</v>
      </c>
      <c r="E126" s="395" t="s">
        <v>4615</v>
      </c>
      <c r="F126" s="404" t="s">
        <v>3862</v>
      </c>
      <c r="G126" s="400" t="s">
        <v>4616</v>
      </c>
      <c r="H126" s="329" t="s">
        <v>4617</v>
      </c>
      <c r="I126" s="329" t="s">
        <v>4618</v>
      </c>
      <c r="J126" s="330" t="s">
        <v>4619</v>
      </c>
    </row>
    <row r="127" spans="1:10" ht="16" thickBot="1">
      <c r="A127" s="338"/>
      <c r="B127" s="321"/>
      <c r="C127" s="321" t="s">
        <v>4620</v>
      </c>
      <c r="D127" s="324" t="s">
        <v>4621</v>
      </c>
      <c r="E127" s="393" t="s">
        <v>4622</v>
      </c>
      <c r="F127" s="345" t="s">
        <v>3862</v>
      </c>
      <c r="G127" s="398" t="s">
        <v>4623</v>
      </c>
      <c r="H127" s="324" t="s">
        <v>3989</v>
      </c>
      <c r="I127" s="324" t="s">
        <v>4624</v>
      </c>
      <c r="J127" s="325" t="s">
        <v>4625</v>
      </c>
    </row>
    <row r="128" spans="1:10" ht="16" thickBot="1">
      <c r="A128" s="338"/>
      <c r="B128" s="321"/>
      <c r="C128" s="321"/>
      <c r="D128" s="324" t="s">
        <v>4626</v>
      </c>
      <c r="E128" s="393" t="s">
        <v>4627</v>
      </c>
      <c r="F128" s="345" t="s">
        <v>3862</v>
      </c>
      <c r="G128" s="398" t="s">
        <v>4188</v>
      </c>
      <c r="H128" s="324" t="s">
        <v>4628</v>
      </c>
      <c r="I128" s="324" t="s">
        <v>4629</v>
      </c>
      <c r="J128" s="325" t="s">
        <v>4630</v>
      </c>
    </row>
    <row r="129" spans="1:10" ht="16" thickBot="1">
      <c r="A129" s="338"/>
      <c r="B129" s="321"/>
      <c r="C129" s="321"/>
      <c r="D129" s="324" t="s">
        <v>4631</v>
      </c>
      <c r="E129" s="393" t="s">
        <v>4632</v>
      </c>
      <c r="F129" s="345" t="s">
        <v>3862</v>
      </c>
      <c r="G129" s="398" t="s">
        <v>4633</v>
      </c>
      <c r="H129" s="324" t="s">
        <v>4634</v>
      </c>
      <c r="I129" s="324" t="s">
        <v>4635</v>
      </c>
      <c r="J129" s="325" t="s">
        <v>4636</v>
      </c>
    </row>
    <row r="130" spans="1:10" ht="16" thickBot="1">
      <c r="A130" s="338"/>
      <c r="B130" s="321"/>
      <c r="C130" s="321"/>
      <c r="D130" s="324" t="s">
        <v>4637</v>
      </c>
      <c r="E130" s="393" t="s">
        <v>4638</v>
      </c>
      <c r="F130" s="345" t="s">
        <v>3862</v>
      </c>
      <c r="G130" s="398" t="s">
        <v>4639</v>
      </c>
      <c r="H130" s="324" t="s">
        <v>4640</v>
      </c>
      <c r="I130" s="324" t="s">
        <v>4641</v>
      </c>
      <c r="J130" s="325" t="s">
        <v>4642</v>
      </c>
    </row>
    <row r="131" spans="1:10" ht="16" thickBot="1">
      <c r="A131" s="338"/>
      <c r="B131" s="321"/>
      <c r="C131" s="321"/>
      <c r="D131" s="324" t="s">
        <v>4643</v>
      </c>
      <c r="E131" s="393" t="s">
        <v>4644</v>
      </c>
      <c r="F131" s="345" t="s">
        <v>3862</v>
      </c>
      <c r="G131" s="398" t="s">
        <v>4645</v>
      </c>
      <c r="H131" s="324" t="s">
        <v>4646</v>
      </c>
      <c r="I131" s="324" t="s">
        <v>4647</v>
      </c>
      <c r="J131" s="325" t="s">
        <v>4648</v>
      </c>
    </row>
    <row r="132" spans="1:10" s="1" customFormat="1" ht="16" thickBot="1">
      <c r="A132" s="338"/>
      <c r="B132" s="321"/>
      <c r="C132" s="340" t="s">
        <v>4649</v>
      </c>
      <c r="D132" s="324"/>
      <c r="E132" s="393"/>
      <c r="F132" s="345" t="s">
        <v>3862</v>
      </c>
      <c r="G132" s="398"/>
      <c r="H132" s="324"/>
      <c r="I132" s="324"/>
      <c r="J132" s="325"/>
    </row>
    <row r="133" spans="1:10" s="1" customFormat="1" ht="16" thickBot="1">
      <c r="A133" s="338"/>
      <c r="B133" s="321"/>
      <c r="C133" s="341"/>
      <c r="D133" s="324"/>
      <c r="E133" s="393"/>
      <c r="F133" s="345" t="s">
        <v>3862</v>
      </c>
      <c r="G133" s="398"/>
      <c r="H133" s="324"/>
      <c r="I133" s="324"/>
      <c r="J133" s="325"/>
    </row>
    <row r="134" spans="1:10" s="1" customFormat="1" ht="16" thickBot="1">
      <c r="A134" s="338"/>
      <c r="B134" s="321"/>
      <c r="C134" s="341"/>
      <c r="D134" s="324"/>
      <c r="E134" s="393"/>
      <c r="F134" s="345" t="s">
        <v>3862</v>
      </c>
      <c r="G134" s="398"/>
      <c r="H134" s="324"/>
      <c r="I134" s="324"/>
      <c r="J134" s="325"/>
    </row>
    <row r="135" spans="1:10" s="1" customFormat="1" ht="16" thickBot="1">
      <c r="A135" s="338"/>
      <c r="B135" s="321"/>
      <c r="C135" s="341"/>
      <c r="D135" s="324"/>
      <c r="E135" s="393"/>
      <c r="F135" s="345" t="s">
        <v>3862</v>
      </c>
      <c r="G135" s="398"/>
      <c r="H135" s="324"/>
      <c r="I135" s="324"/>
      <c r="J135" s="325"/>
    </row>
    <row r="136" spans="1:10" ht="16" thickBot="1">
      <c r="A136" s="338"/>
      <c r="B136" s="321"/>
      <c r="C136" s="342"/>
      <c r="D136" s="326"/>
      <c r="E136" s="394"/>
      <c r="F136" s="345" t="s">
        <v>3862</v>
      </c>
      <c r="G136" s="399"/>
      <c r="H136" s="326"/>
      <c r="I136" s="326"/>
      <c r="J136" s="327"/>
    </row>
    <row r="137" spans="1:10" s="1" customFormat="1" ht="16" thickBot="1">
      <c r="A137" s="338"/>
      <c r="B137" s="321"/>
      <c r="C137" s="340" t="s">
        <v>4650</v>
      </c>
      <c r="D137" s="326"/>
      <c r="E137" s="394"/>
      <c r="F137" s="345" t="s">
        <v>3862</v>
      </c>
      <c r="G137" s="399"/>
      <c r="H137" s="326"/>
      <c r="I137" s="326"/>
      <c r="J137" s="327"/>
    </row>
    <row r="138" spans="1:10" s="1" customFormat="1" ht="16" thickBot="1">
      <c r="A138" s="338"/>
      <c r="B138" s="321"/>
      <c r="C138" s="341"/>
      <c r="D138" s="326"/>
      <c r="E138" s="394"/>
      <c r="F138" s="345" t="s">
        <v>3862</v>
      </c>
      <c r="G138" s="399"/>
      <c r="H138" s="326"/>
      <c r="I138" s="326"/>
      <c r="J138" s="327"/>
    </row>
    <row r="139" spans="1:10" s="1" customFormat="1" ht="16" thickBot="1">
      <c r="A139" s="338"/>
      <c r="B139" s="321"/>
      <c r="C139" s="341"/>
      <c r="D139" s="326"/>
      <c r="E139" s="394"/>
      <c r="F139" s="345" t="s">
        <v>3862</v>
      </c>
      <c r="G139" s="399"/>
      <c r="H139" s="326"/>
      <c r="I139" s="326"/>
      <c r="J139" s="327"/>
    </row>
    <row r="140" spans="1:10" s="1" customFormat="1" ht="16" thickBot="1">
      <c r="A140" s="338"/>
      <c r="B140" s="321"/>
      <c r="C140" s="341"/>
      <c r="D140" s="326"/>
      <c r="E140" s="394"/>
      <c r="F140" s="345" t="s">
        <v>3862</v>
      </c>
      <c r="G140" s="399"/>
      <c r="H140" s="326"/>
      <c r="I140" s="326"/>
      <c r="J140" s="327"/>
    </row>
    <row r="141" spans="1:10" ht="16" thickBot="1">
      <c r="A141" s="338"/>
      <c r="B141" s="321"/>
      <c r="C141" s="342"/>
      <c r="D141" s="326"/>
      <c r="E141" s="394"/>
      <c r="F141" s="345" t="s">
        <v>3862</v>
      </c>
      <c r="G141" s="399"/>
      <c r="H141" s="326"/>
      <c r="I141" s="326"/>
      <c r="J141" s="327"/>
    </row>
    <row r="142" spans="1:10" s="1" customFormat="1" ht="16" thickBot="1">
      <c r="A142" s="338"/>
      <c r="B142" s="321"/>
      <c r="C142" s="340" t="s">
        <v>4651</v>
      </c>
      <c r="D142" s="326"/>
      <c r="E142" s="394"/>
      <c r="F142" s="345" t="s">
        <v>3862</v>
      </c>
      <c r="G142" s="399"/>
      <c r="H142" s="326"/>
      <c r="I142" s="326"/>
      <c r="J142" s="327"/>
    </row>
    <row r="143" spans="1:10" s="1" customFormat="1" ht="16" thickBot="1">
      <c r="A143" s="338"/>
      <c r="B143" s="321"/>
      <c r="C143" s="341"/>
      <c r="D143" s="326"/>
      <c r="E143" s="394"/>
      <c r="F143" s="345" t="s">
        <v>3862</v>
      </c>
      <c r="G143" s="399"/>
      <c r="H143" s="326"/>
      <c r="I143" s="326"/>
      <c r="J143" s="327"/>
    </row>
    <row r="144" spans="1:10" s="1" customFormat="1" ht="16" thickBot="1">
      <c r="A144" s="338"/>
      <c r="B144" s="321"/>
      <c r="C144" s="341"/>
      <c r="D144" s="326"/>
      <c r="E144" s="394"/>
      <c r="F144" s="345" t="s">
        <v>3862</v>
      </c>
      <c r="G144" s="399"/>
      <c r="H144" s="326"/>
      <c r="I144" s="326"/>
      <c r="J144" s="327"/>
    </row>
    <row r="145" spans="1:10" s="1" customFormat="1" ht="16" thickBot="1">
      <c r="A145" s="338"/>
      <c r="B145" s="321"/>
      <c r="C145" s="341"/>
      <c r="D145" s="326"/>
      <c r="E145" s="394"/>
      <c r="F145" s="345" t="s">
        <v>3862</v>
      </c>
      <c r="G145" s="399"/>
      <c r="H145" s="326"/>
      <c r="I145" s="326"/>
      <c r="J145" s="327"/>
    </row>
    <row r="146" spans="1:10" ht="16" thickBot="1">
      <c r="A146" s="338"/>
      <c r="B146" s="321"/>
      <c r="C146" s="342"/>
      <c r="D146" s="326"/>
      <c r="E146" s="394"/>
      <c r="F146" s="345" t="s">
        <v>3862</v>
      </c>
      <c r="G146" s="399"/>
      <c r="H146" s="326"/>
      <c r="I146" s="326"/>
      <c r="J146" s="327"/>
    </row>
    <row r="147" spans="1:10" ht="15.5" thickBot="1">
      <c r="A147" s="338"/>
      <c r="B147" s="321" t="s">
        <v>4652</v>
      </c>
      <c r="C147" s="321" t="s">
        <v>4653</v>
      </c>
      <c r="D147" s="331" t="s">
        <v>4654</v>
      </c>
      <c r="E147" s="396" t="s">
        <v>4655</v>
      </c>
      <c r="F147" s="405" t="s">
        <v>3862</v>
      </c>
      <c r="G147" s="401" t="s">
        <v>359</v>
      </c>
      <c r="H147" s="331" t="s">
        <v>4656</v>
      </c>
      <c r="I147" s="331" t="s">
        <v>4657</v>
      </c>
      <c r="J147" s="332" t="s">
        <v>4658</v>
      </c>
    </row>
    <row r="148" spans="1:10" ht="15.5" thickBot="1">
      <c r="A148" s="338"/>
      <c r="B148" s="321"/>
      <c r="C148" s="321"/>
      <c r="D148" s="329" t="s">
        <v>4659</v>
      </c>
      <c r="E148" s="395" t="s">
        <v>4660</v>
      </c>
      <c r="F148" s="405" t="s">
        <v>4494</v>
      </c>
      <c r="G148" s="401" t="s">
        <v>4661</v>
      </c>
      <c r="H148" s="331" t="s">
        <v>4662</v>
      </c>
      <c r="I148" s="331" t="s">
        <v>4663</v>
      </c>
      <c r="J148" s="332" t="s">
        <v>4664</v>
      </c>
    </row>
    <row r="149" spans="1:10" ht="15.5" thickBot="1">
      <c r="A149" s="338"/>
      <c r="B149" s="321"/>
      <c r="C149" s="321"/>
      <c r="D149" s="329" t="s">
        <v>4665</v>
      </c>
      <c r="E149" s="396" t="s">
        <v>4666</v>
      </c>
      <c r="F149" s="405" t="s">
        <v>3862</v>
      </c>
      <c r="G149" s="401" t="s">
        <v>4667</v>
      </c>
      <c r="H149" s="331" t="s">
        <v>4668</v>
      </c>
      <c r="I149" s="331" t="s">
        <v>4669</v>
      </c>
      <c r="J149" s="332" t="s">
        <v>4670</v>
      </c>
    </row>
    <row r="150" spans="1:10" ht="15.5" thickBot="1">
      <c r="A150" s="338"/>
      <c r="B150" s="321"/>
      <c r="C150" s="321"/>
      <c r="D150" s="329" t="s">
        <v>2154</v>
      </c>
      <c r="E150" s="396" t="s">
        <v>4671</v>
      </c>
      <c r="F150" s="405" t="s">
        <v>4598</v>
      </c>
      <c r="G150" s="401" t="s">
        <v>4188</v>
      </c>
      <c r="H150" s="331" t="s">
        <v>4672</v>
      </c>
      <c r="I150" s="331" t="s">
        <v>4673</v>
      </c>
      <c r="J150" s="332" t="s">
        <v>4674</v>
      </c>
    </row>
    <row r="151" spans="1:10" ht="15.5" thickBot="1">
      <c r="A151" s="338"/>
      <c r="B151" s="321"/>
      <c r="C151" s="321"/>
      <c r="D151" s="329" t="s">
        <v>4675</v>
      </c>
      <c r="E151" s="396" t="s">
        <v>4676</v>
      </c>
      <c r="F151" s="405" t="s">
        <v>3862</v>
      </c>
      <c r="G151" s="401" t="s">
        <v>4677</v>
      </c>
      <c r="H151" s="331" t="s">
        <v>4678</v>
      </c>
      <c r="I151" s="331" t="s">
        <v>4679</v>
      </c>
      <c r="J151" s="332" t="s">
        <v>4680</v>
      </c>
    </row>
    <row r="152" spans="1:10" ht="15.5" thickBot="1">
      <c r="A152" s="338"/>
      <c r="B152" s="321"/>
      <c r="C152" s="321" t="s">
        <v>4681</v>
      </c>
      <c r="D152" s="331" t="s">
        <v>4682</v>
      </c>
      <c r="E152" s="396" t="s">
        <v>4683</v>
      </c>
      <c r="F152" s="405" t="s">
        <v>4494</v>
      </c>
      <c r="G152" s="401" t="s">
        <v>4684</v>
      </c>
      <c r="H152" s="331" t="s">
        <v>4685</v>
      </c>
      <c r="I152" s="331" t="s">
        <v>4686</v>
      </c>
      <c r="J152" s="332" t="s">
        <v>4687</v>
      </c>
    </row>
    <row r="153" spans="1:10" ht="15.5" thickBot="1">
      <c r="A153" s="338"/>
      <c r="B153" s="321"/>
      <c r="C153" s="321"/>
      <c r="D153" s="329" t="s">
        <v>4688</v>
      </c>
      <c r="E153" s="396" t="s">
        <v>4689</v>
      </c>
      <c r="F153" s="405" t="s">
        <v>3862</v>
      </c>
      <c r="G153" s="401" t="s">
        <v>4690</v>
      </c>
      <c r="H153" s="331" t="s">
        <v>4691</v>
      </c>
      <c r="I153" s="331" t="s">
        <v>4692</v>
      </c>
      <c r="J153" s="332" t="s">
        <v>4693</v>
      </c>
    </row>
    <row r="154" spans="1:10" ht="15.5" thickBot="1">
      <c r="A154" s="338"/>
      <c r="B154" s="321"/>
      <c r="C154" s="321"/>
      <c r="D154" s="329" t="s">
        <v>4694</v>
      </c>
      <c r="E154" s="396" t="s">
        <v>4695</v>
      </c>
      <c r="F154" s="405" t="s">
        <v>4598</v>
      </c>
      <c r="G154" s="401" t="s">
        <v>4696</v>
      </c>
      <c r="H154" s="331" t="s">
        <v>4697</v>
      </c>
      <c r="I154" s="331" t="s">
        <v>4698</v>
      </c>
      <c r="J154" s="332" t="s">
        <v>4699</v>
      </c>
    </row>
    <row r="155" spans="1:10" ht="15.5" thickBot="1">
      <c r="A155" s="338"/>
      <c r="B155" s="321"/>
      <c r="C155" s="321"/>
      <c r="D155" s="329" t="s">
        <v>4700</v>
      </c>
      <c r="E155" s="396" t="s">
        <v>4701</v>
      </c>
      <c r="F155" s="405" t="s">
        <v>3862</v>
      </c>
      <c r="G155" s="401" t="s">
        <v>4702</v>
      </c>
      <c r="H155" s="331" t="s">
        <v>4337</v>
      </c>
      <c r="I155" s="331" t="s">
        <v>4703</v>
      </c>
      <c r="J155" s="332" t="s">
        <v>4704</v>
      </c>
    </row>
    <row r="156" spans="1:10" ht="15.5" thickBot="1">
      <c r="A156" s="338"/>
      <c r="B156" s="321"/>
      <c r="C156" s="321"/>
      <c r="D156" s="329" t="s">
        <v>4705</v>
      </c>
      <c r="E156" s="396" t="s">
        <v>4706</v>
      </c>
      <c r="F156" s="405" t="s">
        <v>4494</v>
      </c>
      <c r="G156" s="401" t="s">
        <v>4707</v>
      </c>
      <c r="H156" s="331" t="s">
        <v>4708</v>
      </c>
      <c r="I156" s="331" t="s">
        <v>4709</v>
      </c>
      <c r="J156" s="332" t="s">
        <v>4710</v>
      </c>
    </row>
    <row r="157" spans="1:10" ht="15.5" thickBot="1">
      <c r="A157" s="338"/>
      <c r="B157" s="321"/>
      <c r="C157" s="321" t="s">
        <v>4711</v>
      </c>
      <c r="D157" s="331" t="s">
        <v>4712</v>
      </c>
      <c r="E157" s="396" t="s">
        <v>4713</v>
      </c>
      <c r="F157" s="405" t="s">
        <v>3862</v>
      </c>
      <c r="G157" s="401" t="s">
        <v>4714</v>
      </c>
      <c r="H157" s="331" t="s">
        <v>4715</v>
      </c>
      <c r="I157" s="331" t="s">
        <v>4716</v>
      </c>
      <c r="J157" s="332" t="s">
        <v>4717</v>
      </c>
    </row>
    <row r="158" spans="1:10" ht="15.5" thickBot="1">
      <c r="A158" s="338"/>
      <c r="B158" s="321"/>
      <c r="C158" s="321"/>
      <c r="D158" s="329" t="s">
        <v>4718</v>
      </c>
      <c r="E158" s="396" t="s">
        <v>4719</v>
      </c>
      <c r="F158" s="405" t="s">
        <v>4598</v>
      </c>
      <c r="G158" s="401" t="s">
        <v>4720</v>
      </c>
      <c r="H158" s="331" t="s">
        <v>4721</v>
      </c>
      <c r="I158" s="331" t="s">
        <v>4722</v>
      </c>
      <c r="J158" s="332" t="s">
        <v>4723</v>
      </c>
    </row>
    <row r="159" spans="1:10" ht="15.5" thickBot="1">
      <c r="A159" s="338"/>
      <c r="B159" s="321"/>
      <c r="C159" s="321"/>
      <c r="D159" s="329" t="s">
        <v>1926</v>
      </c>
      <c r="E159" s="396" t="s">
        <v>4724</v>
      </c>
      <c r="F159" s="405" t="s">
        <v>3862</v>
      </c>
      <c r="G159" s="401" t="s">
        <v>4725</v>
      </c>
      <c r="H159" s="331" t="s">
        <v>4726</v>
      </c>
      <c r="I159" s="331" t="s">
        <v>4727</v>
      </c>
      <c r="J159" s="332" t="s">
        <v>4728</v>
      </c>
    </row>
    <row r="160" spans="1:10" ht="15.5" thickBot="1">
      <c r="A160" s="338"/>
      <c r="B160" s="321"/>
      <c r="C160" s="321"/>
      <c r="D160" s="329" t="s">
        <v>4729</v>
      </c>
      <c r="E160" s="396" t="s">
        <v>4730</v>
      </c>
      <c r="F160" s="405" t="s">
        <v>4494</v>
      </c>
      <c r="G160" s="401" t="s">
        <v>2460</v>
      </c>
      <c r="H160" s="331" t="s">
        <v>4731</v>
      </c>
      <c r="I160" s="331" t="s">
        <v>4732</v>
      </c>
      <c r="J160" s="332" t="s">
        <v>4733</v>
      </c>
    </row>
    <row r="161" spans="1:10" ht="15.5" thickBot="1">
      <c r="A161" s="338"/>
      <c r="B161" s="321"/>
      <c r="C161" s="321"/>
      <c r="D161" s="329" t="s">
        <v>4734</v>
      </c>
      <c r="E161" s="396" t="s">
        <v>4735</v>
      </c>
      <c r="F161" s="405" t="s">
        <v>3862</v>
      </c>
      <c r="G161" s="401" t="s">
        <v>4736</v>
      </c>
      <c r="H161" s="331" t="s">
        <v>4013</v>
      </c>
      <c r="I161" s="331" t="s">
        <v>4737</v>
      </c>
      <c r="J161" s="332" t="s">
        <v>4738</v>
      </c>
    </row>
    <row r="162" spans="1:10" ht="16" thickBot="1">
      <c r="A162" s="338"/>
      <c r="B162" s="321"/>
      <c r="C162" s="321" t="s">
        <v>4739</v>
      </c>
      <c r="D162" s="326" t="s">
        <v>4740</v>
      </c>
      <c r="E162" s="394" t="s">
        <v>4741</v>
      </c>
      <c r="F162" s="403" t="s">
        <v>3862</v>
      </c>
      <c r="G162" s="399" t="s">
        <v>4742</v>
      </c>
      <c r="H162" s="326" t="s">
        <v>4743</v>
      </c>
      <c r="I162" s="326" t="s">
        <v>4744</v>
      </c>
      <c r="J162" s="327" t="s">
        <v>4745</v>
      </c>
    </row>
    <row r="163" spans="1:10" ht="16" thickBot="1">
      <c r="A163" s="338"/>
      <c r="B163" s="321"/>
      <c r="C163" s="321"/>
      <c r="D163" s="324" t="s">
        <v>4746</v>
      </c>
      <c r="E163" s="394" t="s">
        <v>4747</v>
      </c>
      <c r="F163" s="403" t="s">
        <v>3862</v>
      </c>
      <c r="G163" s="399" t="s">
        <v>4748</v>
      </c>
      <c r="H163" s="326" t="s">
        <v>4749</v>
      </c>
      <c r="I163" s="326" t="s">
        <v>4750</v>
      </c>
      <c r="J163" s="327" t="s">
        <v>4751</v>
      </c>
    </row>
    <row r="164" spans="1:10" ht="16" thickBot="1">
      <c r="A164" s="338"/>
      <c r="B164" s="321"/>
      <c r="C164" s="321"/>
      <c r="D164" s="324" t="s">
        <v>4752</v>
      </c>
      <c r="E164" s="394" t="s">
        <v>4753</v>
      </c>
      <c r="F164" s="403" t="s">
        <v>3862</v>
      </c>
      <c r="G164" s="399" t="s">
        <v>4754</v>
      </c>
      <c r="H164" s="326" t="s">
        <v>4755</v>
      </c>
      <c r="I164" s="326" t="s">
        <v>4756</v>
      </c>
      <c r="J164" s="327" t="s">
        <v>4757</v>
      </c>
    </row>
    <row r="165" spans="1:10" ht="16" thickBot="1">
      <c r="A165" s="338"/>
      <c r="B165" s="321"/>
      <c r="C165" s="321"/>
      <c r="D165" s="324" t="s">
        <v>4758</v>
      </c>
      <c r="E165" s="394" t="s">
        <v>4759</v>
      </c>
      <c r="F165" s="403" t="s">
        <v>3862</v>
      </c>
      <c r="G165" s="399" t="s">
        <v>4760</v>
      </c>
      <c r="H165" s="326" t="s">
        <v>4761</v>
      </c>
      <c r="I165" s="326" t="s">
        <v>4762</v>
      </c>
      <c r="J165" s="327" t="s">
        <v>4763</v>
      </c>
    </row>
    <row r="166" spans="1:10" ht="16" thickBot="1">
      <c r="A166" s="338"/>
      <c r="B166" s="321"/>
      <c r="C166" s="321"/>
      <c r="D166" s="324" t="s">
        <v>3986</v>
      </c>
      <c r="E166" s="394" t="s">
        <v>4764</v>
      </c>
      <c r="F166" s="403" t="s">
        <v>3862</v>
      </c>
      <c r="G166" s="399" t="s">
        <v>4765</v>
      </c>
      <c r="H166" s="326" t="s">
        <v>4766</v>
      </c>
      <c r="I166" s="326" t="s">
        <v>4767</v>
      </c>
      <c r="J166" s="327" t="s">
        <v>4768</v>
      </c>
    </row>
    <row r="167" spans="1:10" ht="16" thickBot="1">
      <c r="A167" s="338"/>
      <c r="B167" s="321"/>
      <c r="C167" s="321" t="s">
        <v>4769</v>
      </c>
      <c r="D167" s="324" t="s">
        <v>4770</v>
      </c>
      <c r="E167" s="393" t="s">
        <v>4771</v>
      </c>
      <c r="F167" s="345" t="s">
        <v>3862</v>
      </c>
      <c r="G167" s="398" t="s">
        <v>1657</v>
      </c>
      <c r="H167" s="324" t="s">
        <v>4772</v>
      </c>
      <c r="I167" s="324" t="s">
        <v>4773</v>
      </c>
      <c r="J167" s="325" t="s">
        <v>4774</v>
      </c>
    </row>
    <row r="168" spans="1:10" ht="16" thickBot="1">
      <c r="A168" s="338"/>
      <c r="B168" s="321"/>
      <c r="C168" s="321"/>
      <c r="D168" s="324" t="s">
        <v>4775</v>
      </c>
      <c r="E168" s="393" t="s">
        <v>4776</v>
      </c>
      <c r="F168" s="345" t="s">
        <v>3862</v>
      </c>
      <c r="G168" s="398" t="s">
        <v>4777</v>
      </c>
      <c r="H168" s="324" t="s">
        <v>4587</v>
      </c>
      <c r="I168" s="324" t="s">
        <v>4778</v>
      </c>
      <c r="J168" s="325" t="s">
        <v>4779</v>
      </c>
    </row>
    <row r="169" spans="1:10" ht="16" thickBot="1">
      <c r="A169" s="338"/>
      <c r="B169" s="321"/>
      <c r="C169" s="321"/>
      <c r="D169" s="324" t="s">
        <v>4780</v>
      </c>
      <c r="E169" s="393" t="s">
        <v>4781</v>
      </c>
      <c r="F169" s="345" t="s">
        <v>3862</v>
      </c>
      <c r="G169" s="398" t="s">
        <v>4782</v>
      </c>
      <c r="H169" s="324" t="s">
        <v>4783</v>
      </c>
      <c r="I169" s="324" t="s">
        <v>4784</v>
      </c>
      <c r="J169" s="325" t="s">
        <v>4785</v>
      </c>
    </row>
    <row r="170" spans="1:10" ht="16" thickBot="1">
      <c r="A170" s="338"/>
      <c r="B170" s="321"/>
      <c r="C170" s="321"/>
      <c r="D170" s="324" t="s">
        <v>4786</v>
      </c>
      <c r="E170" s="393" t="s">
        <v>4787</v>
      </c>
      <c r="F170" s="345" t="s">
        <v>3862</v>
      </c>
      <c r="G170" s="398" t="s">
        <v>4788</v>
      </c>
      <c r="H170" s="324" t="s">
        <v>4789</v>
      </c>
      <c r="I170" s="324" t="s">
        <v>4790</v>
      </c>
      <c r="J170" s="325" t="s">
        <v>4791</v>
      </c>
    </row>
    <row r="171" spans="1:10" ht="16" thickBot="1">
      <c r="A171" s="338"/>
      <c r="B171" s="321"/>
      <c r="C171" s="321"/>
      <c r="D171" s="324" t="s">
        <v>4792</v>
      </c>
      <c r="E171" s="393" t="s">
        <v>4793</v>
      </c>
      <c r="F171" s="345" t="s">
        <v>3862</v>
      </c>
      <c r="G171" s="398" t="s">
        <v>4794</v>
      </c>
      <c r="H171" s="324" t="s">
        <v>4795</v>
      </c>
      <c r="I171" s="324" t="s">
        <v>4796</v>
      </c>
      <c r="J171" s="325" t="s">
        <v>4797</v>
      </c>
    </row>
    <row r="172" spans="1:10" ht="16" thickBot="1">
      <c r="A172" s="338"/>
      <c r="B172" s="321"/>
      <c r="C172" s="321" t="s">
        <v>4798</v>
      </c>
      <c r="D172" s="324" t="s">
        <v>4799</v>
      </c>
      <c r="E172" s="393" t="s">
        <v>4800</v>
      </c>
      <c r="F172" s="345" t="s">
        <v>3862</v>
      </c>
      <c r="G172" s="398" t="s">
        <v>1657</v>
      </c>
      <c r="H172" s="324" t="s">
        <v>4801</v>
      </c>
      <c r="I172" s="324" t="s">
        <v>4802</v>
      </c>
      <c r="J172" s="325" t="s">
        <v>4803</v>
      </c>
    </row>
    <row r="173" spans="1:10" ht="16" thickBot="1">
      <c r="A173" s="338"/>
      <c r="B173" s="321"/>
      <c r="C173" s="321"/>
      <c r="D173" s="324" t="s">
        <v>4804</v>
      </c>
      <c r="E173" s="393" t="s">
        <v>4805</v>
      </c>
      <c r="F173" s="345" t="s">
        <v>3862</v>
      </c>
      <c r="G173" s="398" t="s">
        <v>4806</v>
      </c>
      <c r="H173" s="324" t="s">
        <v>4297</v>
      </c>
      <c r="I173" s="324" t="s">
        <v>4807</v>
      </c>
      <c r="J173" s="325" t="s">
        <v>4808</v>
      </c>
    </row>
    <row r="174" spans="1:10" ht="16" thickBot="1">
      <c r="A174" s="338"/>
      <c r="B174" s="321"/>
      <c r="C174" s="321"/>
      <c r="D174" s="324" t="s">
        <v>4809</v>
      </c>
      <c r="E174" s="393" t="s">
        <v>4810</v>
      </c>
      <c r="F174" s="345" t="s">
        <v>3862</v>
      </c>
      <c r="G174" s="398" t="s">
        <v>4811</v>
      </c>
      <c r="H174" s="324" t="s">
        <v>4812</v>
      </c>
      <c r="I174" s="324" t="s">
        <v>4813</v>
      </c>
      <c r="J174" s="325" t="s">
        <v>4814</v>
      </c>
    </row>
    <row r="175" spans="1:10" ht="16" thickBot="1">
      <c r="A175" s="338"/>
      <c r="B175" s="321"/>
      <c r="C175" s="321"/>
      <c r="D175" s="324" t="s">
        <v>4815</v>
      </c>
      <c r="E175" s="393" t="s">
        <v>4816</v>
      </c>
      <c r="F175" s="345" t="s">
        <v>3862</v>
      </c>
      <c r="G175" s="398" t="s">
        <v>4817</v>
      </c>
      <c r="H175" s="324" t="s">
        <v>4818</v>
      </c>
      <c r="I175" s="324" t="s">
        <v>4819</v>
      </c>
      <c r="J175" s="325" t="s">
        <v>4820</v>
      </c>
    </row>
    <row r="176" spans="1:10" ht="16" thickBot="1">
      <c r="A176" s="338"/>
      <c r="B176" s="321"/>
      <c r="C176" s="321"/>
      <c r="D176" s="324" t="s">
        <v>4821</v>
      </c>
      <c r="E176" s="393" t="s">
        <v>4822</v>
      </c>
      <c r="F176" s="345" t="s">
        <v>3862</v>
      </c>
      <c r="G176" s="398" t="s">
        <v>4823</v>
      </c>
      <c r="H176" s="324" t="s">
        <v>4824</v>
      </c>
      <c r="I176" s="324" t="s">
        <v>4825</v>
      </c>
      <c r="J176" s="325" t="s">
        <v>4826</v>
      </c>
    </row>
    <row r="177" spans="1:10" ht="16" thickBot="1">
      <c r="A177" s="338"/>
      <c r="B177" s="321"/>
      <c r="C177" s="321" t="s">
        <v>4827</v>
      </c>
      <c r="D177" s="324" t="s">
        <v>4828</v>
      </c>
      <c r="E177" s="394" t="s">
        <v>4829</v>
      </c>
      <c r="F177" s="403" t="s">
        <v>3862</v>
      </c>
      <c r="G177" s="399" t="s">
        <v>4830</v>
      </c>
      <c r="H177" s="326" t="s">
        <v>4831</v>
      </c>
      <c r="I177" s="326" t="s">
        <v>4832</v>
      </c>
      <c r="J177" s="327" t="s">
        <v>4833</v>
      </c>
    </row>
    <row r="178" spans="1:10" ht="16" thickBot="1">
      <c r="A178" s="338"/>
      <c r="B178" s="321"/>
      <c r="C178" s="321"/>
      <c r="D178" s="324" t="s">
        <v>4834</v>
      </c>
      <c r="E178" s="394" t="s">
        <v>4835</v>
      </c>
      <c r="F178" s="403" t="s">
        <v>3862</v>
      </c>
      <c r="G178" s="399" t="s">
        <v>4836</v>
      </c>
      <c r="H178" s="326" t="s">
        <v>4837</v>
      </c>
      <c r="I178" s="326" t="s">
        <v>4838</v>
      </c>
      <c r="J178" s="327" t="s">
        <v>4839</v>
      </c>
    </row>
    <row r="179" spans="1:10" ht="16" thickBot="1">
      <c r="A179" s="338"/>
      <c r="B179" s="321"/>
      <c r="C179" s="321"/>
      <c r="D179" s="324" t="s">
        <v>3986</v>
      </c>
      <c r="E179" s="394" t="s">
        <v>4840</v>
      </c>
      <c r="F179" s="403" t="s">
        <v>3862</v>
      </c>
      <c r="G179" s="399" t="s">
        <v>4841</v>
      </c>
      <c r="H179" s="326" t="s">
        <v>4842</v>
      </c>
      <c r="I179" s="326" t="s">
        <v>4843</v>
      </c>
      <c r="J179" s="327" t="s">
        <v>4844</v>
      </c>
    </row>
    <row r="180" spans="1:10" ht="16" thickBot="1">
      <c r="A180" s="338"/>
      <c r="B180" s="321"/>
      <c r="C180" s="321"/>
      <c r="D180" s="324" t="s">
        <v>4845</v>
      </c>
      <c r="E180" s="394" t="s">
        <v>4846</v>
      </c>
      <c r="F180" s="403" t="s">
        <v>3862</v>
      </c>
      <c r="G180" s="399" t="s">
        <v>4847</v>
      </c>
      <c r="H180" s="326" t="s">
        <v>4848</v>
      </c>
      <c r="I180" s="326" t="s">
        <v>4849</v>
      </c>
      <c r="J180" s="327" t="s">
        <v>4850</v>
      </c>
    </row>
    <row r="181" spans="1:10" ht="16" thickBot="1">
      <c r="A181" s="338"/>
      <c r="B181" s="321"/>
      <c r="C181" s="321"/>
      <c r="D181" s="324" t="s">
        <v>4851</v>
      </c>
      <c r="E181" s="394" t="s">
        <v>4852</v>
      </c>
      <c r="F181" s="403" t="s">
        <v>3862</v>
      </c>
      <c r="G181" s="399" t="s">
        <v>4853</v>
      </c>
      <c r="H181" s="326" t="s">
        <v>4854</v>
      </c>
      <c r="I181" s="326" t="s">
        <v>4855</v>
      </c>
      <c r="J181" s="327" t="s">
        <v>4856</v>
      </c>
    </row>
    <row r="182" spans="1:10" ht="16" thickBot="1">
      <c r="A182" s="338"/>
      <c r="B182" s="321" t="s">
        <v>4857</v>
      </c>
      <c r="C182" s="321" t="s">
        <v>4858</v>
      </c>
      <c r="D182" s="324" t="s">
        <v>4859</v>
      </c>
      <c r="E182" s="393" t="s">
        <v>4860</v>
      </c>
      <c r="F182" s="345" t="s">
        <v>3862</v>
      </c>
      <c r="G182" s="398" t="s">
        <v>4861</v>
      </c>
      <c r="H182" s="324" t="s">
        <v>4673</v>
      </c>
      <c r="I182" s="324" t="s">
        <v>4862</v>
      </c>
      <c r="J182" s="325" t="s">
        <v>4863</v>
      </c>
    </row>
    <row r="183" spans="1:10" ht="16" thickBot="1">
      <c r="A183" s="338"/>
      <c r="B183" s="321"/>
      <c r="C183" s="321"/>
      <c r="D183" s="324" t="s">
        <v>4864</v>
      </c>
      <c r="E183" s="393" t="s">
        <v>4865</v>
      </c>
      <c r="F183" s="345" t="s">
        <v>3862</v>
      </c>
      <c r="G183" s="398" t="s">
        <v>4866</v>
      </c>
      <c r="H183" s="324" t="s">
        <v>4867</v>
      </c>
      <c r="I183" s="324" t="s">
        <v>4868</v>
      </c>
      <c r="J183" s="325" t="s">
        <v>4869</v>
      </c>
    </row>
    <row r="184" spans="1:10" ht="16" thickBot="1">
      <c r="A184" s="338"/>
      <c r="B184" s="321"/>
      <c r="C184" s="321"/>
      <c r="D184" s="324" t="s">
        <v>4870</v>
      </c>
      <c r="E184" s="393" t="s">
        <v>4871</v>
      </c>
      <c r="F184" s="345" t="s">
        <v>3862</v>
      </c>
      <c r="G184" s="398" t="s">
        <v>4872</v>
      </c>
      <c r="H184" s="324" t="s">
        <v>4873</v>
      </c>
      <c r="I184" s="324" t="s">
        <v>4874</v>
      </c>
      <c r="J184" s="325" t="s">
        <v>4875</v>
      </c>
    </row>
    <row r="185" spans="1:10" ht="16" thickBot="1">
      <c r="A185" s="338"/>
      <c r="B185" s="321"/>
      <c r="C185" s="321"/>
      <c r="D185" s="324" t="s">
        <v>4876</v>
      </c>
      <c r="E185" s="393" t="s">
        <v>4877</v>
      </c>
      <c r="F185" s="345" t="s">
        <v>3862</v>
      </c>
      <c r="G185" s="398" t="s">
        <v>4188</v>
      </c>
      <c r="H185" s="324" t="s">
        <v>4878</v>
      </c>
      <c r="I185" s="324" t="s">
        <v>4879</v>
      </c>
      <c r="J185" s="325" t="s">
        <v>4880</v>
      </c>
    </row>
    <row r="186" spans="1:10" ht="16" thickBot="1">
      <c r="A186" s="338"/>
      <c r="B186" s="321"/>
      <c r="C186" s="321"/>
      <c r="D186" s="324" t="s">
        <v>4881</v>
      </c>
      <c r="E186" s="393" t="s">
        <v>4882</v>
      </c>
      <c r="F186" s="345" t="s">
        <v>3862</v>
      </c>
      <c r="G186" s="398" t="s">
        <v>4841</v>
      </c>
      <c r="H186" s="324" t="s">
        <v>4883</v>
      </c>
      <c r="I186" s="324" t="s">
        <v>4884</v>
      </c>
      <c r="J186" s="325" t="s">
        <v>4885</v>
      </c>
    </row>
    <row r="187" spans="1:10" ht="16" thickBot="1">
      <c r="A187" s="338"/>
      <c r="B187" s="321"/>
      <c r="C187" s="321" t="s">
        <v>4886</v>
      </c>
      <c r="D187" s="324" t="s">
        <v>4887</v>
      </c>
      <c r="E187" s="394" t="s">
        <v>4888</v>
      </c>
      <c r="F187" s="403" t="s">
        <v>3862</v>
      </c>
      <c r="G187" s="399" t="s">
        <v>2013</v>
      </c>
      <c r="H187" s="326" t="s">
        <v>4889</v>
      </c>
      <c r="I187" s="326" t="s">
        <v>4890</v>
      </c>
      <c r="J187" s="327" t="s">
        <v>4891</v>
      </c>
    </row>
    <row r="188" spans="1:10" ht="16" thickBot="1">
      <c r="A188" s="338"/>
      <c r="B188" s="321"/>
      <c r="C188" s="321"/>
      <c r="D188" s="324" t="s">
        <v>4892</v>
      </c>
      <c r="E188" s="394" t="s">
        <v>4893</v>
      </c>
      <c r="F188" s="403" t="s">
        <v>3862</v>
      </c>
      <c r="G188" s="399" t="s">
        <v>4894</v>
      </c>
      <c r="H188" s="326" t="s">
        <v>4895</v>
      </c>
      <c r="I188" s="326" t="s">
        <v>4896</v>
      </c>
      <c r="J188" s="327" t="s">
        <v>4897</v>
      </c>
    </row>
    <row r="189" spans="1:10" ht="16" thickBot="1">
      <c r="A189" s="338"/>
      <c r="B189" s="321"/>
      <c r="C189" s="321"/>
      <c r="D189" s="324" t="s">
        <v>4898</v>
      </c>
      <c r="E189" s="394" t="s">
        <v>4899</v>
      </c>
      <c r="F189" s="403" t="s">
        <v>3862</v>
      </c>
      <c r="G189" s="399" t="s">
        <v>4900</v>
      </c>
      <c r="H189" s="326" t="s">
        <v>4901</v>
      </c>
      <c r="I189" s="326" t="s">
        <v>4902</v>
      </c>
      <c r="J189" s="327" t="s">
        <v>4903</v>
      </c>
    </row>
    <row r="190" spans="1:10" ht="16" thickBot="1">
      <c r="A190" s="338"/>
      <c r="B190" s="321"/>
      <c r="C190" s="321"/>
      <c r="D190" s="324" t="s">
        <v>4904</v>
      </c>
      <c r="E190" s="394" t="s">
        <v>4905</v>
      </c>
      <c r="F190" s="403" t="s">
        <v>3862</v>
      </c>
      <c r="G190" s="399" t="s">
        <v>4906</v>
      </c>
      <c r="H190" s="326" t="s">
        <v>4907</v>
      </c>
      <c r="I190" s="326" t="s">
        <v>4908</v>
      </c>
      <c r="J190" s="327" t="s">
        <v>4909</v>
      </c>
    </row>
    <row r="191" spans="1:10" ht="16" thickBot="1">
      <c r="A191" s="338"/>
      <c r="B191" s="321"/>
      <c r="C191" s="321"/>
      <c r="D191" s="324" t="s">
        <v>4910</v>
      </c>
      <c r="E191" s="394" t="s">
        <v>4911</v>
      </c>
      <c r="F191" s="403" t="s">
        <v>3862</v>
      </c>
      <c r="G191" s="399" t="s">
        <v>4912</v>
      </c>
      <c r="H191" s="326" t="s">
        <v>4913</v>
      </c>
      <c r="I191" s="326" t="s">
        <v>4914</v>
      </c>
      <c r="J191" s="327" t="s">
        <v>4915</v>
      </c>
    </row>
    <row r="192" spans="1:10" ht="16" thickBot="1">
      <c r="A192" s="338"/>
      <c r="B192" s="321"/>
      <c r="C192" s="321" t="s">
        <v>4916</v>
      </c>
      <c r="D192" s="326" t="s">
        <v>4917</v>
      </c>
      <c r="E192" s="394" t="s">
        <v>4918</v>
      </c>
      <c r="F192" s="403" t="s">
        <v>3862</v>
      </c>
      <c r="G192" s="399" t="s">
        <v>4919</v>
      </c>
      <c r="H192" s="326" t="s">
        <v>4920</v>
      </c>
      <c r="I192" s="326" t="s">
        <v>4921</v>
      </c>
      <c r="J192" s="327" t="s">
        <v>4922</v>
      </c>
    </row>
    <row r="193" spans="1:10" ht="16" thickBot="1">
      <c r="A193" s="338"/>
      <c r="B193" s="321"/>
      <c r="C193" s="321"/>
      <c r="D193" s="324" t="s">
        <v>4923</v>
      </c>
      <c r="E193" s="394" t="s">
        <v>4924</v>
      </c>
      <c r="F193" s="403" t="s">
        <v>3862</v>
      </c>
      <c r="G193" s="399" t="s">
        <v>4925</v>
      </c>
      <c r="H193" s="326" t="s">
        <v>4926</v>
      </c>
      <c r="I193" s="326" t="s">
        <v>4927</v>
      </c>
      <c r="J193" s="327" t="s">
        <v>4928</v>
      </c>
    </row>
    <row r="194" spans="1:10" ht="16" thickBot="1">
      <c r="A194" s="338"/>
      <c r="B194" s="321"/>
      <c r="C194" s="321"/>
      <c r="D194" s="324" t="s">
        <v>4929</v>
      </c>
      <c r="E194" s="394" t="s">
        <v>4930</v>
      </c>
      <c r="F194" s="403" t="s">
        <v>3862</v>
      </c>
      <c r="G194" s="399" t="s">
        <v>4931</v>
      </c>
      <c r="H194" s="326" t="s">
        <v>4932</v>
      </c>
      <c r="I194" s="326" t="s">
        <v>4933</v>
      </c>
      <c r="J194" s="327" t="s">
        <v>4934</v>
      </c>
    </row>
    <row r="195" spans="1:10" ht="16" thickBot="1">
      <c r="A195" s="338"/>
      <c r="B195" s="321"/>
      <c r="C195" s="321"/>
      <c r="D195" s="324" t="s">
        <v>4935</v>
      </c>
      <c r="E195" s="394" t="s">
        <v>4936</v>
      </c>
      <c r="F195" s="403" t="s">
        <v>3862</v>
      </c>
      <c r="G195" s="399" t="s">
        <v>2013</v>
      </c>
      <c r="H195" s="326" t="s">
        <v>4937</v>
      </c>
      <c r="I195" s="326" t="s">
        <v>4938</v>
      </c>
      <c r="J195" s="327" t="s">
        <v>4939</v>
      </c>
    </row>
    <row r="196" spans="1:10" ht="16" thickBot="1">
      <c r="A196" s="338"/>
      <c r="B196" s="321"/>
      <c r="C196" s="321"/>
      <c r="D196" s="324" t="s">
        <v>4940</v>
      </c>
      <c r="E196" s="394" t="s">
        <v>4941</v>
      </c>
      <c r="F196" s="403" t="s">
        <v>3862</v>
      </c>
      <c r="G196" s="399" t="s">
        <v>4942</v>
      </c>
      <c r="H196" s="326" t="s">
        <v>4943</v>
      </c>
      <c r="I196" s="326" t="s">
        <v>4944</v>
      </c>
      <c r="J196" s="327" t="s">
        <v>4945</v>
      </c>
    </row>
    <row r="197" spans="1:10" ht="16" thickBot="1">
      <c r="A197" s="338"/>
      <c r="B197" s="321"/>
      <c r="C197" s="321" t="s">
        <v>4946</v>
      </c>
      <c r="D197" s="324" t="s">
        <v>4947</v>
      </c>
      <c r="E197" s="394" t="s">
        <v>4948</v>
      </c>
      <c r="F197" s="403" t="s">
        <v>3862</v>
      </c>
      <c r="G197" s="399" t="s">
        <v>4949</v>
      </c>
      <c r="H197" s="326" t="s">
        <v>4443</v>
      </c>
      <c r="I197" s="326" t="s">
        <v>4950</v>
      </c>
      <c r="J197" s="327" t="s">
        <v>4951</v>
      </c>
    </row>
    <row r="198" spans="1:10" ht="16" thickBot="1">
      <c r="A198" s="338"/>
      <c r="B198" s="321"/>
      <c r="C198" s="321"/>
      <c r="D198" s="324" t="s">
        <v>4952</v>
      </c>
      <c r="E198" s="394" t="s">
        <v>4953</v>
      </c>
      <c r="F198" s="403" t="s">
        <v>3862</v>
      </c>
      <c r="G198" s="399" t="s">
        <v>2013</v>
      </c>
      <c r="H198" s="326" t="s">
        <v>4954</v>
      </c>
      <c r="I198" s="326" t="s">
        <v>4955</v>
      </c>
      <c r="J198" s="327" t="s">
        <v>4956</v>
      </c>
    </row>
    <row r="199" spans="1:10" ht="16" thickBot="1">
      <c r="A199" s="338"/>
      <c r="B199" s="321"/>
      <c r="C199" s="321"/>
      <c r="D199" s="324" t="s">
        <v>4957</v>
      </c>
      <c r="E199" s="394" t="s">
        <v>4958</v>
      </c>
      <c r="F199" s="403" t="s">
        <v>3862</v>
      </c>
      <c r="G199" s="399" t="s">
        <v>4959</v>
      </c>
      <c r="H199" s="326" t="s">
        <v>4960</v>
      </c>
      <c r="I199" s="326" t="s">
        <v>4961</v>
      </c>
      <c r="J199" s="327" t="s">
        <v>4962</v>
      </c>
    </row>
    <row r="200" spans="1:10" ht="16" thickBot="1">
      <c r="A200" s="338"/>
      <c r="B200" s="321"/>
      <c r="C200" s="321"/>
      <c r="D200" s="324" t="s">
        <v>4963</v>
      </c>
      <c r="E200" s="394" t="s">
        <v>4964</v>
      </c>
      <c r="F200" s="403" t="s">
        <v>3862</v>
      </c>
      <c r="G200" s="399" t="s">
        <v>4965</v>
      </c>
      <c r="H200" s="326" t="s">
        <v>4966</v>
      </c>
      <c r="I200" s="326" t="s">
        <v>4967</v>
      </c>
      <c r="J200" s="327" t="s">
        <v>4968</v>
      </c>
    </row>
    <row r="201" spans="1:10" ht="16" thickBot="1">
      <c r="A201" s="338"/>
      <c r="B201" s="321"/>
      <c r="C201" s="321"/>
      <c r="D201" s="324" t="s">
        <v>1772</v>
      </c>
      <c r="E201" s="394" t="s">
        <v>4969</v>
      </c>
      <c r="F201" s="403" t="s">
        <v>3862</v>
      </c>
      <c r="G201" s="399" t="s">
        <v>4970</v>
      </c>
      <c r="H201" s="326" t="s">
        <v>4971</v>
      </c>
      <c r="I201" s="326" t="s">
        <v>4972</v>
      </c>
      <c r="J201" s="327" t="s">
        <v>4973</v>
      </c>
    </row>
    <row r="202" spans="1:10" ht="16" thickBot="1">
      <c r="A202" s="338"/>
      <c r="B202" s="321"/>
      <c r="C202" s="321" t="s">
        <v>4974</v>
      </c>
      <c r="D202" s="324" t="s">
        <v>4975</v>
      </c>
      <c r="E202" s="394" t="s">
        <v>4976</v>
      </c>
      <c r="F202" s="403" t="s">
        <v>3862</v>
      </c>
      <c r="G202" s="399" t="s">
        <v>4977</v>
      </c>
      <c r="H202" s="326" t="s">
        <v>4978</v>
      </c>
      <c r="I202" s="326" t="s">
        <v>4979</v>
      </c>
      <c r="J202" s="327" t="s">
        <v>4980</v>
      </c>
    </row>
    <row r="203" spans="1:10" ht="16" thickBot="1">
      <c r="A203" s="338"/>
      <c r="B203" s="321"/>
      <c r="C203" s="321"/>
      <c r="D203" s="324" t="s">
        <v>4981</v>
      </c>
      <c r="E203" s="394" t="s">
        <v>4982</v>
      </c>
      <c r="F203" s="403" t="s">
        <v>3862</v>
      </c>
      <c r="G203" s="399" t="s">
        <v>4983</v>
      </c>
      <c r="H203" s="326" t="s">
        <v>4984</v>
      </c>
      <c r="I203" s="326" t="s">
        <v>4985</v>
      </c>
      <c r="J203" s="327" t="s">
        <v>4986</v>
      </c>
    </row>
    <row r="204" spans="1:10" ht="16" thickBot="1">
      <c r="A204" s="338"/>
      <c r="B204" s="321"/>
      <c r="C204" s="321"/>
      <c r="D204" s="324" t="s">
        <v>4987</v>
      </c>
      <c r="E204" s="394" t="s">
        <v>4988</v>
      </c>
      <c r="F204" s="403" t="s">
        <v>3862</v>
      </c>
      <c r="G204" s="399" t="s">
        <v>4989</v>
      </c>
      <c r="H204" s="326" t="s">
        <v>4990</v>
      </c>
      <c r="I204" s="326" t="s">
        <v>4991</v>
      </c>
      <c r="J204" s="327" t="s">
        <v>4992</v>
      </c>
    </row>
    <row r="205" spans="1:10" ht="16" thickBot="1">
      <c r="A205" s="338"/>
      <c r="B205" s="321"/>
      <c r="C205" s="321"/>
      <c r="D205" s="324" t="s">
        <v>4993</v>
      </c>
      <c r="E205" s="394" t="s">
        <v>4994</v>
      </c>
      <c r="F205" s="403" t="s">
        <v>3862</v>
      </c>
      <c r="G205" s="399" t="s">
        <v>4995</v>
      </c>
      <c r="H205" s="326" t="s">
        <v>4873</v>
      </c>
      <c r="I205" s="326" t="s">
        <v>4914</v>
      </c>
      <c r="J205" s="327" t="s">
        <v>4996</v>
      </c>
    </row>
    <row r="206" spans="1:10" ht="16" thickBot="1">
      <c r="A206" s="338"/>
      <c r="B206" s="321"/>
      <c r="C206" s="321"/>
      <c r="D206" s="324" t="s">
        <v>4997</v>
      </c>
      <c r="E206" s="394" t="s">
        <v>4998</v>
      </c>
      <c r="F206" s="403" t="s">
        <v>3862</v>
      </c>
      <c r="G206" s="399" t="s">
        <v>4999</v>
      </c>
      <c r="H206" s="326" t="s">
        <v>5000</v>
      </c>
      <c r="I206" s="326" t="s">
        <v>5001</v>
      </c>
      <c r="J206" s="327" t="s">
        <v>5002</v>
      </c>
    </row>
    <row r="207" spans="1:10" ht="16" thickBot="1">
      <c r="A207" s="338"/>
      <c r="B207" s="321" t="s">
        <v>5003</v>
      </c>
      <c r="C207" s="321" t="s">
        <v>5004</v>
      </c>
      <c r="D207" s="324" t="s">
        <v>5005</v>
      </c>
      <c r="E207" s="394" t="s">
        <v>5006</v>
      </c>
      <c r="F207" s="403" t="s">
        <v>3862</v>
      </c>
      <c r="G207" s="399" t="s">
        <v>5007</v>
      </c>
      <c r="H207" s="326" t="s">
        <v>5008</v>
      </c>
      <c r="I207" s="326" t="s">
        <v>5009</v>
      </c>
      <c r="J207" s="327" t="s">
        <v>5010</v>
      </c>
    </row>
    <row r="208" spans="1:10" ht="16" thickBot="1">
      <c r="A208" s="338"/>
      <c r="B208" s="321"/>
      <c r="C208" s="321"/>
      <c r="D208" s="324" t="s">
        <v>5011</v>
      </c>
      <c r="E208" s="394" t="s">
        <v>5012</v>
      </c>
      <c r="F208" s="403" t="s">
        <v>3862</v>
      </c>
      <c r="G208" s="399" t="s">
        <v>4111</v>
      </c>
      <c r="H208" s="326" t="s">
        <v>5013</v>
      </c>
      <c r="I208" s="326" t="s">
        <v>5014</v>
      </c>
      <c r="J208" s="327" t="s">
        <v>5015</v>
      </c>
    </row>
    <row r="209" spans="1:10" ht="16" thickBot="1">
      <c r="A209" s="338"/>
      <c r="B209" s="321"/>
      <c r="C209" s="321"/>
      <c r="D209" s="324" t="s">
        <v>5016</v>
      </c>
      <c r="E209" s="394" t="s">
        <v>5017</v>
      </c>
      <c r="F209" s="403" t="s">
        <v>3862</v>
      </c>
      <c r="G209" s="399" t="s">
        <v>5018</v>
      </c>
      <c r="H209" s="326" t="s">
        <v>5019</v>
      </c>
      <c r="I209" s="326" t="s">
        <v>5020</v>
      </c>
      <c r="J209" s="327" t="s">
        <v>5021</v>
      </c>
    </row>
    <row r="210" spans="1:10" ht="16" thickBot="1">
      <c r="A210" s="338"/>
      <c r="B210" s="321"/>
      <c r="C210" s="321"/>
      <c r="D210" s="324" t="s">
        <v>5022</v>
      </c>
      <c r="E210" s="394" t="s">
        <v>5023</v>
      </c>
      <c r="F210" s="403" t="s">
        <v>3862</v>
      </c>
      <c r="G210" s="399" t="s">
        <v>5024</v>
      </c>
      <c r="H210" s="326" t="s">
        <v>5025</v>
      </c>
      <c r="I210" s="326" t="s">
        <v>5026</v>
      </c>
      <c r="J210" s="327" t="s">
        <v>5027</v>
      </c>
    </row>
    <row r="211" spans="1:10" ht="16" thickBot="1">
      <c r="A211" s="338"/>
      <c r="B211" s="321"/>
      <c r="C211" s="321"/>
      <c r="D211" s="324" t="s">
        <v>5028</v>
      </c>
      <c r="E211" s="394" t="s">
        <v>5029</v>
      </c>
      <c r="F211" s="403" t="s">
        <v>3862</v>
      </c>
      <c r="G211" s="399" t="s">
        <v>5030</v>
      </c>
      <c r="H211" s="326" t="s">
        <v>5031</v>
      </c>
      <c r="I211" s="326" t="s">
        <v>5032</v>
      </c>
      <c r="J211" s="327" t="s">
        <v>5033</v>
      </c>
    </row>
    <row r="212" spans="1:10" ht="16" thickBot="1">
      <c r="A212" s="338"/>
      <c r="B212" s="321"/>
      <c r="C212" s="321" t="s">
        <v>5034</v>
      </c>
      <c r="D212" s="324" t="s">
        <v>5035</v>
      </c>
      <c r="E212" s="394" t="s">
        <v>5036</v>
      </c>
      <c r="F212" s="403" t="s">
        <v>3862</v>
      </c>
      <c r="G212" s="399" t="s">
        <v>5037</v>
      </c>
      <c r="H212" s="326" t="s">
        <v>5038</v>
      </c>
      <c r="I212" s="326" t="s">
        <v>4818</v>
      </c>
      <c r="J212" s="327" t="s">
        <v>5039</v>
      </c>
    </row>
    <row r="213" spans="1:10" ht="16" thickBot="1">
      <c r="A213" s="338"/>
      <c r="B213" s="321"/>
      <c r="C213" s="321"/>
      <c r="D213" s="324" t="s">
        <v>5040</v>
      </c>
      <c r="E213" s="394" t="s">
        <v>5041</v>
      </c>
      <c r="F213" s="403" t="s">
        <v>3862</v>
      </c>
      <c r="G213" s="399" t="s">
        <v>5042</v>
      </c>
      <c r="H213" s="326" t="s">
        <v>5043</v>
      </c>
      <c r="I213" s="326" t="s">
        <v>5044</v>
      </c>
      <c r="J213" s="327" t="s">
        <v>5045</v>
      </c>
    </row>
    <row r="214" spans="1:10" ht="16" thickBot="1">
      <c r="A214" s="338"/>
      <c r="B214" s="321"/>
      <c r="C214" s="321"/>
      <c r="D214" s="324" t="s">
        <v>5046</v>
      </c>
      <c r="E214" s="394" t="s">
        <v>5047</v>
      </c>
      <c r="F214" s="403" t="s">
        <v>3862</v>
      </c>
      <c r="G214" s="399" t="s">
        <v>5048</v>
      </c>
      <c r="H214" s="326" t="s">
        <v>5049</v>
      </c>
      <c r="I214" s="326" t="s">
        <v>5050</v>
      </c>
      <c r="J214" s="327" t="s">
        <v>5051</v>
      </c>
    </row>
    <row r="215" spans="1:10" ht="16" thickBot="1">
      <c r="A215" s="338"/>
      <c r="B215" s="321"/>
      <c r="C215" s="321"/>
      <c r="D215" s="324" t="s">
        <v>5052</v>
      </c>
      <c r="E215" s="394" t="s">
        <v>5053</v>
      </c>
      <c r="F215" s="403" t="s">
        <v>3862</v>
      </c>
      <c r="G215" s="399" t="s">
        <v>5054</v>
      </c>
      <c r="H215" s="326" t="s">
        <v>5055</v>
      </c>
      <c r="I215" s="326" t="s">
        <v>5056</v>
      </c>
      <c r="J215" s="327" t="s">
        <v>5057</v>
      </c>
    </row>
    <row r="216" spans="1:10" ht="16" thickBot="1">
      <c r="A216" s="338"/>
      <c r="B216" s="321"/>
      <c r="C216" s="321"/>
      <c r="D216" s="324" t="s">
        <v>5058</v>
      </c>
      <c r="E216" s="394" t="s">
        <v>5059</v>
      </c>
      <c r="F216" s="403" t="s">
        <v>3862</v>
      </c>
      <c r="G216" s="399" t="s">
        <v>5060</v>
      </c>
      <c r="H216" s="326" t="s">
        <v>5061</v>
      </c>
      <c r="I216" s="326" t="s">
        <v>5062</v>
      </c>
      <c r="J216" s="327" t="s">
        <v>5063</v>
      </c>
    </row>
    <row r="217" spans="1:10" ht="16" thickBot="1">
      <c r="A217" s="338"/>
      <c r="B217" s="321"/>
      <c r="C217" s="321" t="s">
        <v>5064</v>
      </c>
      <c r="D217" s="324" t="s">
        <v>5065</v>
      </c>
      <c r="E217" s="394" t="s">
        <v>5066</v>
      </c>
      <c r="F217" s="403" t="s">
        <v>3862</v>
      </c>
      <c r="G217" s="399" t="s">
        <v>5067</v>
      </c>
      <c r="H217" s="326" t="s">
        <v>5068</v>
      </c>
      <c r="I217" s="326" t="s">
        <v>5069</v>
      </c>
      <c r="J217" s="327" t="s">
        <v>5070</v>
      </c>
    </row>
    <row r="218" spans="1:10" ht="16" thickBot="1">
      <c r="A218" s="338"/>
      <c r="B218" s="321"/>
      <c r="C218" s="321"/>
      <c r="D218" s="324" t="s">
        <v>5071</v>
      </c>
      <c r="E218" s="394" t="s">
        <v>5072</v>
      </c>
      <c r="F218" s="403" t="s">
        <v>3862</v>
      </c>
      <c r="G218" s="399" t="s">
        <v>5048</v>
      </c>
      <c r="H218" s="326" t="s">
        <v>4831</v>
      </c>
      <c r="I218" s="326" t="s">
        <v>5073</v>
      </c>
      <c r="J218" s="327" t="s">
        <v>5074</v>
      </c>
    </row>
    <row r="219" spans="1:10" ht="16" thickBot="1">
      <c r="A219" s="338"/>
      <c r="B219" s="321"/>
      <c r="C219" s="321"/>
      <c r="D219" s="324" t="s">
        <v>5075</v>
      </c>
      <c r="E219" s="394" t="s">
        <v>5076</v>
      </c>
      <c r="F219" s="403" t="s">
        <v>3862</v>
      </c>
      <c r="G219" s="399" t="s">
        <v>5077</v>
      </c>
      <c r="H219" s="326" t="s">
        <v>5078</v>
      </c>
      <c r="I219" s="326" t="s">
        <v>5079</v>
      </c>
      <c r="J219" s="327" t="s">
        <v>5080</v>
      </c>
    </row>
    <row r="220" spans="1:10" ht="16" thickBot="1">
      <c r="A220" s="338"/>
      <c r="B220" s="321"/>
      <c r="C220" s="321"/>
      <c r="D220" s="324" t="s">
        <v>5081</v>
      </c>
      <c r="E220" s="394" t="s">
        <v>5082</v>
      </c>
      <c r="F220" s="403" t="s">
        <v>3862</v>
      </c>
      <c r="G220" s="399" t="s">
        <v>5083</v>
      </c>
      <c r="H220" s="326" t="s">
        <v>5084</v>
      </c>
      <c r="I220" s="326" t="s">
        <v>5085</v>
      </c>
      <c r="J220" s="327" t="s">
        <v>5086</v>
      </c>
    </row>
    <row r="221" spans="1:10" ht="16" thickBot="1">
      <c r="A221" s="338"/>
      <c r="B221" s="321"/>
      <c r="C221" s="321"/>
      <c r="D221" s="324" t="s">
        <v>2154</v>
      </c>
      <c r="E221" s="394" t="s">
        <v>5087</v>
      </c>
      <c r="F221" s="403" t="s">
        <v>3862</v>
      </c>
      <c r="G221" s="399" t="s">
        <v>5088</v>
      </c>
      <c r="H221" s="326" t="s">
        <v>4873</v>
      </c>
      <c r="I221" s="326" t="s">
        <v>5089</v>
      </c>
      <c r="J221" s="327" t="s">
        <v>5090</v>
      </c>
    </row>
    <row r="222" spans="1:10" ht="16" thickBot="1">
      <c r="A222" s="338"/>
      <c r="B222" s="321"/>
      <c r="C222" s="321" t="s">
        <v>5091</v>
      </c>
      <c r="D222" s="324" t="s">
        <v>5092</v>
      </c>
      <c r="E222" s="394" t="s">
        <v>5093</v>
      </c>
      <c r="F222" s="403" t="s">
        <v>3862</v>
      </c>
      <c r="G222" s="399" t="s">
        <v>5094</v>
      </c>
      <c r="H222" s="326" t="s">
        <v>5095</v>
      </c>
      <c r="I222" s="326" t="s">
        <v>5096</v>
      </c>
      <c r="J222" s="327" t="s">
        <v>5097</v>
      </c>
    </row>
    <row r="223" spans="1:10" ht="16" thickBot="1">
      <c r="A223" s="338"/>
      <c r="B223" s="321"/>
      <c r="C223" s="321"/>
      <c r="D223" s="324" t="s">
        <v>5098</v>
      </c>
      <c r="E223" s="394" t="s">
        <v>1899</v>
      </c>
      <c r="F223" s="403" t="s">
        <v>3862</v>
      </c>
      <c r="G223" s="399" t="s">
        <v>5099</v>
      </c>
      <c r="H223" s="326" t="s">
        <v>5100</v>
      </c>
      <c r="I223" s="326" t="s">
        <v>5101</v>
      </c>
      <c r="J223" s="327" t="s">
        <v>5102</v>
      </c>
    </row>
    <row r="224" spans="1:10" ht="16" thickBot="1">
      <c r="A224" s="338"/>
      <c r="B224" s="321"/>
      <c r="C224" s="321"/>
      <c r="D224" s="324" t="s">
        <v>5103</v>
      </c>
      <c r="E224" s="394" t="s">
        <v>5104</v>
      </c>
      <c r="F224" s="403" t="s">
        <v>3862</v>
      </c>
      <c r="G224" s="399" t="s">
        <v>5105</v>
      </c>
      <c r="H224" s="326" t="s">
        <v>5106</v>
      </c>
      <c r="I224" s="326" t="s">
        <v>5107</v>
      </c>
      <c r="J224" s="327" t="s">
        <v>5108</v>
      </c>
    </row>
    <row r="225" spans="1:10" ht="16" thickBot="1">
      <c r="A225" s="338"/>
      <c r="B225" s="321"/>
      <c r="C225" s="321"/>
      <c r="D225" s="324" t="s">
        <v>5109</v>
      </c>
      <c r="E225" s="394" t="s">
        <v>5110</v>
      </c>
      <c r="F225" s="403" t="s">
        <v>3862</v>
      </c>
      <c r="G225" s="399" t="s">
        <v>5111</v>
      </c>
      <c r="H225" s="326" t="s">
        <v>5112</v>
      </c>
      <c r="I225" s="326" t="s">
        <v>5113</v>
      </c>
      <c r="J225" s="327" t="s">
        <v>5114</v>
      </c>
    </row>
    <row r="226" spans="1:10" ht="16" thickBot="1">
      <c r="A226" s="338"/>
      <c r="B226" s="321"/>
      <c r="C226" s="321"/>
      <c r="D226" s="324" t="s">
        <v>5115</v>
      </c>
      <c r="E226" s="394" t="s">
        <v>5116</v>
      </c>
      <c r="F226" s="403" t="s">
        <v>3862</v>
      </c>
      <c r="G226" s="399" t="s">
        <v>5117</v>
      </c>
      <c r="H226" s="326" t="s">
        <v>5118</v>
      </c>
      <c r="I226" s="326" t="s">
        <v>5119</v>
      </c>
      <c r="J226" s="327" t="s">
        <v>5120</v>
      </c>
    </row>
    <row r="227" spans="1:10" ht="16" thickBot="1">
      <c r="A227" s="338"/>
      <c r="B227" s="321"/>
      <c r="C227" s="321" t="s">
        <v>5121</v>
      </c>
      <c r="D227" s="324" t="s">
        <v>5122</v>
      </c>
      <c r="E227" s="394" t="s">
        <v>5123</v>
      </c>
      <c r="F227" s="403" t="s">
        <v>3862</v>
      </c>
      <c r="G227" s="399" t="s">
        <v>5124</v>
      </c>
      <c r="H227" s="326" t="s">
        <v>5125</v>
      </c>
      <c r="I227" s="326" t="s">
        <v>5126</v>
      </c>
      <c r="J227" s="327" t="s">
        <v>5127</v>
      </c>
    </row>
    <row r="228" spans="1:10" ht="16" thickBot="1">
      <c r="A228" s="338"/>
      <c r="B228" s="321"/>
      <c r="C228" s="321"/>
      <c r="D228" s="324" t="s">
        <v>5128</v>
      </c>
      <c r="E228" s="394" t="s">
        <v>5129</v>
      </c>
      <c r="F228" s="403" t="s">
        <v>3862</v>
      </c>
      <c r="G228" s="399" t="s">
        <v>5130</v>
      </c>
      <c r="H228" s="326" t="s">
        <v>5131</v>
      </c>
      <c r="I228" s="326" t="s">
        <v>5132</v>
      </c>
      <c r="J228" s="327" t="s">
        <v>5133</v>
      </c>
    </row>
    <row r="229" spans="1:10" ht="16" thickBot="1">
      <c r="A229" s="338"/>
      <c r="B229" s="321"/>
      <c r="C229" s="321"/>
      <c r="D229" s="324" t="s">
        <v>5134</v>
      </c>
      <c r="E229" s="394" t="s">
        <v>5135</v>
      </c>
      <c r="F229" s="403" t="s">
        <v>3862</v>
      </c>
      <c r="G229" s="399" t="s">
        <v>5136</v>
      </c>
      <c r="H229" s="326" t="s">
        <v>5137</v>
      </c>
      <c r="I229" s="326" t="s">
        <v>5138</v>
      </c>
      <c r="J229" s="327" t="s">
        <v>5139</v>
      </c>
    </row>
    <row r="230" spans="1:10" ht="16" thickBot="1">
      <c r="A230" s="338"/>
      <c r="B230" s="321"/>
      <c r="C230" s="321"/>
      <c r="D230" s="324" t="s">
        <v>4584</v>
      </c>
      <c r="E230" s="394" t="s">
        <v>5140</v>
      </c>
      <c r="F230" s="403" t="s">
        <v>3862</v>
      </c>
      <c r="G230" s="399" t="s">
        <v>4925</v>
      </c>
      <c r="H230" s="326" t="s">
        <v>5141</v>
      </c>
      <c r="I230" s="326" t="s">
        <v>5142</v>
      </c>
      <c r="J230" s="327" t="s">
        <v>5143</v>
      </c>
    </row>
    <row r="231" spans="1:10" ht="16" thickBot="1">
      <c r="A231" s="338"/>
      <c r="B231" s="321"/>
      <c r="C231" s="321"/>
      <c r="D231" s="324" t="s">
        <v>5144</v>
      </c>
      <c r="E231" s="394" t="s">
        <v>5145</v>
      </c>
      <c r="F231" s="403" t="s">
        <v>3862</v>
      </c>
      <c r="G231" s="399" t="s">
        <v>5146</v>
      </c>
      <c r="H231" s="326" t="s">
        <v>5147</v>
      </c>
      <c r="I231" s="326" t="s">
        <v>5148</v>
      </c>
      <c r="J231" s="327" t="s">
        <v>5149</v>
      </c>
    </row>
    <row r="232" spans="1:10" ht="16" thickBot="1">
      <c r="A232" s="338"/>
      <c r="B232" s="321"/>
      <c r="C232" s="321" t="s">
        <v>5150</v>
      </c>
      <c r="D232" s="324" t="s">
        <v>5151</v>
      </c>
      <c r="E232" s="393" t="s">
        <v>5152</v>
      </c>
      <c r="F232" s="345" t="s">
        <v>3862</v>
      </c>
      <c r="G232" s="398" t="s">
        <v>5153</v>
      </c>
      <c r="H232" s="324" t="s">
        <v>5154</v>
      </c>
      <c r="I232" s="324" t="s">
        <v>5155</v>
      </c>
      <c r="J232" s="325" t="s">
        <v>5156</v>
      </c>
    </row>
    <row r="233" spans="1:10" ht="16" thickBot="1">
      <c r="A233" s="338"/>
      <c r="B233" s="321"/>
      <c r="C233" s="321"/>
      <c r="D233" s="324" t="s">
        <v>4815</v>
      </c>
      <c r="E233" s="393" t="s">
        <v>5157</v>
      </c>
      <c r="F233" s="345" t="s">
        <v>3862</v>
      </c>
      <c r="G233" s="398" t="s">
        <v>5158</v>
      </c>
      <c r="H233" s="324" t="s">
        <v>5159</v>
      </c>
      <c r="I233" s="324" t="s">
        <v>5160</v>
      </c>
      <c r="J233" s="325" t="s">
        <v>5161</v>
      </c>
    </row>
    <row r="234" spans="1:10" ht="16" thickBot="1">
      <c r="A234" s="338"/>
      <c r="B234" s="321"/>
      <c r="C234" s="321"/>
      <c r="D234" s="324" t="s">
        <v>5162</v>
      </c>
      <c r="E234" s="393" t="s">
        <v>5163</v>
      </c>
      <c r="F234" s="345" t="s">
        <v>3862</v>
      </c>
      <c r="G234" s="398" t="s">
        <v>5164</v>
      </c>
      <c r="H234" s="324" t="s">
        <v>5165</v>
      </c>
      <c r="I234" s="324" t="s">
        <v>4297</v>
      </c>
      <c r="J234" s="325" t="s">
        <v>5166</v>
      </c>
    </row>
    <row r="235" spans="1:10" ht="16" thickBot="1">
      <c r="A235" s="338"/>
      <c r="B235" s="321"/>
      <c r="C235" s="321"/>
      <c r="D235" s="324" t="s">
        <v>5167</v>
      </c>
      <c r="E235" s="393" t="s">
        <v>5168</v>
      </c>
      <c r="F235" s="345" t="s">
        <v>3862</v>
      </c>
      <c r="G235" s="398" t="s">
        <v>5130</v>
      </c>
      <c r="H235" s="324" t="s">
        <v>5169</v>
      </c>
      <c r="I235" s="324" t="s">
        <v>5170</v>
      </c>
      <c r="J235" s="325" t="s">
        <v>5171</v>
      </c>
    </row>
    <row r="236" spans="1:10" ht="16" thickBot="1">
      <c r="A236" s="338"/>
      <c r="B236" s="321"/>
      <c r="C236" s="321"/>
      <c r="D236" s="324" t="s">
        <v>5172</v>
      </c>
      <c r="E236" s="393" t="s">
        <v>5173</v>
      </c>
      <c r="F236" s="345" t="s">
        <v>3862</v>
      </c>
      <c r="G236" s="398" t="s">
        <v>5174</v>
      </c>
      <c r="H236" s="324" t="s">
        <v>5175</v>
      </c>
      <c r="I236" s="324" t="s">
        <v>5176</v>
      </c>
      <c r="J236" s="325" t="s">
        <v>5177</v>
      </c>
    </row>
    <row r="237" spans="1:10" ht="16" thickBot="1">
      <c r="A237" s="338"/>
      <c r="B237" s="321"/>
      <c r="C237" s="321" t="s">
        <v>5178</v>
      </c>
      <c r="D237" s="333"/>
      <c r="E237" s="406"/>
      <c r="F237" s="410" t="s">
        <v>23</v>
      </c>
      <c r="G237" s="408"/>
      <c r="H237" s="333"/>
      <c r="I237" s="333"/>
      <c r="J237" s="334"/>
    </row>
    <row r="238" spans="1:10" ht="16" thickBot="1">
      <c r="A238" s="338"/>
      <c r="B238" s="321"/>
      <c r="C238" s="321"/>
      <c r="D238" s="333"/>
      <c r="E238" s="406"/>
      <c r="F238" s="410" t="s">
        <v>23</v>
      </c>
      <c r="G238" s="408"/>
      <c r="H238" s="333"/>
      <c r="I238" s="333"/>
      <c r="J238" s="334"/>
    </row>
    <row r="239" spans="1:10" ht="16" thickBot="1">
      <c r="A239" s="338"/>
      <c r="B239" s="321"/>
      <c r="C239" s="321"/>
      <c r="D239" s="333"/>
      <c r="E239" s="406"/>
      <c r="F239" s="410" t="s">
        <v>58</v>
      </c>
      <c r="G239" s="408"/>
      <c r="H239" s="333"/>
      <c r="I239" s="333"/>
      <c r="J239" s="334"/>
    </row>
    <row r="240" spans="1:10" ht="16" thickBot="1">
      <c r="A240" s="338"/>
      <c r="B240" s="321"/>
      <c r="C240" s="321"/>
      <c r="D240" s="333"/>
      <c r="E240" s="406"/>
      <c r="F240" s="410" t="s">
        <v>23</v>
      </c>
      <c r="G240" s="408"/>
      <c r="H240" s="333"/>
      <c r="I240" s="333"/>
      <c r="J240" s="334"/>
    </row>
    <row r="241" spans="1:10" ht="16" thickBot="1">
      <c r="A241" s="338"/>
      <c r="B241" s="321"/>
      <c r="C241" s="321"/>
      <c r="D241" s="333"/>
      <c r="E241" s="406"/>
      <c r="F241" s="410" t="s">
        <v>58</v>
      </c>
      <c r="G241" s="408"/>
      <c r="H241" s="333"/>
      <c r="I241" s="333"/>
      <c r="J241" s="334"/>
    </row>
    <row r="242" spans="1:10" ht="16" thickBot="1">
      <c r="A242" s="338"/>
      <c r="B242" s="321"/>
      <c r="C242" s="321" t="s">
        <v>5179</v>
      </c>
      <c r="D242" s="333"/>
      <c r="E242" s="406"/>
      <c r="F242" s="410" t="s">
        <v>58</v>
      </c>
      <c r="G242" s="408"/>
      <c r="H242" s="333"/>
      <c r="I242" s="333"/>
      <c r="J242" s="334"/>
    </row>
    <row r="243" spans="1:10" ht="16" thickBot="1">
      <c r="A243" s="338"/>
      <c r="B243" s="321"/>
      <c r="C243" s="321"/>
      <c r="D243" s="333"/>
      <c r="E243" s="406"/>
      <c r="F243" s="410" t="s">
        <v>58</v>
      </c>
      <c r="G243" s="408"/>
      <c r="H243" s="333"/>
      <c r="I243" s="333"/>
      <c r="J243" s="334"/>
    </row>
    <row r="244" spans="1:10" ht="16" thickBot="1">
      <c r="A244" s="338"/>
      <c r="B244" s="321"/>
      <c r="C244" s="321"/>
      <c r="D244" s="333"/>
      <c r="E244" s="406"/>
      <c r="F244" s="410" t="s">
        <v>23</v>
      </c>
      <c r="G244" s="408"/>
      <c r="H244" s="333"/>
      <c r="I244" s="333"/>
      <c r="J244" s="334"/>
    </row>
    <row r="245" spans="1:10" ht="16" thickBot="1">
      <c r="A245" s="338"/>
      <c r="B245" s="321"/>
      <c r="C245" s="321"/>
      <c r="D245" s="333"/>
      <c r="E245" s="406"/>
      <c r="F245" s="410" t="s">
        <v>3862</v>
      </c>
      <c r="G245" s="408"/>
      <c r="H245" s="333"/>
      <c r="I245" s="333"/>
      <c r="J245" s="334"/>
    </row>
    <row r="246" spans="1:10" ht="16" thickBot="1">
      <c r="A246" s="338"/>
      <c r="B246" s="321"/>
      <c r="C246" s="321"/>
      <c r="D246" s="333"/>
      <c r="E246" s="406"/>
      <c r="F246" s="410" t="s">
        <v>3862</v>
      </c>
      <c r="G246" s="408"/>
      <c r="H246" s="333"/>
      <c r="I246" s="333"/>
      <c r="J246" s="334"/>
    </row>
    <row r="247" spans="1:10" ht="16" thickBot="1">
      <c r="A247" s="338"/>
      <c r="B247" s="321"/>
      <c r="C247" s="321" t="s">
        <v>5180</v>
      </c>
      <c r="D247" s="333"/>
      <c r="E247" s="406"/>
      <c r="F247" s="410" t="s">
        <v>3862</v>
      </c>
      <c r="G247" s="408"/>
      <c r="H247" s="333"/>
      <c r="I247" s="333"/>
      <c r="J247" s="334"/>
    </row>
    <row r="248" spans="1:10" ht="16" thickBot="1">
      <c r="A248" s="338"/>
      <c r="B248" s="321"/>
      <c r="C248" s="321"/>
      <c r="D248" s="333"/>
      <c r="E248" s="406"/>
      <c r="F248" s="410" t="s">
        <v>3862</v>
      </c>
      <c r="G248" s="408"/>
      <c r="H248" s="333"/>
      <c r="I248" s="333"/>
      <c r="J248" s="334"/>
    </row>
    <row r="249" spans="1:10" ht="16" thickBot="1">
      <c r="A249" s="338"/>
      <c r="B249" s="321"/>
      <c r="C249" s="321"/>
      <c r="D249" s="333"/>
      <c r="E249" s="406"/>
      <c r="F249" s="410" t="s">
        <v>3862</v>
      </c>
      <c r="G249" s="408"/>
      <c r="H249" s="333"/>
      <c r="I249" s="333"/>
      <c r="J249" s="334"/>
    </row>
    <row r="250" spans="1:10" ht="16" thickBot="1">
      <c r="A250" s="338"/>
      <c r="B250" s="321"/>
      <c r="C250" s="321"/>
      <c r="D250" s="333"/>
      <c r="E250" s="406"/>
      <c r="F250" s="410" t="s">
        <v>3862</v>
      </c>
      <c r="G250" s="408"/>
      <c r="H250" s="333"/>
      <c r="I250" s="333"/>
      <c r="J250" s="334"/>
    </row>
    <row r="251" spans="1:10" ht="16" thickBot="1">
      <c r="A251" s="338"/>
      <c r="B251" s="321"/>
      <c r="C251" s="321"/>
      <c r="D251" s="333"/>
      <c r="E251" s="406"/>
      <c r="F251" s="410" t="s">
        <v>3862</v>
      </c>
      <c r="G251" s="408"/>
      <c r="H251" s="333"/>
      <c r="I251" s="333"/>
      <c r="J251" s="334"/>
    </row>
    <row r="252" spans="1:10" ht="16" thickBot="1">
      <c r="A252" s="338"/>
      <c r="B252" s="321" t="s">
        <v>5181</v>
      </c>
      <c r="C252" s="321" t="s">
        <v>5182</v>
      </c>
      <c r="D252" s="324" t="s">
        <v>5183</v>
      </c>
      <c r="E252" s="394" t="s">
        <v>5184</v>
      </c>
      <c r="F252" s="403" t="s">
        <v>3862</v>
      </c>
      <c r="G252" s="399" t="s">
        <v>5185</v>
      </c>
      <c r="H252" s="326" t="s">
        <v>5186</v>
      </c>
      <c r="I252" s="326" t="s">
        <v>5187</v>
      </c>
      <c r="J252" s="327" t="s">
        <v>5188</v>
      </c>
    </row>
    <row r="253" spans="1:10" ht="16" thickBot="1">
      <c r="A253" s="338"/>
      <c r="B253" s="321"/>
      <c r="C253" s="321"/>
      <c r="D253" s="324" t="s">
        <v>5189</v>
      </c>
      <c r="E253" s="394" t="s">
        <v>5190</v>
      </c>
      <c r="F253" s="403" t="s">
        <v>3862</v>
      </c>
      <c r="G253" s="399" t="s">
        <v>5191</v>
      </c>
      <c r="H253" s="326" t="s">
        <v>5192</v>
      </c>
      <c r="I253" s="326" t="s">
        <v>5193</v>
      </c>
      <c r="J253" s="327" t="s">
        <v>4364</v>
      </c>
    </row>
    <row r="254" spans="1:10" ht="16" thickBot="1">
      <c r="A254" s="338"/>
      <c r="B254" s="321"/>
      <c r="C254" s="321"/>
      <c r="D254" s="324" t="s">
        <v>4427</v>
      </c>
      <c r="E254" s="394" t="s">
        <v>5194</v>
      </c>
      <c r="F254" s="403" t="s">
        <v>3862</v>
      </c>
      <c r="G254" s="399" t="s">
        <v>5195</v>
      </c>
      <c r="H254" s="326" t="s">
        <v>5196</v>
      </c>
      <c r="I254" s="326" t="s">
        <v>5197</v>
      </c>
      <c r="J254" s="327" t="s">
        <v>5198</v>
      </c>
    </row>
    <row r="255" spans="1:10" ht="16" thickBot="1">
      <c r="A255" s="338"/>
      <c r="B255" s="321"/>
      <c r="C255" s="321"/>
      <c r="D255" s="324" t="s">
        <v>5199</v>
      </c>
      <c r="E255" s="394" t="s">
        <v>5200</v>
      </c>
      <c r="F255" s="403" t="s">
        <v>3862</v>
      </c>
      <c r="G255" s="399" t="s">
        <v>5201</v>
      </c>
      <c r="H255" s="326" t="s">
        <v>5202</v>
      </c>
      <c r="I255" s="326" t="s">
        <v>5203</v>
      </c>
      <c r="J255" s="327" t="s">
        <v>5204</v>
      </c>
    </row>
    <row r="256" spans="1:10" ht="16" thickBot="1">
      <c r="A256" s="338"/>
      <c r="B256" s="321"/>
      <c r="C256" s="321"/>
      <c r="D256" s="324" t="s">
        <v>2154</v>
      </c>
      <c r="E256" s="394" t="s">
        <v>5205</v>
      </c>
      <c r="F256" s="403" t="s">
        <v>3862</v>
      </c>
      <c r="G256" s="399" t="s">
        <v>5206</v>
      </c>
      <c r="H256" s="326" t="s">
        <v>4873</v>
      </c>
      <c r="I256" s="326" t="s">
        <v>5207</v>
      </c>
      <c r="J256" s="327" t="s">
        <v>5208</v>
      </c>
    </row>
    <row r="257" spans="1:10" ht="16" thickBot="1">
      <c r="A257" s="338"/>
      <c r="B257" s="321"/>
      <c r="C257" s="321" t="s">
        <v>5209</v>
      </c>
      <c r="D257" s="324" t="s">
        <v>5210</v>
      </c>
      <c r="E257" s="394" t="s">
        <v>5211</v>
      </c>
      <c r="F257" s="403" t="s">
        <v>3862</v>
      </c>
      <c r="G257" s="399" t="s">
        <v>5212</v>
      </c>
      <c r="H257" s="326" t="s">
        <v>5213</v>
      </c>
      <c r="I257" s="326" t="s">
        <v>5214</v>
      </c>
      <c r="J257" s="327" t="s">
        <v>5215</v>
      </c>
    </row>
    <row r="258" spans="1:10" ht="16" thickBot="1">
      <c r="A258" s="338"/>
      <c r="B258" s="321"/>
      <c r="C258" s="321"/>
      <c r="D258" s="324" t="s">
        <v>5216</v>
      </c>
      <c r="E258" s="394" t="s">
        <v>5217</v>
      </c>
      <c r="F258" s="403" t="s">
        <v>3862</v>
      </c>
      <c r="G258" s="399" t="s">
        <v>5218</v>
      </c>
      <c r="H258" s="326" t="s">
        <v>5219</v>
      </c>
      <c r="I258" s="326" t="s">
        <v>5220</v>
      </c>
      <c r="J258" s="327" t="s">
        <v>5221</v>
      </c>
    </row>
    <row r="259" spans="1:10" ht="16" thickBot="1">
      <c r="A259" s="338"/>
      <c r="B259" s="321"/>
      <c r="C259" s="321"/>
      <c r="D259" s="324" t="s">
        <v>5222</v>
      </c>
      <c r="E259" s="394" t="s">
        <v>5223</v>
      </c>
      <c r="F259" s="403" t="s">
        <v>3862</v>
      </c>
      <c r="G259" s="399" t="s">
        <v>5224</v>
      </c>
      <c r="H259" s="326" t="s">
        <v>5225</v>
      </c>
      <c r="I259" s="326" t="s">
        <v>5226</v>
      </c>
      <c r="J259" s="327" t="s">
        <v>5227</v>
      </c>
    </row>
    <row r="260" spans="1:10" ht="16" thickBot="1">
      <c r="A260" s="338"/>
      <c r="B260" s="321"/>
      <c r="C260" s="321"/>
      <c r="D260" s="324" t="s">
        <v>5228</v>
      </c>
      <c r="E260" s="394" t="s">
        <v>5229</v>
      </c>
      <c r="F260" s="403" t="s">
        <v>3862</v>
      </c>
      <c r="G260" s="399" t="s">
        <v>5230</v>
      </c>
      <c r="H260" s="326" t="s">
        <v>5231</v>
      </c>
      <c r="I260" s="326" t="s">
        <v>5232</v>
      </c>
      <c r="J260" s="327" t="s">
        <v>5233</v>
      </c>
    </row>
    <row r="261" spans="1:10" ht="16" thickBot="1">
      <c r="A261" s="338"/>
      <c r="B261" s="321"/>
      <c r="C261" s="321"/>
      <c r="D261" s="324" t="s">
        <v>5234</v>
      </c>
      <c r="E261" s="394" t="s">
        <v>5235</v>
      </c>
      <c r="F261" s="403" t="s">
        <v>3862</v>
      </c>
      <c r="G261" s="399" t="s">
        <v>5236</v>
      </c>
      <c r="H261" s="326" t="s">
        <v>5237</v>
      </c>
      <c r="I261" s="326" t="s">
        <v>5238</v>
      </c>
      <c r="J261" s="327" t="s">
        <v>5239</v>
      </c>
    </row>
    <row r="262" spans="1:10" ht="16" thickBot="1">
      <c r="A262" s="338"/>
      <c r="B262" s="321"/>
      <c r="C262" s="321" t="s">
        <v>5240</v>
      </c>
      <c r="D262" s="324" t="s">
        <v>5241</v>
      </c>
      <c r="E262" s="394" t="s">
        <v>5242</v>
      </c>
      <c r="F262" s="403" t="s">
        <v>3862</v>
      </c>
      <c r="G262" s="399" t="s">
        <v>4111</v>
      </c>
      <c r="H262" s="326" t="s">
        <v>5243</v>
      </c>
      <c r="I262" s="326" t="s">
        <v>4818</v>
      </c>
      <c r="J262" s="327" t="s">
        <v>5244</v>
      </c>
    </row>
    <row r="263" spans="1:10" ht="16" thickBot="1">
      <c r="A263" s="338"/>
      <c r="B263" s="321"/>
      <c r="C263" s="321"/>
      <c r="D263" s="324" t="s">
        <v>5245</v>
      </c>
      <c r="E263" s="394" t="s">
        <v>5246</v>
      </c>
      <c r="F263" s="403" t="s">
        <v>3862</v>
      </c>
      <c r="G263" s="399" t="s">
        <v>5247</v>
      </c>
      <c r="H263" s="326" t="s">
        <v>5248</v>
      </c>
      <c r="I263" s="326" t="s">
        <v>5249</v>
      </c>
      <c r="J263" s="327" t="s">
        <v>5250</v>
      </c>
    </row>
    <row r="264" spans="1:10" ht="16" thickBot="1">
      <c r="A264" s="338"/>
      <c r="B264" s="321"/>
      <c r="C264" s="321"/>
      <c r="D264" s="324" t="s">
        <v>5251</v>
      </c>
      <c r="E264" s="394" t="s">
        <v>5082</v>
      </c>
      <c r="F264" s="403" t="s">
        <v>3862</v>
      </c>
      <c r="G264" s="399" t="s">
        <v>5252</v>
      </c>
      <c r="H264" s="326" t="s">
        <v>5253</v>
      </c>
      <c r="I264" s="326" t="s">
        <v>5254</v>
      </c>
      <c r="J264" s="327" t="s">
        <v>5255</v>
      </c>
    </row>
    <row r="265" spans="1:10" ht="16" thickBot="1">
      <c r="A265" s="338"/>
      <c r="B265" s="321"/>
      <c r="C265" s="321"/>
      <c r="D265" s="324" t="s">
        <v>5256</v>
      </c>
      <c r="E265" s="394" t="s">
        <v>5257</v>
      </c>
      <c r="F265" s="403" t="s">
        <v>3862</v>
      </c>
      <c r="G265" s="399" t="s">
        <v>5258</v>
      </c>
      <c r="H265" s="326" t="s">
        <v>5259</v>
      </c>
      <c r="I265" s="326" t="s">
        <v>5260</v>
      </c>
      <c r="J265" s="327" t="s">
        <v>5261</v>
      </c>
    </row>
    <row r="266" spans="1:10" ht="16" thickBot="1">
      <c r="A266" s="338"/>
      <c r="B266" s="321"/>
      <c r="C266" s="321"/>
      <c r="D266" s="324" t="s">
        <v>5262</v>
      </c>
      <c r="E266" s="394" t="s">
        <v>5263</v>
      </c>
      <c r="F266" s="403" t="s">
        <v>3862</v>
      </c>
      <c r="G266" s="399" t="s">
        <v>5264</v>
      </c>
      <c r="H266" s="326" t="s">
        <v>5084</v>
      </c>
      <c r="I266" s="326" t="s">
        <v>5265</v>
      </c>
      <c r="J266" s="327" t="s">
        <v>5266</v>
      </c>
    </row>
    <row r="267" spans="1:10" ht="16" thickBot="1">
      <c r="A267" s="338"/>
      <c r="B267" s="321"/>
      <c r="C267" s="321" t="s">
        <v>5267</v>
      </c>
      <c r="D267" s="324" t="s">
        <v>5268</v>
      </c>
      <c r="E267" s="394" t="s">
        <v>5269</v>
      </c>
      <c r="F267" s="403" t="s">
        <v>3862</v>
      </c>
      <c r="G267" s="399" t="s">
        <v>5270</v>
      </c>
      <c r="H267" s="326" t="s">
        <v>4818</v>
      </c>
      <c r="I267" s="326" t="s">
        <v>5271</v>
      </c>
      <c r="J267" s="327" t="s">
        <v>5272</v>
      </c>
    </row>
    <row r="268" spans="1:10" ht="16" thickBot="1">
      <c r="A268" s="338"/>
      <c r="B268" s="321"/>
      <c r="C268" s="321"/>
      <c r="D268" s="324" t="s">
        <v>5273</v>
      </c>
      <c r="E268" s="394" t="s">
        <v>5274</v>
      </c>
      <c r="F268" s="403" t="s">
        <v>3862</v>
      </c>
      <c r="G268" s="399" t="s">
        <v>5275</v>
      </c>
      <c r="H268" s="326" t="s">
        <v>4356</v>
      </c>
      <c r="I268" s="326" t="s">
        <v>5276</v>
      </c>
      <c r="J268" s="327" t="s">
        <v>5277</v>
      </c>
    </row>
    <row r="269" spans="1:10" ht="16" thickBot="1">
      <c r="A269" s="338"/>
      <c r="B269" s="321"/>
      <c r="C269" s="321"/>
      <c r="D269" s="324" t="s">
        <v>5278</v>
      </c>
      <c r="E269" s="394" t="s">
        <v>5279</v>
      </c>
      <c r="F269" s="403" t="s">
        <v>3862</v>
      </c>
      <c r="G269" s="399" t="s">
        <v>5280</v>
      </c>
      <c r="H269" s="326" t="s">
        <v>5281</v>
      </c>
      <c r="I269" s="326" t="s">
        <v>5282</v>
      </c>
      <c r="J269" s="327" t="s">
        <v>5283</v>
      </c>
    </row>
    <row r="270" spans="1:10" ht="16" thickBot="1">
      <c r="A270" s="338"/>
      <c r="B270" s="321"/>
      <c r="C270" s="321"/>
      <c r="D270" s="324" t="s">
        <v>5016</v>
      </c>
      <c r="E270" s="394" t="s">
        <v>4366</v>
      </c>
      <c r="F270" s="403" t="s">
        <v>3862</v>
      </c>
      <c r="G270" s="399" t="s">
        <v>5284</v>
      </c>
      <c r="H270" s="326" t="s">
        <v>4189</v>
      </c>
      <c r="I270" s="326" t="s">
        <v>5285</v>
      </c>
      <c r="J270" s="327" t="s">
        <v>5286</v>
      </c>
    </row>
    <row r="271" spans="1:10" ht="16" thickBot="1">
      <c r="A271" s="338"/>
      <c r="B271" s="321"/>
      <c r="C271" s="321"/>
      <c r="D271" s="324" t="s">
        <v>5287</v>
      </c>
      <c r="E271" s="394" t="s">
        <v>5288</v>
      </c>
      <c r="F271" s="403" t="s">
        <v>3862</v>
      </c>
      <c r="G271" s="399" t="s">
        <v>5289</v>
      </c>
      <c r="H271" s="326" t="s">
        <v>5290</v>
      </c>
      <c r="I271" s="326" t="s">
        <v>5291</v>
      </c>
      <c r="J271" s="327" t="s">
        <v>5292</v>
      </c>
    </row>
    <row r="272" spans="1:10" ht="16" thickBot="1">
      <c r="A272" s="338"/>
      <c r="B272" s="321"/>
      <c r="C272" s="321" t="s">
        <v>5293</v>
      </c>
      <c r="D272" s="324" t="s">
        <v>5294</v>
      </c>
      <c r="E272" s="394" t="s">
        <v>5295</v>
      </c>
      <c r="F272" s="403" t="s">
        <v>3862</v>
      </c>
      <c r="G272" s="399" t="s">
        <v>5296</v>
      </c>
      <c r="H272" s="326" t="s">
        <v>5297</v>
      </c>
      <c r="I272" s="326" t="s">
        <v>5298</v>
      </c>
      <c r="J272" s="327" t="s">
        <v>5299</v>
      </c>
    </row>
    <row r="273" spans="1:10" ht="16" thickBot="1">
      <c r="A273" s="338"/>
      <c r="B273" s="321"/>
      <c r="C273" s="321"/>
      <c r="D273" s="324" t="s">
        <v>5300</v>
      </c>
      <c r="E273" s="394" t="s">
        <v>4360</v>
      </c>
      <c r="F273" s="403" t="s">
        <v>3862</v>
      </c>
      <c r="G273" s="399" t="s">
        <v>5301</v>
      </c>
      <c r="H273" s="326" t="s">
        <v>5302</v>
      </c>
      <c r="I273" s="326" t="s">
        <v>5303</v>
      </c>
      <c r="J273" s="327" t="s">
        <v>4364</v>
      </c>
    </row>
    <row r="274" spans="1:10" ht="16" thickBot="1">
      <c r="A274" s="338"/>
      <c r="B274" s="321"/>
      <c r="C274" s="321"/>
      <c r="D274" s="324" t="s">
        <v>5304</v>
      </c>
      <c r="E274" s="394" t="s">
        <v>5305</v>
      </c>
      <c r="F274" s="403" t="s">
        <v>3862</v>
      </c>
      <c r="G274" s="399" t="s">
        <v>5306</v>
      </c>
      <c r="H274" s="326" t="s">
        <v>5307</v>
      </c>
      <c r="I274" s="326" t="s">
        <v>5308</v>
      </c>
      <c r="J274" s="327" t="s">
        <v>5309</v>
      </c>
    </row>
    <row r="275" spans="1:10" ht="16" thickBot="1">
      <c r="A275" s="338"/>
      <c r="B275" s="321"/>
      <c r="C275" s="321"/>
      <c r="D275" s="324" t="s">
        <v>5310</v>
      </c>
      <c r="E275" s="394" t="s">
        <v>4366</v>
      </c>
      <c r="F275" s="403" t="s">
        <v>3862</v>
      </c>
      <c r="G275" s="399" t="s">
        <v>5311</v>
      </c>
      <c r="H275" s="326" t="s">
        <v>5312</v>
      </c>
      <c r="I275" s="326" t="s">
        <v>5313</v>
      </c>
      <c r="J275" s="327" t="s">
        <v>5314</v>
      </c>
    </row>
    <row r="276" spans="1:10" ht="16" thickBot="1">
      <c r="A276" s="338"/>
      <c r="B276" s="321"/>
      <c r="C276" s="321"/>
      <c r="D276" s="324" t="s">
        <v>5315</v>
      </c>
      <c r="E276" s="394" t="s">
        <v>5316</v>
      </c>
      <c r="F276" s="403" t="s">
        <v>3862</v>
      </c>
      <c r="G276" s="399" t="s">
        <v>5317</v>
      </c>
      <c r="H276" s="326" t="s">
        <v>5318</v>
      </c>
      <c r="I276" s="326" t="s">
        <v>5319</v>
      </c>
      <c r="J276" s="327" t="s">
        <v>5320</v>
      </c>
    </row>
    <row r="277" spans="1:10" ht="16" thickBot="1">
      <c r="A277" s="338"/>
      <c r="B277" s="321"/>
      <c r="C277" s="321" t="s">
        <v>5321</v>
      </c>
      <c r="D277" s="324" t="s">
        <v>5322</v>
      </c>
      <c r="E277" s="394" t="s">
        <v>5323</v>
      </c>
      <c r="F277" s="403" t="s">
        <v>3862</v>
      </c>
      <c r="G277" s="399" t="s">
        <v>5324</v>
      </c>
      <c r="H277" s="326" t="s">
        <v>5325</v>
      </c>
      <c r="I277" s="326" t="s">
        <v>5326</v>
      </c>
      <c r="J277" s="327" t="s">
        <v>5327</v>
      </c>
    </row>
    <row r="278" spans="1:10" ht="16" thickBot="1">
      <c r="A278" s="338"/>
      <c r="B278" s="321"/>
      <c r="C278" s="321"/>
      <c r="D278" s="324" t="s">
        <v>5328</v>
      </c>
      <c r="E278" s="394" t="s">
        <v>5329</v>
      </c>
      <c r="F278" s="403" t="s">
        <v>3862</v>
      </c>
      <c r="G278" s="399" t="s">
        <v>5230</v>
      </c>
      <c r="H278" s="326" t="s">
        <v>5330</v>
      </c>
      <c r="I278" s="326" t="s">
        <v>5331</v>
      </c>
      <c r="J278" s="327" t="s">
        <v>5332</v>
      </c>
    </row>
    <row r="279" spans="1:10" ht="16" thickBot="1">
      <c r="A279" s="338"/>
      <c r="B279" s="321"/>
      <c r="C279" s="321"/>
      <c r="D279" s="324" t="s">
        <v>5333</v>
      </c>
      <c r="E279" s="394" t="s">
        <v>5334</v>
      </c>
      <c r="F279" s="403" t="s">
        <v>3862</v>
      </c>
      <c r="G279" s="399" t="s">
        <v>5335</v>
      </c>
      <c r="H279" s="326" t="s">
        <v>5336</v>
      </c>
      <c r="I279" s="326" t="s">
        <v>5337</v>
      </c>
      <c r="J279" s="327" t="s">
        <v>5338</v>
      </c>
    </row>
    <row r="280" spans="1:10" ht="16" thickBot="1">
      <c r="A280" s="338"/>
      <c r="B280" s="321"/>
      <c r="C280" s="321"/>
      <c r="D280" s="324" t="s">
        <v>5310</v>
      </c>
      <c r="E280" s="394" t="s">
        <v>5339</v>
      </c>
      <c r="F280" s="403" t="s">
        <v>3862</v>
      </c>
      <c r="G280" s="399" t="s">
        <v>5340</v>
      </c>
      <c r="H280" s="326" t="s">
        <v>5290</v>
      </c>
      <c r="I280" s="326" t="s">
        <v>5341</v>
      </c>
      <c r="J280" s="327" t="s">
        <v>5342</v>
      </c>
    </row>
    <row r="281" spans="1:10" ht="16" thickBot="1">
      <c r="A281" s="338"/>
      <c r="B281" s="321"/>
      <c r="C281" s="321"/>
      <c r="D281" s="324" t="s">
        <v>5343</v>
      </c>
      <c r="E281" s="394" t="s">
        <v>5344</v>
      </c>
      <c r="F281" s="403" t="s">
        <v>3862</v>
      </c>
      <c r="G281" s="399" t="s">
        <v>5345</v>
      </c>
      <c r="H281" s="326" t="s">
        <v>5346</v>
      </c>
      <c r="I281" s="326" t="s">
        <v>5347</v>
      </c>
      <c r="J281" s="327" t="s">
        <v>5348</v>
      </c>
    </row>
    <row r="282" spans="1:10" ht="16" thickBot="1">
      <c r="A282" s="338"/>
      <c r="B282" s="321"/>
      <c r="C282" s="321" t="s">
        <v>5349</v>
      </c>
      <c r="D282" s="324" t="s">
        <v>5350</v>
      </c>
      <c r="E282" s="393" t="s">
        <v>5351</v>
      </c>
      <c r="F282" s="345" t="s">
        <v>3862</v>
      </c>
      <c r="G282" s="398" t="s">
        <v>5352</v>
      </c>
      <c r="H282" s="324" t="s">
        <v>5353</v>
      </c>
      <c r="I282" s="324" t="s">
        <v>5354</v>
      </c>
      <c r="J282" s="325" t="s">
        <v>5355</v>
      </c>
    </row>
    <row r="283" spans="1:10" ht="16" thickBot="1">
      <c r="A283" s="338"/>
      <c r="B283" s="321"/>
      <c r="C283" s="321"/>
      <c r="D283" s="324" t="s">
        <v>5356</v>
      </c>
      <c r="E283" s="393" t="s">
        <v>5357</v>
      </c>
      <c r="F283" s="345" t="s">
        <v>3862</v>
      </c>
      <c r="G283" s="398" t="s">
        <v>5358</v>
      </c>
      <c r="H283" s="324" t="s">
        <v>5359</v>
      </c>
      <c r="I283" s="324" t="s">
        <v>5360</v>
      </c>
      <c r="J283" s="325" t="s">
        <v>5361</v>
      </c>
    </row>
    <row r="284" spans="1:10" ht="16" thickBot="1">
      <c r="A284" s="338"/>
      <c r="B284" s="321"/>
      <c r="C284" s="321"/>
      <c r="D284" s="324" t="s">
        <v>5362</v>
      </c>
      <c r="E284" s="393" t="s">
        <v>5363</v>
      </c>
      <c r="F284" s="345" t="s">
        <v>3862</v>
      </c>
      <c r="G284" s="398" t="s">
        <v>5364</v>
      </c>
      <c r="H284" s="324" t="s">
        <v>5290</v>
      </c>
      <c r="I284" s="324" t="s">
        <v>5291</v>
      </c>
      <c r="J284" s="325" t="s">
        <v>5365</v>
      </c>
    </row>
    <row r="285" spans="1:10" ht="16" thickBot="1">
      <c r="A285" s="338"/>
      <c r="B285" s="321"/>
      <c r="C285" s="321"/>
      <c r="D285" s="324" t="s">
        <v>5366</v>
      </c>
      <c r="E285" s="393" t="s">
        <v>5367</v>
      </c>
      <c r="F285" s="345" t="s">
        <v>3862</v>
      </c>
      <c r="G285" s="398" t="s">
        <v>5368</v>
      </c>
      <c r="H285" s="324" t="s">
        <v>5369</v>
      </c>
      <c r="I285" s="324" t="s">
        <v>5370</v>
      </c>
      <c r="J285" s="325" t="s">
        <v>5371</v>
      </c>
    </row>
    <row r="286" spans="1:10" ht="16" thickBot="1">
      <c r="A286" s="338"/>
      <c r="B286" s="321"/>
      <c r="C286" s="321"/>
      <c r="D286" s="324" t="s">
        <v>5372</v>
      </c>
      <c r="E286" s="393" t="s">
        <v>5373</v>
      </c>
      <c r="F286" s="345" t="s">
        <v>3862</v>
      </c>
      <c r="G286" s="398" t="s">
        <v>5374</v>
      </c>
      <c r="H286" s="324" t="s">
        <v>4721</v>
      </c>
      <c r="I286" s="324" t="s">
        <v>5375</v>
      </c>
      <c r="J286" s="325" t="s">
        <v>5376</v>
      </c>
    </row>
    <row r="287" spans="1:10" ht="16" thickBot="1">
      <c r="A287" s="338"/>
      <c r="B287" s="321"/>
      <c r="C287" s="321" t="s">
        <v>5377</v>
      </c>
      <c r="D287" s="324" t="s">
        <v>5378</v>
      </c>
      <c r="E287" s="394" t="s">
        <v>5379</v>
      </c>
      <c r="F287" s="403" t="s">
        <v>3862</v>
      </c>
      <c r="G287" s="399" t="s">
        <v>5380</v>
      </c>
      <c r="H287" s="326" t="s">
        <v>5381</v>
      </c>
      <c r="I287" s="326" t="s">
        <v>4812</v>
      </c>
      <c r="J287" s="327" t="s">
        <v>5382</v>
      </c>
    </row>
    <row r="288" spans="1:10" ht="16" thickBot="1">
      <c r="A288" s="338"/>
      <c r="B288" s="321"/>
      <c r="C288" s="321"/>
      <c r="D288" s="324" t="s">
        <v>5383</v>
      </c>
      <c r="E288" s="394" t="s">
        <v>5384</v>
      </c>
      <c r="F288" s="403" t="s">
        <v>3862</v>
      </c>
      <c r="G288" s="399" t="s">
        <v>5094</v>
      </c>
      <c r="H288" s="326" t="s">
        <v>5385</v>
      </c>
      <c r="I288" s="326" t="s">
        <v>5214</v>
      </c>
      <c r="J288" s="327" t="s">
        <v>5386</v>
      </c>
    </row>
    <row r="289" spans="1:10" ht="16" thickBot="1">
      <c r="A289" s="338"/>
      <c r="B289" s="321"/>
      <c r="C289" s="321"/>
      <c r="D289" s="324" t="s">
        <v>5387</v>
      </c>
      <c r="E289" s="394" t="s">
        <v>5388</v>
      </c>
      <c r="F289" s="403" t="s">
        <v>3862</v>
      </c>
      <c r="G289" s="399" t="s">
        <v>5389</v>
      </c>
      <c r="H289" s="326" t="s">
        <v>5390</v>
      </c>
      <c r="I289" s="326" t="s">
        <v>5391</v>
      </c>
      <c r="J289" s="327" t="s">
        <v>5392</v>
      </c>
    </row>
    <row r="290" spans="1:10" ht="16" thickBot="1">
      <c r="A290" s="338"/>
      <c r="B290" s="321"/>
      <c r="C290" s="321"/>
      <c r="D290" s="324" t="s">
        <v>5393</v>
      </c>
      <c r="E290" s="394" t="s">
        <v>5394</v>
      </c>
      <c r="F290" s="403" t="s">
        <v>3862</v>
      </c>
      <c r="G290" s="399" t="s">
        <v>5395</v>
      </c>
      <c r="H290" s="326" t="s">
        <v>5396</v>
      </c>
      <c r="I290" s="326" t="s">
        <v>5397</v>
      </c>
      <c r="J290" s="327" t="s">
        <v>5398</v>
      </c>
    </row>
    <row r="291" spans="1:10" ht="16" thickBot="1">
      <c r="A291" s="338"/>
      <c r="B291" s="321"/>
      <c r="C291" s="321"/>
      <c r="D291" s="324" t="s">
        <v>5399</v>
      </c>
      <c r="E291" s="394" t="s">
        <v>5400</v>
      </c>
      <c r="F291" s="403" t="s">
        <v>3862</v>
      </c>
      <c r="G291" s="399" t="s">
        <v>4765</v>
      </c>
      <c r="H291" s="326" t="s">
        <v>4546</v>
      </c>
      <c r="I291" s="326" t="s">
        <v>5401</v>
      </c>
      <c r="J291" s="327" t="s">
        <v>5402</v>
      </c>
    </row>
    <row r="292" spans="1:10" ht="16" thickBot="1">
      <c r="A292" s="338"/>
      <c r="B292" s="321"/>
      <c r="C292" s="321" t="s">
        <v>5403</v>
      </c>
      <c r="D292" s="326" t="s">
        <v>414</v>
      </c>
      <c r="E292" s="394" t="s">
        <v>5404</v>
      </c>
      <c r="F292" s="403" t="s">
        <v>3862</v>
      </c>
      <c r="G292" s="399" t="s">
        <v>5405</v>
      </c>
      <c r="H292" s="326" t="s">
        <v>5406</v>
      </c>
      <c r="I292" s="326" t="s">
        <v>5407</v>
      </c>
      <c r="J292" s="327" t="s">
        <v>5408</v>
      </c>
    </row>
    <row r="293" spans="1:10" ht="16" thickBot="1">
      <c r="A293" s="338"/>
      <c r="B293" s="321"/>
      <c r="C293" s="321"/>
      <c r="D293" s="324" t="s">
        <v>5409</v>
      </c>
      <c r="E293" s="394" t="s">
        <v>5410</v>
      </c>
      <c r="F293" s="403" t="s">
        <v>3862</v>
      </c>
      <c r="G293" s="399" t="s">
        <v>4806</v>
      </c>
      <c r="H293" s="326" t="s">
        <v>5411</v>
      </c>
      <c r="I293" s="326" t="s">
        <v>4063</v>
      </c>
      <c r="J293" s="327" t="s">
        <v>5412</v>
      </c>
    </row>
    <row r="294" spans="1:10" ht="16" thickBot="1">
      <c r="A294" s="338"/>
      <c r="B294" s="321"/>
      <c r="C294" s="321"/>
      <c r="D294" s="324" t="s">
        <v>5413</v>
      </c>
      <c r="E294" s="394" t="s">
        <v>5414</v>
      </c>
      <c r="F294" s="403" t="s">
        <v>3862</v>
      </c>
      <c r="G294" s="399" t="s">
        <v>4754</v>
      </c>
      <c r="H294" s="326" t="s">
        <v>5415</v>
      </c>
      <c r="I294" s="326" t="s">
        <v>5416</v>
      </c>
      <c r="J294" s="327" t="s">
        <v>5417</v>
      </c>
    </row>
    <row r="295" spans="1:10" ht="16" thickBot="1">
      <c r="A295" s="338"/>
      <c r="B295" s="321"/>
      <c r="C295" s="321"/>
      <c r="D295" s="324" t="s">
        <v>5418</v>
      </c>
      <c r="E295" s="394" t="s">
        <v>5419</v>
      </c>
      <c r="F295" s="403" t="s">
        <v>3862</v>
      </c>
      <c r="G295" s="399" t="s">
        <v>5420</v>
      </c>
      <c r="H295" s="326" t="s">
        <v>5421</v>
      </c>
      <c r="I295" s="326" t="s">
        <v>5422</v>
      </c>
      <c r="J295" s="327" t="s">
        <v>5423</v>
      </c>
    </row>
    <row r="296" spans="1:10" ht="16" thickBot="1">
      <c r="A296" s="338"/>
      <c r="B296" s="321"/>
      <c r="C296" s="321"/>
      <c r="D296" s="324" t="s">
        <v>5424</v>
      </c>
      <c r="E296" s="394" t="s">
        <v>5425</v>
      </c>
      <c r="F296" s="403" t="s">
        <v>3862</v>
      </c>
      <c r="G296" s="399" t="s">
        <v>5426</v>
      </c>
      <c r="H296" s="326" t="s">
        <v>5427</v>
      </c>
      <c r="I296" s="326" t="s">
        <v>5428</v>
      </c>
      <c r="J296" s="327" t="s">
        <v>5429</v>
      </c>
    </row>
    <row r="297" spans="1:10" ht="16" thickBot="1">
      <c r="A297" s="338"/>
      <c r="B297" s="321" t="s">
        <v>5430</v>
      </c>
      <c r="C297" s="321" t="s">
        <v>5431</v>
      </c>
      <c r="D297" s="326" t="s">
        <v>5432</v>
      </c>
      <c r="E297" s="394" t="s">
        <v>5433</v>
      </c>
      <c r="F297" s="403" t="s">
        <v>3862</v>
      </c>
      <c r="G297" s="399" t="s">
        <v>621</v>
      </c>
      <c r="H297" s="326" t="s">
        <v>5434</v>
      </c>
      <c r="I297" s="326" t="s">
        <v>5435</v>
      </c>
      <c r="J297" s="327" t="s">
        <v>5436</v>
      </c>
    </row>
    <row r="298" spans="1:10" ht="16" thickBot="1">
      <c r="A298" s="338"/>
      <c r="B298" s="321"/>
      <c r="C298" s="321"/>
      <c r="D298" s="324" t="s">
        <v>5437</v>
      </c>
      <c r="E298" s="394" t="s">
        <v>5438</v>
      </c>
      <c r="F298" s="403" t="s">
        <v>3862</v>
      </c>
      <c r="G298" s="399" t="s">
        <v>5439</v>
      </c>
      <c r="H298" s="326" t="s">
        <v>5440</v>
      </c>
      <c r="I298" s="326" t="s">
        <v>5441</v>
      </c>
      <c r="J298" s="327" t="s">
        <v>5442</v>
      </c>
    </row>
    <row r="299" spans="1:10" ht="16" thickBot="1">
      <c r="A299" s="338"/>
      <c r="B299" s="321"/>
      <c r="C299" s="321"/>
      <c r="D299" s="324" t="s">
        <v>5443</v>
      </c>
      <c r="E299" s="394" t="s">
        <v>5444</v>
      </c>
      <c r="F299" s="403" t="s">
        <v>3862</v>
      </c>
      <c r="G299" s="399" t="s">
        <v>5445</v>
      </c>
      <c r="H299" s="326" t="s">
        <v>5446</v>
      </c>
      <c r="I299" s="326" t="s">
        <v>5447</v>
      </c>
      <c r="J299" s="327" t="s">
        <v>5448</v>
      </c>
    </row>
    <row r="300" spans="1:10" ht="16" thickBot="1">
      <c r="A300" s="338"/>
      <c r="B300" s="321"/>
      <c r="C300" s="321"/>
      <c r="D300" s="324" t="s">
        <v>5449</v>
      </c>
      <c r="E300" s="394" t="s">
        <v>5450</v>
      </c>
      <c r="F300" s="403" t="s">
        <v>3862</v>
      </c>
      <c r="G300" s="399" t="s">
        <v>5451</v>
      </c>
      <c r="H300" s="326" t="s">
        <v>4937</v>
      </c>
      <c r="I300" s="326" t="s">
        <v>5452</v>
      </c>
      <c r="J300" s="327" t="s">
        <v>5453</v>
      </c>
    </row>
    <row r="301" spans="1:10" ht="16" thickBot="1">
      <c r="A301" s="338"/>
      <c r="B301" s="321"/>
      <c r="C301" s="321"/>
      <c r="D301" s="324" t="s">
        <v>5454</v>
      </c>
      <c r="E301" s="394" t="s">
        <v>5455</v>
      </c>
      <c r="F301" s="403" t="s">
        <v>3862</v>
      </c>
      <c r="G301" s="399" t="s">
        <v>5456</v>
      </c>
      <c r="H301" s="326" t="s">
        <v>5457</v>
      </c>
      <c r="I301" s="326" t="s">
        <v>5458</v>
      </c>
      <c r="J301" s="327" t="s">
        <v>5459</v>
      </c>
    </row>
    <row r="302" spans="1:10" ht="16" thickBot="1">
      <c r="A302" s="338"/>
      <c r="B302" s="321"/>
      <c r="C302" s="321" t="s">
        <v>5460</v>
      </c>
      <c r="D302" s="324" t="s">
        <v>5461</v>
      </c>
      <c r="E302" s="394" t="s">
        <v>5462</v>
      </c>
      <c r="F302" s="403" t="s">
        <v>3862</v>
      </c>
      <c r="G302" s="399" t="s">
        <v>375</v>
      </c>
      <c r="H302" s="326" t="s">
        <v>5463</v>
      </c>
      <c r="I302" s="326" t="s">
        <v>5464</v>
      </c>
      <c r="J302" s="327" t="s">
        <v>5465</v>
      </c>
    </row>
    <row r="303" spans="1:10" ht="16" thickBot="1">
      <c r="A303" s="338"/>
      <c r="B303" s="321"/>
      <c r="C303" s="321"/>
      <c r="D303" s="324" t="s">
        <v>5466</v>
      </c>
      <c r="E303" s="394" t="s">
        <v>5467</v>
      </c>
      <c r="F303" s="403" t="s">
        <v>3862</v>
      </c>
      <c r="G303" s="399" t="s">
        <v>5468</v>
      </c>
      <c r="H303" s="326" t="s">
        <v>5469</v>
      </c>
      <c r="I303" s="326" t="s">
        <v>5470</v>
      </c>
      <c r="J303" s="327" t="s">
        <v>5471</v>
      </c>
    </row>
    <row r="304" spans="1:10" ht="16" thickBot="1">
      <c r="A304" s="338"/>
      <c r="B304" s="321"/>
      <c r="C304" s="321"/>
      <c r="D304" s="326" t="s">
        <v>5472</v>
      </c>
      <c r="E304" s="394" t="s">
        <v>5473</v>
      </c>
      <c r="F304" s="403" t="s">
        <v>3862</v>
      </c>
      <c r="G304" s="399" t="s">
        <v>5340</v>
      </c>
      <c r="H304" s="326" t="s">
        <v>5474</v>
      </c>
      <c r="I304" s="326" t="s">
        <v>5475</v>
      </c>
      <c r="J304" s="327" t="s">
        <v>5476</v>
      </c>
    </row>
    <row r="305" spans="1:10" ht="16" thickBot="1">
      <c r="A305" s="338"/>
      <c r="B305" s="321"/>
      <c r="C305" s="321"/>
      <c r="D305" s="324" t="s">
        <v>5477</v>
      </c>
      <c r="E305" s="394" t="s">
        <v>5478</v>
      </c>
      <c r="F305" s="403" t="s">
        <v>3862</v>
      </c>
      <c r="G305" s="399" t="s">
        <v>5479</v>
      </c>
      <c r="H305" s="326" t="s">
        <v>5480</v>
      </c>
      <c r="I305" s="326" t="s">
        <v>5481</v>
      </c>
      <c r="J305" s="327" t="s">
        <v>5482</v>
      </c>
    </row>
    <row r="306" spans="1:10" ht="16" thickBot="1">
      <c r="A306" s="338"/>
      <c r="B306" s="321"/>
      <c r="C306" s="321"/>
      <c r="D306" s="324" t="s">
        <v>5483</v>
      </c>
      <c r="E306" s="394" t="s">
        <v>5484</v>
      </c>
      <c r="F306" s="403" t="s">
        <v>3862</v>
      </c>
      <c r="G306" s="399" t="s">
        <v>5485</v>
      </c>
      <c r="H306" s="326" t="s">
        <v>5486</v>
      </c>
      <c r="I306" s="326" t="s">
        <v>5487</v>
      </c>
      <c r="J306" s="327" t="s">
        <v>5488</v>
      </c>
    </row>
    <row r="307" spans="1:10" ht="16" thickBot="1">
      <c r="A307" s="338"/>
      <c r="B307" s="321"/>
      <c r="C307" s="321" t="s">
        <v>5489</v>
      </c>
      <c r="D307" s="324" t="s">
        <v>5490</v>
      </c>
      <c r="E307" s="394" t="s">
        <v>5491</v>
      </c>
      <c r="F307" s="403" t="s">
        <v>3862</v>
      </c>
      <c r="G307" s="399" t="s">
        <v>5492</v>
      </c>
      <c r="H307" s="326" t="s">
        <v>5493</v>
      </c>
      <c r="I307" s="326" t="s">
        <v>5494</v>
      </c>
      <c r="J307" s="327" t="s">
        <v>5495</v>
      </c>
    </row>
    <row r="308" spans="1:10" ht="16" thickBot="1">
      <c r="A308" s="338"/>
      <c r="B308" s="321"/>
      <c r="C308" s="321"/>
      <c r="D308" s="324" t="s">
        <v>1781</v>
      </c>
      <c r="E308" s="394" t="s">
        <v>5496</v>
      </c>
      <c r="F308" s="403" t="s">
        <v>3862</v>
      </c>
      <c r="G308" s="399" t="s">
        <v>5497</v>
      </c>
      <c r="H308" s="326" t="s">
        <v>5498</v>
      </c>
      <c r="I308" s="326" t="s">
        <v>5499</v>
      </c>
      <c r="J308" s="327" t="s">
        <v>5500</v>
      </c>
    </row>
    <row r="309" spans="1:10" ht="16" thickBot="1">
      <c r="A309" s="338"/>
      <c r="B309" s="321"/>
      <c r="C309" s="321"/>
      <c r="D309" s="324" t="s">
        <v>5501</v>
      </c>
      <c r="E309" s="394" t="s">
        <v>5502</v>
      </c>
      <c r="F309" s="403" t="s">
        <v>3862</v>
      </c>
      <c r="G309" s="399" t="s">
        <v>5503</v>
      </c>
      <c r="H309" s="326" t="s">
        <v>5504</v>
      </c>
      <c r="I309" s="326" t="s">
        <v>5505</v>
      </c>
      <c r="J309" s="327" t="s">
        <v>5506</v>
      </c>
    </row>
    <row r="310" spans="1:10" ht="16" thickBot="1">
      <c r="A310" s="338"/>
      <c r="B310" s="321"/>
      <c r="C310" s="321"/>
      <c r="D310" s="324" t="s">
        <v>5507</v>
      </c>
      <c r="E310" s="394" t="s">
        <v>5508</v>
      </c>
      <c r="F310" s="403" t="s">
        <v>3862</v>
      </c>
      <c r="G310" s="399" t="s">
        <v>5509</v>
      </c>
      <c r="H310" s="326" t="s">
        <v>5510</v>
      </c>
      <c r="I310" s="326" t="s">
        <v>5511</v>
      </c>
      <c r="J310" s="327" t="s">
        <v>5512</v>
      </c>
    </row>
    <row r="311" spans="1:10" ht="16" thickBot="1">
      <c r="A311" s="338"/>
      <c r="B311" s="321"/>
      <c r="C311" s="321"/>
      <c r="D311" s="324" t="s">
        <v>5513</v>
      </c>
      <c r="E311" s="394" t="s">
        <v>5514</v>
      </c>
      <c r="F311" s="403" t="s">
        <v>3862</v>
      </c>
      <c r="G311" s="399" t="s">
        <v>5515</v>
      </c>
      <c r="H311" s="326" t="s">
        <v>5516</v>
      </c>
      <c r="I311" s="326" t="s">
        <v>5517</v>
      </c>
      <c r="J311" s="327" t="s">
        <v>5518</v>
      </c>
    </row>
    <row r="312" spans="1:10" ht="16" thickBot="1">
      <c r="A312" s="338"/>
      <c r="B312" s="321"/>
      <c r="C312" s="321" t="s">
        <v>5519</v>
      </c>
      <c r="D312" s="324" t="s">
        <v>5520</v>
      </c>
      <c r="E312" s="394" t="s">
        <v>5521</v>
      </c>
      <c r="F312" s="403" t="s">
        <v>3862</v>
      </c>
      <c r="G312" s="399" t="s">
        <v>5522</v>
      </c>
      <c r="H312" s="326" t="s">
        <v>5523</v>
      </c>
      <c r="I312" s="326" t="s">
        <v>5524</v>
      </c>
      <c r="J312" s="327" t="s">
        <v>5525</v>
      </c>
    </row>
    <row r="313" spans="1:10" ht="16" thickBot="1">
      <c r="A313" s="338"/>
      <c r="B313" s="321"/>
      <c r="C313" s="321"/>
      <c r="D313" s="324" t="s">
        <v>5526</v>
      </c>
      <c r="E313" s="394" t="s">
        <v>5527</v>
      </c>
      <c r="F313" s="403" t="s">
        <v>3862</v>
      </c>
      <c r="G313" s="399" t="s">
        <v>5528</v>
      </c>
      <c r="H313" s="326" t="s">
        <v>5529</v>
      </c>
      <c r="I313" s="326" t="s">
        <v>5530</v>
      </c>
      <c r="J313" s="327" t="s">
        <v>5531</v>
      </c>
    </row>
    <row r="314" spans="1:10" ht="16" thickBot="1">
      <c r="A314" s="338"/>
      <c r="B314" s="321"/>
      <c r="C314" s="321"/>
      <c r="D314" s="324" t="s">
        <v>5532</v>
      </c>
      <c r="E314" s="394" t="s">
        <v>5533</v>
      </c>
      <c r="F314" s="403" t="s">
        <v>3862</v>
      </c>
      <c r="G314" s="399" t="s">
        <v>5105</v>
      </c>
      <c r="H314" s="326" t="s">
        <v>5534</v>
      </c>
      <c r="I314" s="326" t="s">
        <v>5535</v>
      </c>
      <c r="J314" s="327" t="s">
        <v>5536</v>
      </c>
    </row>
    <row r="315" spans="1:10" ht="16" thickBot="1">
      <c r="A315" s="338"/>
      <c r="B315" s="321"/>
      <c r="C315" s="321"/>
      <c r="D315" s="324" t="s">
        <v>5537</v>
      </c>
      <c r="E315" s="394" t="s">
        <v>5538</v>
      </c>
      <c r="F315" s="403" t="s">
        <v>3862</v>
      </c>
      <c r="G315" s="399" t="s">
        <v>5539</v>
      </c>
      <c r="H315" s="326" t="s">
        <v>5540</v>
      </c>
      <c r="I315" s="326" t="s">
        <v>5541</v>
      </c>
      <c r="J315" s="327" t="s">
        <v>5542</v>
      </c>
    </row>
    <row r="316" spans="1:10" ht="16" thickBot="1">
      <c r="A316" s="338"/>
      <c r="B316" s="321"/>
      <c r="C316" s="321"/>
      <c r="D316" s="324" t="s">
        <v>5543</v>
      </c>
      <c r="E316" s="394" t="s">
        <v>5544</v>
      </c>
      <c r="F316" s="403" t="s">
        <v>3862</v>
      </c>
      <c r="G316" s="399" t="s">
        <v>5497</v>
      </c>
      <c r="H316" s="326" t="s">
        <v>5545</v>
      </c>
      <c r="I316" s="326" t="s">
        <v>5546</v>
      </c>
      <c r="J316" s="327" t="s">
        <v>5547</v>
      </c>
    </row>
    <row r="317" spans="1:10" ht="16" thickBot="1">
      <c r="A317" s="338"/>
      <c r="B317" s="321"/>
      <c r="C317" s="321" t="s">
        <v>5548</v>
      </c>
      <c r="D317" s="324" t="s">
        <v>5549</v>
      </c>
      <c r="E317" s="394" t="s">
        <v>5550</v>
      </c>
      <c r="F317" s="403" t="s">
        <v>3862</v>
      </c>
      <c r="G317" s="399" t="s">
        <v>5551</v>
      </c>
      <c r="H317" s="326" t="s">
        <v>4818</v>
      </c>
      <c r="I317" s="326" t="s">
        <v>5552</v>
      </c>
      <c r="J317" s="327" t="s">
        <v>5553</v>
      </c>
    </row>
    <row r="318" spans="1:10" ht="16" thickBot="1">
      <c r="A318" s="338"/>
      <c r="B318" s="321"/>
      <c r="C318" s="321"/>
      <c r="D318" s="324" t="s">
        <v>5554</v>
      </c>
      <c r="E318" s="394" t="s">
        <v>5555</v>
      </c>
      <c r="F318" s="403" t="s">
        <v>3862</v>
      </c>
      <c r="G318" s="399" t="s">
        <v>5556</v>
      </c>
      <c r="H318" s="326" t="s">
        <v>4812</v>
      </c>
      <c r="I318" s="326" t="s">
        <v>5557</v>
      </c>
      <c r="J318" s="327" t="s">
        <v>5558</v>
      </c>
    </row>
    <row r="319" spans="1:10" ht="16" thickBot="1">
      <c r="A319" s="338"/>
      <c r="B319" s="321"/>
      <c r="C319" s="321"/>
      <c r="D319" s="324" t="s">
        <v>5559</v>
      </c>
      <c r="E319" s="394" t="s">
        <v>5560</v>
      </c>
      <c r="F319" s="403" t="s">
        <v>3862</v>
      </c>
      <c r="G319" s="399" t="s">
        <v>5561</v>
      </c>
      <c r="H319" s="326" t="s">
        <v>5562</v>
      </c>
      <c r="I319" s="326" t="s">
        <v>5563</v>
      </c>
      <c r="J319" s="327" t="s">
        <v>5564</v>
      </c>
    </row>
    <row r="320" spans="1:10" ht="16" thickBot="1">
      <c r="A320" s="338"/>
      <c r="B320" s="321"/>
      <c r="C320" s="321"/>
      <c r="D320" s="324" t="s">
        <v>1898</v>
      </c>
      <c r="E320" s="394" t="s">
        <v>1899</v>
      </c>
      <c r="F320" s="403" t="s">
        <v>3862</v>
      </c>
      <c r="G320" s="399" t="s">
        <v>5565</v>
      </c>
      <c r="H320" s="326" t="s">
        <v>5566</v>
      </c>
      <c r="I320" s="326" t="s">
        <v>5567</v>
      </c>
      <c r="J320" s="327" t="s">
        <v>5568</v>
      </c>
    </row>
    <row r="321" spans="1:10" ht="16" thickBot="1">
      <c r="A321" s="339"/>
      <c r="B321" s="335"/>
      <c r="C321" s="335"/>
      <c r="D321" s="343" t="s">
        <v>5569</v>
      </c>
      <c r="E321" s="407" t="s">
        <v>5570</v>
      </c>
      <c r="F321" s="403" t="s">
        <v>3862</v>
      </c>
      <c r="G321" s="409" t="s">
        <v>5571</v>
      </c>
      <c r="H321" s="336" t="s">
        <v>5572</v>
      </c>
      <c r="I321" s="336" t="s">
        <v>4796</v>
      </c>
      <c r="J321" s="344" t="s">
        <v>5573</v>
      </c>
    </row>
  </sheetData>
  <mergeCells count="75">
    <mergeCell ref="A2:A321"/>
    <mergeCell ref="C132:C136"/>
    <mergeCell ref="C137:C141"/>
    <mergeCell ref="C142:C146"/>
    <mergeCell ref="B297:B321"/>
    <mergeCell ref="C297:C301"/>
    <mergeCell ref="C302:C306"/>
    <mergeCell ref="C307:C311"/>
    <mergeCell ref="C312:C316"/>
    <mergeCell ref="C317:C321"/>
    <mergeCell ref="B252:B296"/>
    <mergeCell ref="C252:C256"/>
    <mergeCell ref="C257:C261"/>
    <mergeCell ref="C262:C266"/>
    <mergeCell ref="C267:C271"/>
    <mergeCell ref="C272:C276"/>
    <mergeCell ref="C277:C281"/>
    <mergeCell ref="C282:C286"/>
    <mergeCell ref="C287:C291"/>
    <mergeCell ref="C292:C296"/>
    <mergeCell ref="B207:B251"/>
    <mergeCell ref="C207:C211"/>
    <mergeCell ref="C212:C216"/>
    <mergeCell ref="C217:C221"/>
    <mergeCell ref="C222:C226"/>
    <mergeCell ref="C227:C231"/>
    <mergeCell ref="C232:C236"/>
    <mergeCell ref="C237:C241"/>
    <mergeCell ref="C242:C246"/>
    <mergeCell ref="C247:C251"/>
    <mergeCell ref="C177:C181"/>
    <mergeCell ref="B182:B206"/>
    <mergeCell ref="C182:C186"/>
    <mergeCell ref="C187:C191"/>
    <mergeCell ref="C192:C196"/>
    <mergeCell ref="C197:C201"/>
    <mergeCell ref="C202:C206"/>
    <mergeCell ref="B122:B146"/>
    <mergeCell ref="C122:C126"/>
    <mergeCell ref="C127:C131"/>
    <mergeCell ref="B147:B181"/>
    <mergeCell ref="C147:C151"/>
    <mergeCell ref="C152:C156"/>
    <mergeCell ref="C157:C161"/>
    <mergeCell ref="C162:C166"/>
    <mergeCell ref="C167:C171"/>
    <mergeCell ref="C172:C176"/>
    <mergeCell ref="C82:C86"/>
    <mergeCell ref="C87:C91"/>
    <mergeCell ref="C92:C96"/>
    <mergeCell ref="C97:C101"/>
    <mergeCell ref="B102:B121"/>
    <mergeCell ref="C102:C106"/>
    <mergeCell ref="C107:C111"/>
    <mergeCell ref="C112:C116"/>
    <mergeCell ref="C117:C121"/>
    <mergeCell ref="B42:B61"/>
    <mergeCell ref="C42:C46"/>
    <mergeCell ref="C47:C51"/>
    <mergeCell ref="C52:C56"/>
    <mergeCell ref="C57:C61"/>
    <mergeCell ref="B62:B101"/>
    <mergeCell ref="C62:C66"/>
    <mergeCell ref="C67:C71"/>
    <mergeCell ref="C72:C76"/>
    <mergeCell ref="C77:C81"/>
    <mergeCell ref="B2:B41"/>
    <mergeCell ref="C2:C6"/>
    <mergeCell ref="C7:C11"/>
    <mergeCell ref="C12:C16"/>
    <mergeCell ref="C17:C21"/>
    <mergeCell ref="C22:C26"/>
    <mergeCell ref="C27:C31"/>
    <mergeCell ref="C32:C36"/>
    <mergeCell ref="C37:C4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1"/>
  <sheetViews>
    <sheetView zoomScale="20" zoomScaleNormal="20" workbookViewId="0">
      <selection activeCell="K321" sqref="A2:K321"/>
    </sheetView>
  </sheetViews>
  <sheetFormatPr baseColWidth="10" defaultRowHeight="14.5"/>
  <cols>
    <col min="1" max="1" width="61.6328125" bestFit="1" customWidth="1"/>
    <col min="2" max="2" width="107.81640625" bestFit="1" customWidth="1"/>
    <col min="3" max="3" width="255.36328125" customWidth="1"/>
    <col min="4" max="4" width="192.36328125" bestFit="1" customWidth="1"/>
    <col min="5" max="5" width="255.6328125" bestFit="1" customWidth="1"/>
    <col min="6" max="6" width="21.90625" bestFit="1" customWidth="1"/>
    <col min="7" max="7" width="189.6328125" bestFit="1" customWidth="1"/>
    <col min="8" max="8" width="193.81640625" bestFit="1" customWidth="1"/>
    <col min="9" max="9" width="19.6328125" style="304" bestFit="1" customWidth="1"/>
    <col min="10" max="10" width="48.26953125" bestFit="1" customWidth="1"/>
    <col min="11" max="11" width="72.1796875" bestFit="1" customWidth="1"/>
  </cols>
  <sheetData>
    <row r="1" spans="1:11" s="309" customFormat="1" ht="29" thickBot="1">
      <c r="A1" s="253" t="s">
        <v>0</v>
      </c>
      <c r="B1" s="306" t="s">
        <v>1</v>
      </c>
      <c r="C1" s="307" t="s">
        <v>2</v>
      </c>
      <c r="D1" s="254" t="s">
        <v>3</v>
      </c>
      <c r="E1" s="255" t="s">
        <v>4</v>
      </c>
      <c r="F1" s="256" t="s">
        <v>5</v>
      </c>
      <c r="G1" s="255" t="s">
        <v>6</v>
      </c>
      <c r="H1" s="255" t="s">
        <v>7</v>
      </c>
      <c r="I1" s="308" t="s">
        <v>8</v>
      </c>
      <c r="J1" s="256" t="s">
        <v>9</v>
      </c>
      <c r="K1" s="257" t="s">
        <v>10</v>
      </c>
    </row>
    <row r="2" spans="1:11" ht="25.5" thickBot="1">
      <c r="A2" s="258" t="s">
        <v>2475</v>
      </c>
      <c r="B2" s="156" t="s">
        <v>2476</v>
      </c>
      <c r="C2" s="286" t="s">
        <v>2477</v>
      </c>
      <c r="D2" s="14" t="s">
        <v>2478</v>
      </c>
      <c r="E2" s="310" t="s">
        <v>2479</v>
      </c>
      <c r="F2" s="12" t="s">
        <v>16</v>
      </c>
      <c r="G2" s="24" t="s">
        <v>2480</v>
      </c>
      <c r="H2" s="24" t="s">
        <v>2481</v>
      </c>
      <c r="I2" s="305" t="s">
        <v>19</v>
      </c>
      <c r="J2" s="214" t="s">
        <v>5575</v>
      </c>
      <c r="K2" s="214" t="s">
        <v>5576</v>
      </c>
    </row>
    <row r="3" spans="1:11" ht="25.5" thickBot="1">
      <c r="A3" s="261"/>
      <c r="B3" s="157"/>
      <c r="C3" s="287"/>
      <c r="D3" s="41" t="s">
        <v>2482</v>
      </c>
      <c r="E3" s="16" t="s">
        <v>2483</v>
      </c>
      <c r="F3" s="262" t="s">
        <v>16</v>
      </c>
      <c r="G3" s="16" t="s">
        <v>2484</v>
      </c>
      <c r="H3" s="16" t="s">
        <v>2485</v>
      </c>
      <c r="I3" s="299" t="s">
        <v>19</v>
      </c>
      <c r="J3" s="214" t="s">
        <v>5577</v>
      </c>
      <c r="K3" s="214" t="s">
        <v>5578</v>
      </c>
    </row>
    <row r="4" spans="1:11" ht="25.5" thickBot="1">
      <c r="A4" s="261"/>
      <c r="B4" s="157"/>
      <c r="C4" s="287"/>
      <c r="D4" s="46" t="s">
        <v>2486</v>
      </c>
      <c r="E4" s="16" t="s">
        <v>2487</v>
      </c>
      <c r="F4" s="262" t="s">
        <v>16</v>
      </c>
      <c r="G4" s="16" t="s">
        <v>2488</v>
      </c>
      <c r="H4" s="16" t="s">
        <v>2489</v>
      </c>
      <c r="I4" s="299" t="s">
        <v>19</v>
      </c>
      <c r="J4" s="214" t="s">
        <v>5579</v>
      </c>
      <c r="K4" s="214" t="s">
        <v>5580</v>
      </c>
    </row>
    <row r="5" spans="1:11" ht="25.5" thickBot="1">
      <c r="A5" s="261"/>
      <c r="B5" s="157"/>
      <c r="C5" s="287"/>
      <c r="D5" s="46" t="s">
        <v>2490</v>
      </c>
      <c r="E5" s="16" t="s">
        <v>2491</v>
      </c>
      <c r="F5" s="262" t="s">
        <v>16</v>
      </c>
      <c r="G5" s="16" t="s">
        <v>2492</v>
      </c>
      <c r="H5" s="16" t="s">
        <v>2493</v>
      </c>
      <c r="I5" s="301" t="s">
        <v>26</v>
      </c>
      <c r="J5" s="214" t="s">
        <v>5581</v>
      </c>
      <c r="K5" s="214" t="s">
        <v>5582</v>
      </c>
    </row>
    <row r="6" spans="1:11" ht="29.5" thickBot="1">
      <c r="A6" s="261"/>
      <c r="B6" s="157"/>
      <c r="C6" s="288"/>
      <c r="D6" s="18" t="s">
        <v>2494</v>
      </c>
      <c r="E6" s="16" t="s">
        <v>2495</v>
      </c>
      <c r="F6" s="262" t="s">
        <v>23</v>
      </c>
      <c r="G6" s="16" t="s">
        <v>2496</v>
      </c>
      <c r="H6" s="16" t="s">
        <v>2497</v>
      </c>
      <c r="I6" s="301" t="s">
        <v>19</v>
      </c>
      <c r="J6" s="214" t="s">
        <v>309</v>
      </c>
      <c r="K6" s="214" t="s">
        <v>5583</v>
      </c>
    </row>
    <row r="7" spans="1:11" ht="29.5" thickBot="1">
      <c r="A7" s="261"/>
      <c r="B7" s="157"/>
      <c r="C7" s="289" t="s">
        <v>2498</v>
      </c>
      <c r="D7" s="13" t="s">
        <v>2499</v>
      </c>
      <c r="E7" s="25" t="s">
        <v>2500</v>
      </c>
      <c r="F7" s="12" t="s">
        <v>16</v>
      </c>
      <c r="G7" s="24" t="s">
        <v>2501</v>
      </c>
      <c r="H7" s="24" t="s">
        <v>2502</v>
      </c>
      <c r="I7" s="300" t="s">
        <v>19</v>
      </c>
      <c r="J7" s="214" t="s">
        <v>5584</v>
      </c>
      <c r="K7" s="214" t="s">
        <v>5585</v>
      </c>
    </row>
    <row r="8" spans="1:11" ht="29.5" thickBot="1">
      <c r="A8" s="261"/>
      <c r="B8" s="157"/>
      <c r="C8" s="290"/>
      <c r="D8" s="69" t="s">
        <v>2503</v>
      </c>
      <c r="E8" s="16" t="s">
        <v>2504</v>
      </c>
      <c r="F8" s="262" t="s">
        <v>23</v>
      </c>
      <c r="G8" s="16" t="s">
        <v>2505</v>
      </c>
      <c r="H8" s="16" t="s">
        <v>2506</v>
      </c>
      <c r="I8" s="301" t="s">
        <v>26</v>
      </c>
      <c r="J8" s="214" t="s">
        <v>3891</v>
      </c>
      <c r="K8" s="214" t="s">
        <v>5586</v>
      </c>
    </row>
    <row r="9" spans="1:11" ht="25.5" thickBot="1">
      <c r="A9" s="261"/>
      <c r="B9" s="157"/>
      <c r="C9" s="290"/>
      <c r="D9" s="70" t="s">
        <v>2507</v>
      </c>
      <c r="E9" s="16" t="s">
        <v>2508</v>
      </c>
      <c r="F9" s="262" t="s">
        <v>58</v>
      </c>
      <c r="G9" s="16" t="s">
        <v>2509</v>
      </c>
      <c r="H9" s="16" t="s">
        <v>2510</v>
      </c>
      <c r="I9" s="301" t="s">
        <v>19</v>
      </c>
      <c r="J9" s="214" t="s">
        <v>5587</v>
      </c>
      <c r="K9" s="214" t="s">
        <v>5588</v>
      </c>
    </row>
    <row r="10" spans="1:11" ht="29.5" thickBot="1">
      <c r="A10" s="261"/>
      <c r="B10" s="157"/>
      <c r="C10" s="290"/>
      <c r="D10" s="70" t="s">
        <v>2511</v>
      </c>
      <c r="E10" s="16" t="s">
        <v>2512</v>
      </c>
      <c r="F10" s="262" t="s">
        <v>23</v>
      </c>
      <c r="G10" s="16" t="s">
        <v>2513</v>
      </c>
      <c r="H10" s="16" t="s">
        <v>2514</v>
      </c>
      <c r="I10" s="301" t="s">
        <v>19</v>
      </c>
      <c r="J10" s="214" t="s">
        <v>5589</v>
      </c>
      <c r="K10" s="214" t="s">
        <v>5590</v>
      </c>
    </row>
    <row r="11" spans="1:11" ht="25.5" thickBot="1">
      <c r="A11" s="261"/>
      <c r="B11" s="157"/>
      <c r="C11" s="291"/>
      <c r="D11" s="17" t="s">
        <v>2515</v>
      </c>
      <c r="E11" s="16" t="s">
        <v>2516</v>
      </c>
      <c r="F11" s="262" t="s">
        <v>16</v>
      </c>
      <c r="G11" s="16" t="s">
        <v>2517</v>
      </c>
      <c r="H11" s="16" t="s">
        <v>2518</v>
      </c>
      <c r="I11" s="301" t="s">
        <v>26</v>
      </c>
      <c r="J11" s="214" t="s">
        <v>5591</v>
      </c>
      <c r="K11" s="214" t="s">
        <v>5592</v>
      </c>
    </row>
    <row r="12" spans="1:11" ht="25.5" thickBot="1">
      <c r="A12" s="261"/>
      <c r="B12" s="157"/>
      <c r="C12" s="289" t="s">
        <v>2519</v>
      </c>
      <c r="D12" s="13" t="s">
        <v>2520</v>
      </c>
      <c r="E12" s="25" t="s">
        <v>2521</v>
      </c>
      <c r="F12" s="12" t="s">
        <v>23</v>
      </c>
      <c r="G12" s="24" t="s">
        <v>2522</v>
      </c>
      <c r="H12" s="24" t="s">
        <v>2523</v>
      </c>
      <c r="I12" s="346" t="s">
        <v>26</v>
      </c>
      <c r="J12" s="214" t="s">
        <v>5593</v>
      </c>
      <c r="K12" s="214" t="s">
        <v>5594</v>
      </c>
    </row>
    <row r="13" spans="1:11" ht="25.5" thickBot="1">
      <c r="A13" s="261"/>
      <c r="B13" s="157"/>
      <c r="C13" s="289"/>
      <c r="D13" s="69" t="s">
        <v>2524</v>
      </c>
      <c r="E13" s="16" t="s">
        <v>2525</v>
      </c>
      <c r="F13" s="262" t="s">
        <v>23</v>
      </c>
      <c r="G13" s="16" t="s">
        <v>2526</v>
      </c>
      <c r="H13" s="16" t="s">
        <v>2527</v>
      </c>
      <c r="I13" s="347" t="s">
        <v>26</v>
      </c>
      <c r="J13" s="214" t="s">
        <v>5575</v>
      </c>
      <c r="K13" s="214" t="s">
        <v>5595</v>
      </c>
    </row>
    <row r="14" spans="1:11" ht="25.5" thickBot="1">
      <c r="A14" s="261"/>
      <c r="B14" s="157"/>
      <c r="C14" s="289"/>
      <c r="D14" s="70" t="s">
        <v>2528</v>
      </c>
      <c r="E14" s="16" t="s">
        <v>2529</v>
      </c>
      <c r="F14" s="262" t="s">
        <v>23</v>
      </c>
      <c r="G14" s="16" t="s">
        <v>2530</v>
      </c>
      <c r="H14" s="16" t="s">
        <v>2531</v>
      </c>
      <c r="I14" s="347" t="s">
        <v>26</v>
      </c>
      <c r="J14" s="214" t="s">
        <v>5596</v>
      </c>
      <c r="K14" s="214" t="s">
        <v>5597</v>
      </c>
    </row>
    <row r="15" spans="1:11" ht="25.5" thickBot="1">
      <c r="A15" s="261"/>
      <c r="B15" s="157"/>
      <c r="C15" s="289"/>
      <c r="D15" s="70" t="s">
        <v>2532</v>
      </c>
      <c r="E15" s="16" t="s">
        <v>2533</v>
      </c>
      <c r="F15" s="262" t="s">
        <v>23</v>
      </c>
      <c r="G15" s="16" t="s">
        <v>350</v>
      </c>
      <c r="H15" s="16" t="s">
        <v>2534</v>
      </c>
      <c r="I15" s="347" t="s">
        <v>26</v>
      </c>
      <c r="J15" s="214" t="s">
        <v>5598</v>
      </c>
      <c r="K15" s="214" t="s">
        <v>5599</v>
      </c>
    </row>
    <row r="16" spans="1:11" ht="25.5" thickBot="1">
      <c r="A16" s="261"/>
      <c r="B16" s="157"/>
      <c r="C16" s="289"/>
      <c r="D16" s="21" t="s">
        <v>2535</v>
      </c>
      <c r="E16" s="20" t="s">
        <v>2536</v>
      </c>
      <c r="F16" s="265" t="s">
        <v>23</v>
      </c>
      <c r="G16" s="20" t="s">
        <v>2537</v>
      </c>
      <c r="H16" s="20" t="s">
        <v>2538</v>
      </c>
      <c r="I16" s="348" t="s">
        <v>26</v>
      </c>
      <c r="J16" s="214" t="s">
        <v>5600</v>
      </c>
      <c r="K16" s="214" t="s">
        <v>5601</v>
      </c>
    </row>
    <row r="17" spans="1:11" ht="25.5" thickBot="1">
      <c r="A17" s="261"/>
      <c r="B17" s="157"/>
      <c r="C17" s="289" t="s">
        <v>2539</v>
      </c>
      <c r="D17" s="13" t="s">
        <v>2540</v>
      </c>
      <c r="E17" s="25" t="s">
        <v>2541</v>
      </c>
      <c r="F17" s="12" t="s">
        <v>16</v>
      </c>
      <c r="G17" s="24" t="s">
        <v>2542</v>
      </c>
      <c r="H17" s="24" t="s">
        <v>2543</v>
      </c>
      <c r="I17" s="346" t="s">
        <v>19</v>
      </c>
      <c r="J17" s="214" t="s">
        <v>5602</v>
      </c>
      <c r="K17" s="214" t="s">
        <v>5603</v>
      </c>
    </row>
    <row r="18" spans="1:11" ht="25.5" thickBot="1">
      <c r="A18" s="261"/>
      <c r="B18" s="157"/>
      <c r="C18" s="290"/>
      <c r="D18" s="69" t="s">
        <v>2544</v>
      </c>
      <c r="E18" s="16" t="s">
        <v>2545</v>
      </c>
      <c r="F18" s="262" t="s">
        <v>58</v>
      </c>
      <c r="G18" s="16" t="s">
        <v>2546</v>
      </c>
      <c r="H18" s="16" t="s">
        <v>2547</v>
      </c>
      <c r="I18" s="347" t="s">
        <v>26</v>
      </c>
      <c r="J18" s="214" t="s">
        <v>5604</v>
      </c>
      <c r="K18" s="214" t="s">
        <v>5605</v>
      </c>
    </row>
    <row r="19" spans="1:11" ht="25.5" thickBot="1">
      <c r="A19" s="261"/>
      <c r="B19" s="157"/>
      <c r="C19" s="290"/>
      <c r="D19" s="70" t="s">
        <v>2548</v>
      </c>
      <c r="E19" s="16" t="s">
        <v>2549</v>
      </c>
      <c r="F19" s="262" t="s">
        <v>23</v>
      </c>
      <c r="G19" s="16" t="s">
        <v>2550</v>
      </c>
      <c r="H19" s="16" t="s">
        <v>2551</v>
      </c>
      <c r="I19" s="347" t="s">
        <v>26</v>
      </c>
      <c r="J19" s="214" t="s">
        <v>5606</v>
      </c>
      <c r="K19" s="214" t="s">
        <v>5607</v>
      </c>
    </row>
    <row r="20" spans="1:11" ht="25.5" thickBot="1">
      <c r="A20" s="261"/>
      <c r="B20" s="157"/>
      <c r="C20" s="290"/>
      <c r="D20" s="70" t="s">
        <v>2552</v>
      </c>
      <c r="E20" s="16" t="s">
        <v>2553</v>
      </c>
      <c r="F20" s="262" t="s">
        <v>58</v>
      </c>
      <c r="G20" s="16" t="s">
        <v>2554</v>
      </c>
      <c r="H20" s="16" t="s">
        <v>2555</v>
      </c>
      <c r="I20" s="347" t="s">
        <v>26</v>
      </c>
      <c r="J20" s="214" t="s">
        <v>5608</v>
      </c>
      <c r="K20" s="214" t="s">
        <v>5609</v>
      </c>
    </row>
    <row r="21" spans="1:11" ht="25.5" thickBot="1">
      <c r="A21" s="261"/>
      <c r="B21" s="157"/>
      <c r="C21" s="291"/>
      <c r="D21" s="17" t="s">
        <v>2556</v>
      </c>
      <c r="E21" s="16" t="s">
        <v>2557</v>
      </c>
      <c r="F21" s="262" t="s">
        <v>23</v>
      </c>
      <c r="G21" s="16" t="s">
        <v>333</v>
      </c>
      <c r="H21" s="16" t="s">
        <v>2558</v>
      </c>
      <c r="I21" s="347" t="s">
        <v>19</v>
      </c>
      <c r="J21" s="214" t="s">
        <v>5610</v>
      </c>
      <c r="K21" s="214" t="s">
        <v>5611</v>
      </c>
    </row>
    <row r="22" spans="1:11" ht="25.5" thickBot="1">
      <c r="A22" s="261"/>
      <c r="B22" s="157"/>
      <c r="C22" s="289" t="s">
        <v>2559</v>
      </c>
      <c r="D22" s="13" t="s">
        <v>2560</v>
      </c>
      <c r="E22" s="25" t="s">
        <v>2561</v>
      </c>
      <c r="F22" s="12" t="s">
        <v>23</v>
      </c>
      <c r="G22" s="24" t="s">
        <v>2562</v>
      </c>
      <c r="H22" s="24" t="s">
        <v>2563</v>
      </c>
      <c r="I22" s="346" t="s">
        <v>19</v>
      </c>
      <c r="J22" s="214" t="s">
        <v>5612</v>
      </c>
      <c r="K22" s="214" t="s">
        <v>5613</v>
      </c>
    </row>
    <row r="23" spans="1:11" ht="25.5" thickBot="1">
      <c r="A23" s="261"/>
      <c r="B23" s="157"/>
      <c r="C23" s="290"/>
      <c r="D23" s="69" t="s">
        <v>2564</v>
      </c>
      <c r="E23" s="16" t="s">
        <v>2565</v>
      </c>
      <c r="F23" s="262" t="s">
        <v>23</v>
      </c>
      <c r="G23" s="16" t="s">
        <v>2566</v>
      </c>
      <c r="H23" s="16" t="s">
        <v>2567</v>
      </c>
      <c r="I23" s="347" t="s">
        <v>19</v>
      </c>
      <c r="J23" s="214" t="s">
        <v>5614</v>
      </c>
      <c r="K23" s="214" t="s">
        <v>5615</v>
      </c>
    </row>
    <row r="24" spans="1:11" ht="25.5" thickBot="1">
      <c r="A24" s="261"/>
      <c r="B24" s="157"/>
      <c r="C24" s="290"/>
      <c r="D24" s="70" t="s">
        <v>2568</v>
      </c>
      <c r="E24" s="16" t="s">
        <v>2569</v>
      </c>
      <c r="F24" s="262" t="s">
        <v>23</v>
      </c>
      <c r="G24" s="16" t="s">
        <v>2570</v>
      </c>
      <c r="H24" s="16" t="s">
        <v>2571</v>
      </c>
      <c r="I24" s="347" t="s">
        <v>26</v>
      </c>
      <c r="J24" s="214" t="s">
        <v>5616</v>
      </c>
      <c r="K24" s="214" t="s">
        <v>5617</v>
      </c>
    </row>
    <row r="25" spans="1:11" ht="25.5" thickBot="1">
      <c r="A25" s="261"/>
      <c r="B25" s="157"/>
      <c r="C25" s="290"/>
      <c r="D25" s="17" t="s">
        <v>2572</v>
      </c>
      <c r="E25" s="16" t="s">
        <v>2573</v>
      </c>
      <c r="F25" s="262" t="s">
        <v>58</v>
      </c>
      <c r="G25" s="16" t="s">
        <v>2574</v>
      </c>
      <c r="H25" s="16" t="s">
        <v>2575</v>
      </c>
      <c r="I25" s="347" t="s">
        <v>19</v>
      </c>
      <c r="J25" s="214" t="s">
        <v>5618</v>
      </c>
      <c r="K25" s="214" t="s">
        <v>5619</v>
      </c>
    </row>
    <row r="26" spans="1:11" ht="25.5" thickBot="1">
      <c r="A26" s="261"/>
      <c r="B26" s="157"/>
      <c r="C26" s="291"/>
      <c r="D26" s="21" t="s">
        <v>2576</v>
      </c>
      <c r="E26" s="20" t="s">
        <v>2577</v>
      </c>
      <c r="F26" s="265" t="s">
        <v>58</v>
      </c>
      <c r="G26" s="20" t="s">
        <v>2578</v>
      </c>
      <c r="H26" s="20" t="s">
        <v>2579</v>
      </c>
      <c r="I26" s="348" t="s">
        <v>26</v>
      </c>
      <c r="J26" s="214" t="s">
        <v>5620</v>
      </c>
      <c r="K26" s="214" t="s">
        <v>5621</v>
      </c>
    </row>
    <row r="27" spans="1:11" ht="25.5" thickBot="1">
      <c r="A27" s="261"/>
      <c r="B27" s="156" t="s">
        <v>2580</v>
      </c>
      <c r="C27" s="289" t="s">
        <v>2581</v>
      </c>
      <c r="D27" s="14" t="s">
        <v>2582</v>
      </c>
      <c r="E27" s="24" t="s">
        <v>2583</v>
      </c>
      <c r="F27" s="268" t="s">
        <v>16</v>
      </c>
      <c r="G27" s="24" t="s">
        <v>2584</v>
      </c>
      <c r="H27" s="24" t="s">
        <v>2585</v>
      </c>
      <c r="I27" s="346" t="s">
        <v>26</v>
      </c>
      <c r="J27" s="214" t="s">
        <v>5622</v>
      </c>
      <c r="K27" s="214" t="s">
        <v>5623</v>
      </c>
    </row>
    <row r="28" spans="1:11" ht="25.5" thickBot="1">
      <c r="A28" s="261"/>
      <c r="B28" s="157"/>
      <c r="C28" s="290"/>
      <c r="D28" s="70" t="s">
        <v>2586</v>
      </c>
      <c r="E28" s="16" t="s">
        <v>2587</v>
      </c>
      <c r="F28" s="262" t="s">
        <v>23</v>
      </c>
      <c r="G28" s="16" t="s">
        <v>2588</v>
      </c>
      <c r="H28" s="16" t="s">
        <v>2589</v>
      </c>
      <c r="I28" s="347" t="s">
        <v>26</v>
      </c>
      <c r="J28" s="214" t="s">
        <v>5624</v>
      </c>
      <c r="K28" s="214" t="s">
        <v>5625</v>
      </c>
    </row>
    <row r="29" spans="1:11" ht="25.5" thickBot="1">
      <c r="A29" s="261"/>
      <c r="B29" s="157"/>
      <c r="C29" s="290"/>
      <c r="D29" s="70" t="s">
        <v>2590</v>
      </c>
      <c r="E29" s="16" t="s">
        <v>2591</v>
      </c>
      <c r="F29" s="262" t="s">
        <v>16</v>
      </c>
      <c r="G29" s="16" t="s">
        <v>2592</v>
      </c>
      <c r="H29" s="16" t="s">
        <v>2593</v>
      </c>
      <c r="I29" s="347" t="s">
        <v>26</v>
      </c>
      <c r="J29" s="214" t="s">
        <v>5626</v>
      </c>
      <c r="K29" s="214" t="s">
        <v>5627</v>
      </c>
    </row>
    <row r="30" spans="1:11" ht="25.5" thickBot="1">
      <c r="A30" s="261"/>
      <c r="B30" s="157"/>
      <c r="C30" s="290"/>
      <c r="D30" s="17" t="s">
        <v>2594</v>
      </c>
      <c r="E30" s="16" t="s">
        <v>2595</v>
      </c>
      <c r="F30" s="262" t="s">
        <v>23</v>
      </c>
      <c r="G30" s="16" t="s">
        <v>2596</v>
      </c>
      <c r="H30" s="16" t="s">
        <v>2597</v>
      </c>
      <c r="I30" s="347" t="s">
        <v>26</v>
      </c>
      <c r="J30" s="214" t="s">
        <v>4486</v>
      </c>
      <c r="K30" s="214" t="s">
        <v>5628</v>
      </c>
    </row>
    <row r="31" spans="1:11" ht="25.5" thickBot="1">
      <c r="A31" s="261"/>
      <c r="B31" s="157"/>
      <c r="C31" s="291"/>
      <c r="D31" s="21" t="s">
        <v>2598</v>
      </c>
      <c r="E31" s="20" t="s">
        <v>2599</v>
      </c>
      <c r="F31" s="265" t="s">
        <v>23</v>
      </c>
      <c r="G31" s="20" t="s">
        <v>2600</v>
      </c>
      <c r="H31" s="20" t="s">
        <v>2601</v>
      </c>
      <c r="I31" s="348" t="s">
        <v>26</v>
      </c>
      <c r="J31" s="214" t="s">
        <v>3891</v>
      </c>
      <c r="K31" s="214" t="s">
        <v>5629</v>
      </c>
    </row>
    <row r="32" spans="1:11" ht="25.5" thickBot="1">
      <c r="A32" s="261"/>
      <c r="B32" s="157"/>
      <c r="C32" s="289" t="s">
        <v>2602</v>
      </c>
      <c r="D32" s="14" t="s">
        <v>2603</v>
      </c>
      <c r="E32" s="24" t="s">
        <v>2604</v>
      </c>
      <c r="F32" s="268" t="s">
        <v>16</v>
      </c>
      <c r="G32" s="24" t="s">
        <v>2605</v>
      </c>
      <c r="H32" s="24" t="s">
        <v>2606</v>
      </c>
      <c r="I32" s="346" t="s">
        <v>26</v>
      </c>
      <c r="J32" s="214" t="s">
        <v>5630</v>
      </c>
      <c r="K32" s="214" t="s">
        <v>5631</v>
      </c>
    </row>
    <row r="33" spans="1:11" ht="25.5" thickBot="1">
      <c r="A33" s="261"/>
      <c r="B33" s="157"/>
      <c r="C33" s="290"/>
      <c r="D33" s="70" t="s">
        <v>2607</v>
      </c>
      <c r="E33" s="16" t="s">
        <v>2608</v>
      </c>
      <c r="F33" s="262" t="s">
        <v>58</v>
      </c>
      <c r="G33" s="16" t="s">
        <v>2609</v>
      </c>
      <c r="H33" s="16" t="s">
        <v>2610</v>
      </c>
      <c r="I33" s="347" t="s">
        <v>26</v>
      </c>
      <c r="J33" s="214" t="s">
        <v>5632</v>
      </c>
      <c r="K33" s="214" t="s">
        <v>5633</v>
      </c>
    </row>
    <row r="34" spans="1:11" ht="25.5" thickBot="1">
      <c r="A34" s="261"/>
      <c r="B34" s="157"/>
      <c r="C34" s="290"/>
      <c r="D34" s="70" t="s">
        <v>2611</v>
      </c>
      <c r="E34" s="16" t="s">
        <v>2612</v>
      </c>
      <c r="F34" s="262" t="s">
        <v>58</v>
      </c>
      <c r="G34" s="16" t="s">
        <v>2613</v>
      </c>
      <c r="H34" s="16" t="s">
        <v>2614</v>
      </c>
      <c r="I34" s="347" t="s">
        <v>19</v>
      </c>
      <c r="J34" s="214" t="s">
        <v>5634</v>
      </c>
      <c r="K34" s="227" t="s">
        <v>5635</v>
      </c>
    </row>
    <row r="35" spans="1:11" ht="25.5" thickBot="1">
      <c r="A35" s="261"/>
      <c r="B35" s="157"/>
      <c r="C35" s="290"/>
      <c r="D35" s="17" t="s">
        <v>2615</v>
      </c>
      <c r="E35" s="16" t="s">
        <v>2616</v>
      </c>
      <c r="F35" s="262" t="s">
        <v>16</v>
      </c>
      <c r="G35" s="16" t="s">
        <v>2617</v>
      </c>
      <c r="H35" s="16" t="s">
        <v>2618</v>
      </c>
      <c r="I35" s="347" t="s">
        <v>26</v>
      </c>
      <c r="J35" s="214" t="s">
        <v>5636</v>
      </c>
      <c r="K35" s="214" t="s">
        <v>5637</v>
      </c>
    </row>
    <row r="36" spans="1:11" ht="25.5" thickBot="1">
      <c r="A36" s="261"/>
      <c r="B36" s="157"/>
      <c r="C36" s="291"/>
      <c r="D36" s="21" t="s">
        <v>2619</v>
      </c>
      <c r="E36" s="20" t="s">
        <v>2620</v>
      </c>
      <c r="F36" s="265" t="s">
        <v>23</v>
      </c>
      <c r="G36" s="20" t="s">
        <v>2621</v>
      </c>
      <c r="H36" s="20" t="s">
        <v>2622</v>
      </c>
      <c r="I36" s="348" t="s">
        <v>26</v>
      </c>
      <c r="J36" s="214" t="s">
        <v>5638</v>
      </c>
      <c r="K36" s="214" t="s">
        <v>5639</v>
      </c>
    </row>
    <row r="37" spans="1:11" ht="25.5" thickBot="1">
      <c r="A37" s="261"/>
      <c r="B37" s="157"/>
      <c r="C37" s="289" t="s">
        <v>2623</v>
      </c>
      <c r="D37" s="14" t="s">
        <v>2624</v>
      </c>
      <c r="E37" s="24" t="s">
        <v>2625</v>
      </c>
      <c r="F37" s="268" t="s">
        <v>23</v>
      </c>
      <c r="G37" s="24" t="s">
        <v>2626</v>
      </c>
      <c r="H37" s="24" t="s">
        <v>2627</v>
      </c>
      <c r="I37" s="346" t="s">
        <v>19</v>
      </c>
      <c r="J37" s="214" t="s">
        <v>5640</v>
      </c>
      <c r="K37" s="214" t="s">
        <v>5641</v>
      </c>
    </row>
    <row r="38" spans="1:11" ht="25.5" thickBot="1">
      <c r="A38" s="261"/>
      <c r="B38" s="157"/>
      <c r="C38" s="290"/>
      <c r="D38" s="70" t="s">
        <v>2628</v>
      </c>
      <c r="E38" s="16" t="s">
        <v>2629</v>
      </c>
      <c r="F38" s="262" t="s">
        <v>23</v>
      </c>
      <c r="G38" s="16" t="s">
        <v>2630</v>
      </c>
      <c r="H38" s="16" t="s">
        <v>2631</v>
      </c>
      <c r="I38" s="347" t="s">
        <v>26</v>
      </c>
      <c r="J38" s="214" t="s">
        <v>5642</v>
      </c>
      <c r="K38" s="214" t="s">
        <v>5643</v>
      </c>
    </row>
    <row r="39" spans="1:11" ht="25.5" thickBot="1">
      <c r="A39" s="261"/>
      <c r="B39" s="157"/>
      <c r="C39" s="290"/>
      <c r="D39" s="70" t="s">
        <v>2632</v>
      </c>
      <c r="E39" s="16" t="s">
        <v>2633</v>
      </c>
      <c r="F39" s="262" t="s">
        <v>23</v>
      </c>
      <c r="G39" s="16" t="s">
        <v>2634</v>
      </c>
      <c r="H39" s="16" t="s">
        <v>2635</v>
      </c>
      <c r="I39" s="347" t="s">
        <v>26</v>
      </c>
      <c r="J39" s="214" t="s">
        <v>5644</v>
      </c>
      <c r="K39" s="214" t="s">
        <v>5645</v>
      </c>
    </row>
    <row r="40" spans="1:11" ht="25.5" thickBot="1">
      <c r="A40" s="261"/>
      <c r="B40" s="157"/>
      <c r="C40" s="290"/>
      <c r="D40" s="17" t="s">
        <v>2636</v>
      </c>
      <c r="E40" s="16" t="s">
        <v>2637</v>
      </c>
      <c r="F40" s="262" t="s">
        <v>23</v>
      </c>
      <c r="G40" s="16" t="s">
        <v>2638</v>
      </c>
      <c r="H40" s="16" t="s">
        <v>2639</v>
      </c>
      <c r="I40" s="347" t="s">
        <v>26</v>
      </c>
      <c r="J40" s="214" t="s">
        <v>5646</v>
      </c>
      <c r="K40" s="214" t="s">
        <v>5647</v>
      </c>
    </row>
    <row r="41" spans="1:11" ht="25.5" thickBot="1">
      <c r="A41" s="261"/>
      <c r="B41" s="157"/>
      <c r="C41" s="291"/>
      <c r="D41" s="21" t="s">
        <v>2640</v>
      </c>
      <c r="E41" s="20" t="s">
        <v>2641</v>
      </c>
      <c r="F41" s="265" t="s">
        <v>58</v>
      </c>
      <c r="G41" s="20" t="s">
        <v>2642</v>
      </c>
      <c r="H41" s="20" t="s">
        <v>2643</v>
      </c>
      <c r="I41" s="348" t="s">
        <v>26</v>
      </c>
      <c r="J41" s="214" t="s">
        <v>5648</v>
      </c>
      <c r="K41" s="214" t="s">
        <v>5649</v>
      </c>
    </row>
    <row r="42" spans="1:11" ht="25.5" thickBot="1">
      <c r="A42" s="261"/>
      <c r="B42" s="157"/>
      <c r="C42" s="289" t="s">
        <v>2644</v>
      </c>
      <c r="D42" s="14" t="s">
        <v>2645</v>
      </c>
      <c r="E42" s="24" t="s">
        <v>2646</v>
      </c>
      <c r="F42" s="268" t="s">
        <v>23</v>
      </c>
      <c r="G42" s="24" t="s">
        <v>2647</v>
      </c>
      <c r="H42" s="24" t="s">
        <v>2648</v>
      </c>
      <c r="I42" s="346" t="s">
        <v>26</v>
      </c>
      <c r="J42" s="214" t="s">
        <v>5650</v>
      </c>
      <c r="K42" s="227" t="s">
        <v>5651</v>
      </c>
    </row>
    <row r="43" spans="1:11" ht="25.5" thickBot="1">
      <c r="A43" s="261"/>
      <c r="B43" s="157"/>
      <c r="C43" s="290"/>
      <c r="D43" s="70" t="s">
        <v>2649</v>
      </c>
      <c r="E43" s="16" t="s">
        <v>2650</v>
      </c>
      <c r="F43" s="262" t="s">
        <v>23</v>
      </c>
      <c r="G43" s="16" t="s">
        <v>2651</v>
      </c>
      <c r="H43" s="16" t="s">
        <v>2652</v>
      </c>
      <c r="I43" s="347" t="s">
        <v>206</v>
      </c>
      <c r="J43" s="214" t="s">
        <v>5652</v>
      </c>
      <c r="K43" s="214" t="s">
        <v>5653</v>
      </c>
    </row>
    <row r="44" spans="1:11" ht="25.5" thickBot="1">
      <c r="A44" s="261"/>
      <c r="B44" s="157"/>
      <c r="C44" s="290"/>
      <c r="D44" s="70" t="s">
        <v>2653</v>
      </c>
      <c r="E44" s="16" t="s">
        <v>2654</v>
      </c>
      <c r="F44" s="262" t="s">
        <v>23</v>
      </c>
      <c r="G44" s="16" t="s">
        <v>2655</v>
      </c>
      <c r="H44" s="16" t="s">
        <v>2656</v>
      </c>
      <c r="I44" s="347" t="s">
        <v>206</v>
      </c>
      <c r="J44" s="214" t="s">
        <v>5654</v>
      </c>
      <c r="K44" s="214" t="s">
        <v>5655</v>
      </c>
    </row>
    <row r="45" spans="1:11" ht="25.5" thickBot="1">
      <c r="A45" s="261"/>
      <c r="B45" s="157"/>
      <c r="C45" s="290"/>
      <c r="D45" s="17" t="s">
        <v>2657</v>
      </c>
      <c r="E45" s="16" t="s">
        <v>2658</v>
      </c>
      <c r="F45" s="262" t="s">
        <v>23</v>
      </c>
      <c r="G45" s="16" t="s">
        <v>2659</v>
      </c>
      <c r="H45" s="16" t="s">
        <v>2660</v>
      </c>
      <c r="I45" s="347" t="s">
        <v>206</v>
      </c>
      <c r="J45" s="214" t="s">
        <v>5656</v>
      </c>
      <c r="K45" s="214" t="s">
        <v>5657</v>
      </c>
    </row>
    <row r="46" spans="1:11" ht="25.5" thickBot="1">
      <c r="A46" s="261"/>
      <c r="B46" s="157"/>
      <c r="C46" s="291"/>
      <c r="D46" s="21" t="s">
        <v>2661</v>
      </c>
      <c r="E46" s="20" t="s">
        <v>2662</v>
      </c>
      <c r="F46" s="265" t="s">
        <v>23</v>
      </c>
      <c r="G46" s="20" t="s">
        <v>2663</v>
      </c>
      <c r="H46" s="20" t="s">
        <v>2664</v>
      </c>
      <c r="I46" s="348" t="s">
        <v>206</v>
      </c>
      <c r="J46" s="214" t="s">
        <v>5658</v>
      </c>
      <c r="K46" s="214" t="s">
        <v>5659</v>
      </c>
    </row>
    <row r="47" spans="1:11" ht="25.5" thickBot="1">
      <c r="A47" s="261"/>
      <c r="B47" s="157"/>
      <c r="C47" s="289" t="s">
        <v>2665</v>
      </c>
      <c r="D47" s="14" t="s">
        <v>2666</v>
      </c>
      <c r="E47" s="24" t="s">
        <v>2667</v>
      </c>
      <c r="F47" s="268" t="s">
        <v>16</v>
      </c>
      <c r="G47" s="24" t="s">
        <v>2668</v>
      </c>
      <c r="H47" s="24" t="s">
        <v>2669</v>
      </c>
      <c r="I47" s="346" t="s">
        <v>26</v>
      </c>
      <c r="J47" s="214" t="s">
        <v>5660</v>
      </c>
      <c r="K47" s="214" t="s">
        <v>5661</v>
      </c>
    </row>
    <row r="48" spans="1:11" ht="25">
      <c r="A48" s="261"/>
      <c r="B48" s="157"/>
      <c r="C48" s="290"/>
      <c r="D48" s="70" t="s">
        <v>2670</v>
      </c>
      <c r="E48" s="16" t="s">
        <v>2671</v>
      </c>
      <c r="F48" s="262" t="s">
        <v>16</v>
      </c>
      <c r="G48" s="16" t="s">
        <v>2672</v>
      </c>
      <c r="H48" s="16" t="s">
        <v>2673</v>
      </c>
      <c r="I48" s="301" t="s">
        <v>206</v>
      </c>
      <c r="J48" s="270"/>
      <c r="K48" s="271"/>
    </row>
    <row r="49" spans="1:11" ht="25">
      <c r="A49" s="261"/>
      <c r="B49" s="157"/>
      <c r="C49" s="290"/>
      <c r="D49" s="70" t="s">
        <v>2674</v>
      </c>
      <c r="E49" s="16" t="s">
        <v>2675</v>
      </c>
      <c r="F49" s="262" t="s">
        <v>23</v>
      </c>
      <c r="G49" s="16" t="s">
        <v>2676</v>
      </c>
      <c r="H49" s="16" t="s">
        <v>2677</v>
      </c>
      <c r="I49" s="301" t="s">
        <v>206</v>
      </c>
      <c r="J49" s="263"/>
      <c r="K49" s="264"/>
    </row>
    <row r="50" spans="1:11" ht="25">
      <c r="A50" s="261"/>
      <c r="B50" s="157"/>
      <c r="C50" s="290"/>
      <c r="D50" s="17" t="s">
        <v>2678</v>
      </c>
      <c r="E50" s="16" t="s">
        <v>2679</v>
      </c>
      <c r="F50" s="262" t="s">
        <v>16</v>
      </c>
      <c r="G50" s="16" t="s">
        <v>2680</v>
      </c>
      <c r="H50" s="16" t="s">
        <v>2681</v>
      </c>
      <c r="I50" s="301" t="s">
        <v>26</v>
      </c>
      <c r="J50" s="263"/>
      <c r="K50" s="264"/>
    </row>
    <row r="51" spans="1:11" ht="25.5" thickBot="1">
      <c r="A51" s="261"/>
      <c r="B51" s="173"/>
      <c r="C51" s="291"/>
      <c r="D51" s="21" t="s">
        <v>2682</v>
      </c>
      <c r="E51" s="20" t="s">
        <v>2683</v>
      </c>
      <c r="F51" s="265" t="s">
        <v>58</v>
      </c>
      <c r="G51" s="20" t="s">
        <v>2684</v>
      </c>
      <c r="H51" s="20" t="s">
        <v>2685</v>
      </c>
      <c r="I51" s="302" t="s">
        <v>206</v>
      </c>
      <c r="J51" s="266"/>
      <c r="K51" s="267"/>
    </row>
    <row r="52" spans="1:11" ht="25">
      <c r="A52" s="261"/>
      <c r="B52" s="156" t="s">
        <v>2686</v>
      </c>
      <c r="C52" s="287" t="s">
        <v>2687</v>
      </c>
      <c r="D52" s="55" t="s">
        <v>2688</v>
      </c>
      <c r="E52" s="269" t="s">
        <v>2689</v>
      </c>
      <c r="F52" s="51" t="s">
        <v>23</v>
      </c>
      <c r="G52" s="65" t="s">
        <v>2690</v>
      </c>
      <c r="H52" s="65" t="s">
        <v>2691</v>
      </c>
      <c r="I52" s="303" t="s">
        <v>26</v>
      </c>
      <c r="J52" s="270"/>
      <c r="K52" s="271"/>
    </row>
    <row r="53" spans="1:11" ht="25">
      <c r="A53" s="261"/>
      <c r="B53" s="157"/>
      <c r="C53" s="287"/>
      <c r="D53" s="70" t="s">
        <v>2692</v>
      </c>
      <c r="E53" s="16" t="s">
        <v>2693</v>
      </c>
      <c r="F53" s="262" t="s">
        <v>23</v>
      </c>
      <c r="G53" s="16" t="s">
        <v>2694</v>
      </c>
      <c r="H53" s="16" t="s">
        <v>2695</v>
      </c>
      <c r="I53" s="301" t="s">
        <v>26</v>
      </c>
      <c r="J53" s="263"/>
      <c r="K53" s="264"/>
    </row>
    <row r="54" spans="1:11" ht="25">
      <c r="A54" s="261"/>
      <c r="B54" s="157"/>
      <c r="C54" s="287"/>
      <c r="D54" s="70" t="s">
        <v>2696</v>
      </c>
      <c r="E54" s="16" t="s">
        <v>2697</v>
      </c>
      <c r="F54" s="262" t="s">
        <v>23</v>
      </c>
      <c r="G54" s="16" t="s">
        <v>2698</v>
      </c>
      <c r="H54" s="16" t="s">
        <v>2699</v>
      </c>
      <c r="I54" s="301" t="s">
        <v>206</v>
      </c>
      <c r="J54" s="263"/>
      <c r="K54" s="264"/>
    </row>
    <row r="55" spans="1:11" ht="25">
      <c r="A55" s="261"/>
      <c r="B55" s="157"/>
      <c r="C55" s="287"/>
      <c r="D55" s="17" t="s">
        <v>2700</v>
      </c>
      <c r="E55" s="16" t="s">
        <v>2701</v>
      </c>
      <c r="F55" s="262" t="s">
        <v>23</v>
      </c>
      <c r="G55" s="16" t="s">
        <v>2702</v>
      </c>
      <c r="H55" s="16" t="s">
        <v>2703</v>
      </c>
      <c r="I55" s="301" t="s">
        <v>26</v>
      </c>
      <c r="J55" s="263"/>
      <c r="K55" s="264"/>
    </row>
    <row r="56" spans="1:11" ht="25.5" thickBot="1">
      <c r="A56" s="261"/>
      <c r="B56" s="157"/>
      <c r="C56" s="288"/>
      <c r="D56" s="21" t="s">
        <v>2704</v>
      </c>
      <c r="E56" s="20" t="s">
        <v>2705</v>
      </c>
      <c r="F56" s="265" t="s">
        <v>23</v>
      </c>
      <c r="G56" s="20" t="s">
        <v>2706</v>
      </c>
      <c r="H56" s="20" t="s">
        <v>2707</v>
      </c>
      <c r="I56" s="302" t="s">
        <v>206</v>
      </c>
      <c r="J56" s="266"/>
      <c r="K56" s="267"/>
    </row>
    <row r="57" spans="1:11" ht="25">
      <c r="A57" s="261"/>
      <c r="B57" s="157"/>
      <c r="C57" s="289" t="s">
        <v>2708</v>
      </c>
      <c r="D57" s="13" t="s">
        <v>2709</v>
      </c>
      <c r="E57" s="25" t="s">
        <v>2710</v>
      </c>
      <c r="F57" s="12" t="s">
        <v>16</v>
      </c>
      <c r="G57" s="24" t="s">
        <v>2711</v>
      </c>
      <c r="H57" s="24" t="s">
        <v>2712</v>
      </c>
      <c r="I57" s="300" t="s">
        <v>26</v>
      </c>
      <c r="J57" s="259"/>
      <c r="K57" s="260"/>
    </row>
    <row r="58" spans="1:11" ht="25">
      <c r="A58" s="261"/>
      <c r="B58" s="157"/>
      <c r="C58" s="290"/>
      <c r="D58" s="70" t="s">
        <v>2713</v>
      </c>
      <c r="E58" s="16" t="s">
        <v>2714</v>
      </c>
      <c r="F58" s="262" t="s">
        <v>58</v>
      </c>
      <c r="G58" s="16" t="s">
        <v>2715</v>
      </c>
      <c r="H58" s="16" t="s">
        <v>2716</v>
      </c>
      <c r="I58" s="301" t="s">
        <v>206</v>
      </c>
      <c r="J58" s="263"/>
      <c r="K58" s="264"/>
    </row>
    <row r="59" spans="1:11" ht="25">
      <c r="A59" s="261"/>
      <c r="B59" s="157"/>
      <c r="C59" s="290"/>
      <c r="D59" s="70" t="s">
        <v>2717</v>
      </c>
      <c r="E59" s="16" t="s">
        <v>2718</v>
      </c>
      <c r="F59" s="262" t="s">
        <v>16</v>
      </c>
      <c r="G59" s="16" t="s">
        <v>2719</v>
      </c>
      <c r="H59" s="16" t="s">
        <v>2720</v>
      </c>
      <c r="I59" s="301" t="s">
        <v>206</v>
      </c>
      <c r="J59" s="263"/>
      <c r="K59" s="264"/>
    </row>
    <row r="60" spans="1:11" ht="25">
      <c r="A60" s="261"/>
      <c r="B60" s="157"/>
      <c r="C60" s="290"/>
      <c r="D60" s="17" t="s">
        <v>2721</v>
      </c>
      <c r="E60" s="16" t="s">
        <v>2722</v>
      </c>
      <c r="F60" s="262" t="s">
        <v>23</v>
      </c>
      <c r="G60" s="16" t="s">
        <v>2723</v>
      </c>
      <c r="H60" s="16" t="s">
        <v>2724</v>
      </c>
      <c r="I60" s="301" t="s">
        <v>206</v>
      </c>
      <c r="J60" s="263"/>
      <c r="K60" s="264"/>
    </row>
    <row r="61" spans="1:11" ht="25.5" thickBot="1">
      <c r="A61" s="261"/>
      <c r="B61" s="157"/>
      <c r="C61" s="291"/>
      <c r="D61" s="21" t="s">
        <v>2725</v>
      </c>
      <c r="E61" s="20" t="s">
        <v>2726</v>
      </c>
      <c r="F61" s="265" t="s">
        <v>58</v>
      </c>
      <c r="G61" s="20" t="s">
        <v>2727</v>
      </c>
      <c r="H61" s="20" t="s">
        <v>2728</v>
      </c>
      <c r="I61" s="302" t="s">
        <v>26</v>
      </c>
      <c r="J61" s="266"/>
      <c r="K61" s="267"/>
    </row>
    <row r="62" spans="1:11" ht="25">
      <c r="A62" s="261"/>
      <c r="B62" s="157"/>
      <c r="C62" s="289" t="s">
        <v>2729</v>
      </c>
      <c r="D62" s="13" t="s">
        <v>2730</v>
      </c>
      <c r="E62" s="25" t="s">
        <v>2731</v>
      </c>
      <c r="F62" s="12" t="s">
        <v>16</v>
      </c>
      <c r="G62" s="24" t="s">
        <v>2732</v>
      </c>
      <c r="H62" s="24" t="s">
        <v>2733</v>
      </c>
      <c r="I62" s="300" t="s">
        <v>26</v>
      </c>
      <c r="J62" s="259"/>
      <c r="K62" s="260"/>
    </row>
    <row r="63" spans="1:11" ht="25">
      <c r="A63" s="261"/>
      <c r="B63" s="157"/>
      <c r="C63" s="290"/>
      <c r="D63" s="69" t="s">
        <v>2734</v>
      </c>
      <c r="E63" s="16" t="s">
        <v>2735</v>
      </c>
      <c r="F63" s="262" t="s">
        <v>16</v>
      </c>
      <c r="G63" s="16" t="s">
        <v>2736</v>
      </c>
      <c r="H63" s="16" t="s">
        <v>2737</v>
      </c>
      <c r="I63" s="301" t="s">
        <v>26</v>
      </c>
      <c r="J63" s="263"/>
      <c r="K63" s="264"/>
    </row>
    <row r="64" spans="1:11" ht="25">
      <c r="A64" s="261"/>
      <c r="B64" s="157"/>
      <c r="C64" s="290"/>
      <c r="D64" s="70" t="s">
        <v>2738</v>
      </c>
      <c r="E64" s="16" t="s">
        <v>2739</v>
      </c>
      <c r="F64" s="262" t="s">
        <v>16</v>
      </c>
      <c r="G64" s="16" t="s">
        <v>2740</v>
      </c>
      <c r="H64" s="16" t="s">
        <v>2741</v>
      </c>
      <c r="I64" s="301" t="s">
        <v>206</v>
      </c>
      <c r="J64" s="263"/>
      <c r="K64" s="264"/>
    </row>
    <row r="65" spans="1:11" ht="25">
      <c r="A65" s="261"/>
      <c r="B65" s="157"/>
      <c r="C65" s="290"/>
      <c r="D65" s="17" t="s">
        <v>2742</v>
      </c>
      <c r="E65" s="16" t="s">
        <v>2743</v>
      </c>
      <c r="F65" s="262" t="s">
        <v>16</v>
      </c>
      <c r="G65" s="16" t="s">
        <v>2744</v>
      </c>
      <c r="H65" s="16" t="s">
        <v>2745</v>
      </c>
      <c r="I65" s="301" t="s">
        <v>206</v>
      </c>
      <c r="J65" s="263"/>
      <c r="K65" s="264"/>
    </row>
    <row r="66" spans="1:11" ht="25.5" thickBot="1">
      <c r="A66" s="261"/>
      <c r="B66" s="157"/>
      <c r="C66" s="291"/>
      <c r="D66" s="21" t="s">
        <v>2746</v>
      </c>
      <c r="E66" s="20" t="s">
        <v>2747</v>
      </c>
      <c r="F66" s="265" t="s">
        <v>58</v>
      </c>
      <c r="G66" s="20" t="s">
        <v>2748</v>
      </c>
      <c r="H66" s="20" t="s">
        <v>2749</v>
      </c>
      <c r="I66" s="302" t="s">
        <v>206</v>
      </c>
      <c r="J66" s="266"/>
      <c r="K66" s="267"/>
    </row>
    <row r="67" spans="1:11" ht="25">
      <c r="A67" s="261"/>
      <c r="B67" s="157"/>
      <c r="C67" s="289" t="s">
        <v>2750</v>
      </c>
      <c r="D67" s="13" t="s">
        <v>2751</v>
      </c>
      <c r="E67" s="25" t="s">
        <v>2752</v>
      </c>
      <c r="F67" s="12" t="s">
        <v>58</v>
      </c>
      <c r="G67" s="24" t="s">
        <v>2753</v>
      </c>
      <c r="H67" s="24" t="s">
        <v>2754</v>
      </c>
      <c r="I67" s="300" t="s">
        <v>26</v>
      </c>
      <c r="J67" s="259"/>
      <c r="K67" s="260"/>
    </row>
    <row r="68" spans="1:11" ht="25">
      <c r="A68" s="261"/>
      <c r="B68" s="157"/>
      <c r="C68" s="290"/>
      <c r="D68" s="69" t="s">
        <v>2755</v>
      </c>
      <c r="E68" s="16" t="s">
        <v>2756</v>
      </c>
      <c r="F68" s="262" t="s">
        <v>23</v>
      </c>
      <c r="G68" s="16" t="s">
        <v>2757</v>
      </c>
      <c r="H68" s="16" t="s">
        <v>2758</v>
      </c>
      <c r="I68" s="301" t="s">
        <v>206</v>
      </c>
      <c r="J68" s="263"/>
      <c r="K68" s="264"/>
    </row>
    <row r="69" spans="1:11" ht="25">
      <c r="A69" s="261"/>
      <c r="B69" s="157"/>
      <c r="C69" s="290"/>
      <c r="D69" s="70" t="s">
        <v>2759</v>
      </c>
      <c r="E69" s="16" t="s">
        <v>2760</v>
      </c>
      <c r="F69" s="262" t="s">
        <v>23</v>
      </c>
      <c r="G69" s="16" t="s">
        <v>2761</v>
      </c>
      <c r="H69" s="16" t="s">
        <v>2762</v>
      </c>
      <c r="I69" s="301" t="s">
        <v>206</v>
      </c>
      <c r="J69" s="263"/>
      <c r="K69" s="264"/>
    </row>
    <row r="70" spans="1:11" ht="25">
      <c r="A70" s="261"/>
      <c r="B70" s="157"/>
      <c r="C70" s="290"/>
      <c r="D70" s="17" t="s">
        <v>2763</v>
      </c>
      <c r="E70" s="16" t="s">
        <v>2764</v>
      </c>
      <c r="F70" s="262" t="s">
        <v>23</v>
      </c>
      <c r="G70" s="16" t="s">
        <v>2765</v>
      </c>
      <c r="H70" s="16" t="s">
        <v>2766</v>
      </c>
      <c r="I70" s="301" t="s">
        <v>206</v>
      </c>
      <c r="J70" s="263"/>
      <c r="K70" s="264"/>
    </row>
    <row r="71" spans="1:11" ht="25.5" thickBot="1">
      <c r="A71" s="261"/>
      <c r="B71" s="157"/>
      <c r="C71" s="291"/>
      <c r="D71" s="21" t="s">
        <v>2767</v>
      </c>
      <c r="E71" s="20" t="s">
        <v>2768</v>
      </c>
      <c r="F71" s="265" t="s">
        <v>23</v>
      </c>
      <c r="G71" s="20" t="s">
        <v>2769</v>
      </c>
      <c r="H71" s="20" t="s">
        <v>2770</v>
      </c>
      <c r="I71" s="302" t="s">
        <v>206</v>
      </c>
      <c r="J71" s="266"/>
      <c r="K71" s="267"/>
    </row>
    <row r="72" spans="1:11" ht="25">
      <c r="A72" s="272" t="s">
        <v>2771</v>
      </c>
      <c r="B72" s="169" t="s">
        <v>2772</v>
      </c>
      <c r="C72" s="292" t="s">
        <v>2773</v>
      </c>
      <c r="D72" s="29" t="s">
        <v>2774</v>
      </c>
      <c r="E72" s="26" t="s">
        <v>2775</v>
      </c>
      <c r="F72" s="27" t="s">
        <v>23</v>
      </c>
      <c r="G72" s="273" t="s">
        <v>2776</v>
      </c>
      <c r="H72" s="273" t="s">
        <v>2777</v>
      </c>
      <c r="I72" s="300" t="s">
        <v>26</v>
      </c>
      <c r="J72" s="274" t="s">
        <v>20</v>
      </c>
      <c r="K72" s="275"/>
    </row>
    <row r="73" spans="1:11" ht="25">
      <c r="A73" s="276"/>
      <c r="B73" s="164"/>
      <c r="C73" s="293"/>
      <c r="D73" s="88" t="s">
        <v>2778</v>
      </c>
      <c r="E73" s="30" t="s">
        <v>2779</v>
      </c>
      <c r="F73" s="31" t="s">
        <v>23</v>
      </c>
      <c r="G73" s="30" t="s">
        <v>2780</v>
      </c>
      <c r="H73" s="30" t="s">
        <v>2781</v>
      </c>
      <c r="I73" s="301" t="s">
        <v>206</v>
      </c>
      <c r="J73" s="277"/>
      <c r="K73" s="278"/>
    </row>
    <row r="74" spans="1:11" ht="25">
      <c r="A74" s="276"/>
      <c r="B74" s="164"/>
      <c r="C74" s="293"/>
      <c r="D74" s="93" t="s">
        <v>2782</v>
      </c>
      <c r="E74" s="30" t="s">
        <v>2783</v>
      </c>
      <c r="F74" s="31" t="s">
        <v>58</v>
      </c>
      <c r="G74" s="30" t="s">
        <v>2651</v>
      </c>
      <c r="H74" s="30" t="s">
        <v>2784</v>
      </c>
      <c r="I74" s="301" t="s">
        <v>206</v>
      </c>
      <c r="J74" s="277"/>
      <c r="K74" s="278"/>
    </row>
    <row r="75" spans="1:11" ht="25">
      <c r="A75" s="276"/>
      <c r="B75" s="164"/>
      <c r="C75" s="293"/>
      <c r="D75" s="93" t="s">
        <v>2785</v>
      </c>
      <c r="E75" s="30" t="s">
        <v>2786</v>
      </c>
      <c r="F75" s="31" t="s">
        <v>58</v>
      </c>
      <c r="G75" s="30" t="s">
        <v>2787</v>
      </c>
      <c r="H75" s="30" t="s">
        <v>2788</v>
      </c>
      <c r="I75" s="301" t="s">
        <v>26</v>
      </c>
      <c r="J75" s="277"/>
      <c r="K75" s="278"/>
    </row>
    <row r="76" spans="1:11" ht="25.5" thickBot="1">
      <c r="A76" s="276"/>
      <c r="B76" s="164"/>
      <c r="C76" s="293"/>
      <c r="D76" s="32" t="s">
        <v>2789</v>
      </c>
      <c r="E76" s="30" t="s">
        <v>2790</v>
      </c>
      <c r="F76" s="31" t="s">
        <v>23</v>
      </c>
      <c r="G76" s="30" t="s">
        <v>2791</v>
      </c>
      <c r="H76" s="30" t="s">
        <v>2792</v>
      </c>
      <c r="I76" s="301" t="s">
        <v>206</v>
      </c>
      <c r="J76" s="277"/>
      <c r="K76" s="278"/>
    </row>
    <row r="77" spans="1:11" ht="25">
      <c r="A77" s="276"/>
      <c r="B77" s="164"/>
      <c r="C77" s="294" t="s">
        <v>2793</v>
      </c>
      <c r="D77" s="28" t="s">
        <v>2794</v>
      </c>
      <c r="E77" s="38" t="s">
        <v>2795</v>
      </c>
      <c r="F77" s="27" t="s">
        <v>16</v>
      </c>
      <c r="G77" s="273" t="s">
        <v>2796</v>
      </c>
      <c r="H77" s="273" t="s">
        <v>2797</v>
      </c>
      <c r="I77" s="300" t="s">
        <v>26</v>
      </c>
      <c r="J77" s="274"/>
      <c r="K77" s="275"/>
    </row>
    <row r="78" spans="1:11" ht="25">
      <c r="A78" s="276"/>
      <c r="B78" s="164"/>
      <c r="C78" s="295"/>
      <c r="D78" s="88" t="s">
        <v>2798</v>
      </c>
      <c r="E78" s="30" t="s">
        <v>2799</v>
      </c>
      <c r="F78" s="31" t="s">
        <v>23</v>
      </c>
      <c r="G78" s="30" t="s">
        <v>2800</v>
      </c>
      <c r="H78" s="30" t="s">
        <v>2801</v>
      </c>
      <c r="I78" s="301" t="s">
        <v>26</v>
      </c>
      <c r="J78" s="277"/>
      <c r="K78" s="278"/>
    </row>
    <row r="79" spans="1:11" ht="25">
      <c r="A79" s="276"/>
      <c r="B79" s="164"/>
      <c r="C79" s="295"/>
      <c r="D79" s="93" t="s">
        <v>2802</v>
      </c>
      <c r="E79" s="30" t="s">
        <v>2803</v>
      </c>
      <c r="F79" s="31" t="s">
        <v>16</v>
      </c>
      <c r="G79" s="30" t="s">
        <v>2804</v>
      </c>
      <c r="H79" s="30" t="s">
        <v>2805</v>
      </c>
      <c r="I79" s="301" t="s">
        <v>26</v>
      </c>
      <c r="J79" s="277"/>
      <c r="K79" s="278"/>
    </row>
    <row r="80" spans="1:11" ht="25.5" thickBot="1">
      <c r="A80" s="276"/>
      <c r="B80" s="164"/>
      <c r="C80" s="295"/>
      <c r="D80" s="93" t="s">
        <v>2806</v>
      </c>
      <c r="E80" s="30" t="s">
        <v>2807</v>
      </c>
      <c r="F80" s="35" t="s">
        <v>23</v>
      </c>
      <c r="G80" s="30" t="s">
        <v>2808</v>
      </c>
      <c r="H80" s="30" t="s">
        <v>2809</v>
      </c>
      <c r="I80" s="301" t="s">
        <v>206</v>
      </c>
      <c r="J80" s="277"/>
      <c r="K80" s="278"/>
    </row>
    <row r="81" spans="1:11" ht="25.5" thickBot="1">
      <c r="A81" s="276"/>
      <c r="B81" s="164"/>
      <c r="C81" s="295"/>
      <c r="D81" s="32" t="s">
        <v>2810</v>
      </c>
      <c r="E81" s="30" t="s">
        <v>2811</v>
      </c>
      <c r="F81" s="279" t="s">
        <v>16</v>
      </c>
      <c r="G81" s="30" t="s">
        <v>2812</v>
      </c>
      <c r="H81" s="30" t="s">
        <v>2813</v>
      </c>
      <c r="I81" s="301" t="s">
        <v>26</v>
      </c>
      <c r="J81" s="277"/>
      <c r="K81" s="278"/>
    </row>
    <row r="82" spans="1:11" ht="25">
      <c r="A82" s="276"/>
      <c r="B82" s="164"/>
      <c r="C82" s="294" t="s">
        <v>2814</v>
      </c>
      <c r="D82" s="28" t="s">
        <v>2815</v>
      </c>
      <c r="E82" s="38" t="s">
        <v>2816</v>
      </c>
      <c r="F82" s="31" t="s">
        <v>16</v>
      </c>
      <c r="G82" s="273" t="s">
        <v>2817</v>
      </c>
      <c r="H82" s="273" t="s">
        <v>2818</v>
      </c>
      <c r="I82" s="300" t="s">
        <v>206</v>
      </c>
      <c r="J82" s="274"/>
      <c r="K82" s="275"/>
    </row>
    <row r="83" spans="1:11" ht="25">
      <c r="A83" s="276"/>
      <c r="B83" s="164"/>
      <c r="C83" s="295"/>
      <c r="D83" s="88" t="s">
        <v>2819</v>
      </c>
      <c r="E83" s="30" t="s">
        <v>2820</v>
      </c>
      <c r="F83" s="31" t="s">
        <v>23</v>
      </c>
      <c r="G83" s="30" t="s">
        <v>2821</v>
      </c>
      <c r="H83" s="30" t="s">
        <v>2822</v>
      </c>
      <c r="I83" s="301" t="s">
        <v>206</v>
      </c>
      <c r="J83" s="277"/>
      <c r="K83" s="278"/>
    </row>
    <row r="84" spans="1:11" ht="25">
      <c r="A84" s="276"/>
      <c r="B84" s="164"/>
      <c r="C84" s="295"/>
      <c r="D84" s="93" t="s">
        <v>2823</v>
      </c>
      <c r="E84" s="30" t="s">
        <v>2824</v>
      </c>
      <c r="F84" s="31" t="s">
        <v>16</v>
      </c>
      <c r="G84" s="30" t="s">
        <v>2825</v>
      </c>
      <c r="H84" s="30" t="s">
        <v>2826</v>
      </c>
      <c r="I84" s="301" t="s">
        <v>26</v>
      </c>
      <c r="J84" s="277"/>
      <c r="K84" s="278"/>
    </row>
    <row r="85" spans="1:11" ht="25.5" thickBot="1">
      <c r="A85" s="276"/>
      <c r="B85" s="164"/>
      <c r="C85" s="295"/>
      <c r="D85" s="93" t="s">
        <v>2827</v>
      </c>
      <c r="E85" s="30" t="s">
        <v>2828</v>
      </c>
      <c r="F85" s="35" t="s">
        <v>58</v>
      </c>
      <c r="G85" s="30" t="s">
        <v>2829</v>
      </c>
      <c r="H85" s="30" t="s">
        <v>2830</v>
      </c>
      <c r="I85" s="301" t="s">
        <v>26</v>
      </c>
      <c r="J85" s="277"/>
      <c r="K85" s="278"/>
    </row>
    <row r="86" spans="1:11" ht="25.5" thickBot="1">
      <c r="A86" s="276"/>
      <c r="B86" s="164"/>
      <c r="C86" s="296"/>
      <c r="D86" s="36" t="s">
        <v>2831</v>
      </c>
      <c r="E86" s="34" t="s">
        <v>2832</v>
      </c>
      <c r="F86" s="280" t="s">
        <v>23</v>
      </c>
      <c r="G86" s="34" t="s">
        <v>2833</v>
      </c>
      <c r="H86" s="34" t="s">
        <v>2834</v>
      </c>
      <c r="I86" s="302" t="s">
        <v>26</v>
      </c>
      <c r="J86" s="281"/>
      <c r="K86" s="282"/>
    </row>
    <row r="87" spans="1:11" ht="25">
      <c r="A87" s="276"/>
      <c r="B87" s="164"/>
      <c r="C87" s="294" t="s">
        <v>2835</v>
      </c>
      <c r="D87" s="28" t="s">
        <v>2836</v>
      </c>
      <c r="E87" s="38" t="s">
        <v>2837</v>
      </c>
      <c r="F87" s="31" t="s">
        <v>23</v>
      </c>
      <c r="G87" s="273" t="s">
        <v>2838</v>
      </c>
      <c r="H87" s="273" t="s">
        <v>2839</v>
      </c>
      <c r="I87" s="300" t="s">
        <v>26</v>
      </c>
      <c r="J87" s="274"/>
      <c r="K87" s="275"/>
    </row>
    <row r="88" spans="1:11" ht="25">
      <c r="A88" s="276"/>
      <c r="B88" s="164"/>
      <c r="C88" s="295"/>
      <c r="D88" s="88" t="s">
        <v>2840</v>
      </c>
      <c r="E88" s="30" t="s">
        <v>2841</v>
      </c>
      <c r="F88" s="31" t="s">
        <v>23</v>
      </c>
      <c r="G88" s="30" t="s">
        <v>2842</v>
      </c>
      <c r="H88" s="30" t="s">
        <v>2843</v>
      </c>
      <c r="I88" s="301" t="s">
        <v>26</v>
      </c>
      <c r="J88" s="277"/>
      <c r="K88" s="278"/>
    </row>
    <row r="89" spans="1:11" ht="25">
      <c r="A89" s="276"/>
      <c r="B89" s="164"/>
      <c r="C89" s="295"/>
      <c r="D89" s="93" t="s">
        <v>2844</v>
      </c>
      <c r="E89" s="30" t="s">
        <v>2845</v>
      </c>
      <c r="F89" s="31" t="s">
        <v>23</v>
      </c>
      <c r="G89" s="30" t="s">
        <v>2846</v>
      </c>
      <c r="H89" s="30" t="s">
        <v>2847</v>
      </c>
      <c r="I89" s="301" t="s">
        <v>26</v>
      </c>
      <c r="J89" s="277"/>
      <c r="K89" s="278"/>
    </row>
    <row r="90" spans="1:11" ht="25.5" thickBot="1">
      <c r="A90" s="276"/>
      <c r="B90" s="164"/>
      <c r="C90" s="295"/>
      <c r="D90" s="93" t="s">
        <v>2848</v>
      </c>
      <c r="E90" s="30" t="s">
        <v>2849</v>
      </c>
      <c r="F90" s="35" t="s">
        <v>23</v>
      </c>
      <c r="G90" s="30" t="s">
        <v>2850</v>
      </c>
      <c r="H90" s="30" t="s">
        <v>2851</v>
      </c>
      <c r="I90" s="301" t="s">
        <v>26</v>
      </c>
      <c r="J90" s="277"/>
      <c r="K90" s="278"/>
    </row>
    <row r="91" spans="1:11" ht="25.5" thickBot="1">
      <c r="A91" s="276"/>
      <c r="B91" s="164"/>
      <c r="C91" s="295"/>
      <c r="D91" s="32" t="s">
        <v>2852</v>
      </c>
      <c r="E91" s="30" t="s">
        <v>2853</v>
      </c>
      <c r="F91" s="27" t="s">
        <v>16</v>
      </c>
      <c r="G91" s="30" t="s">
        <v>2854</v>
      </c>
      <c r="H91" s="30" t="s">
        <v>2855</v>
      </c>
      <c r="I91" s="301" t="s">
        <v>26</v>
      </c>
      <c r="J91" s="277"/>
      <c r="K91" s="278"/>
    </row>
    <row r="92" spans="1:11" ht="25.5" thickBot="1">
      <c r="A92" s="276"/>
      <c r="B92" s="164"/>
      <c r="C92" s="294" t="s">
        <v>2856</v>
      </c>
      <c r="D92" s="28" t="s">
        <v>2857</v>
      </c>
      <c r="E92" s="38" t="s">
        <v>2858</v>
      </c>
      <c r="F92" s="31" t="s">
        <v>58</v>
      </c>
      <c r="G92" s="273" t="s">
        <v>2859</v>
      </c>
      <c r="H92" s="273" t="s">
        <v>2860</v>
      </c>
      <c r="I92" s="300" t="s">
        <v>206</v>
      </c>
      <c r="J92" s="274"/>
      <c r="K92" s="275"/>
    </row>
    <row r="93" spans="1:11" ht="25">
      <c r="A93" s="276"/>
      <c r="B93" s="164"/>
      <c r="C93" s="295"/>
      <c r="D93" s="88" t="s">
        <v>2861</v>
      </c>
      <c r="E93" s="30" t="s">
        <v>2862</v>
      </c>
      <c r="F93" s="27" t="s">
        <v>23</v>
      </c>
      <c r="G93" s="30" t="s">
        <v>2863</v>
      </c>
      <c r="H93" s="30" t="s">
        <v>2864</v>
      </c>
      <c r="I93" s="301" t="s">
        <v>206</v>
      </c>
      <c r="J93" s="277"/>
      <c r="K93" s="278"/>
    </row>
    <row r="94" spans="1:11" ht="25">
      <c r="A94" s="276"/>
      <c r="B94" s="164"/>
      <c r="C94" s="295"/>
      <c r="D94" s="93" t="s">
        <v>2865</v>
      </c>
      <c r="E94" s="30" t="s">
        <v>2866</v>
      </c>
      <c r="F94" s="31" t="s">
        <v>23</v>
      </c>
      <c r="G94" s="30" t="s">
        <v>2867</v>
      </c>
      <c r="H94" s="30" t="s">
        <v>2868</v>
      </c>
      <c r="I94" s="301" t="s">
        <v>206</v>
      </c>
      <c r="J94" s="277"/>
      <c r="K94" s="278"/>
    </row>
    <row r="95" spans="1:11" ht="25">
      <c r="A95" s="276"/>
      <c r="B95" s="164"/>
      <c r="C95" s="295"/>
      <c r="D95" s="32" t="s">
        <v>2869</v>
      </c>
      <c r="E95" s="30" t="s">
        <v>2870</v>
      </c>
      <c r="F95" s="31" t="s">
        <v>58</v>
      </c>
      <c r="G95" s="30" t="s">
        <v>2871</v>
      </c>
      <c r="H95" s="30" t="s">
        <v>2724</v>
      </c>
      <c r="I95" s="301" t="s">
        <v>206</v>
      </c>
      <c r="J95" s="277"/>
      <c r="K95" s="278"/>
    </row>
    <row r="96" spans="1:11" ht="25.5" thickBot="1">
      <c r="A96" s="276"/>
      <c r="B96" s="165"/>
      <c r="C96" s="296"/>
      <c r="D96" s="36" t="s">
        <v>2872</v>
      </c>
      <c r="E96" s="34" t="s">
        <v>2873</v>
      </c>
      <c r="F96" s="31" t="s">
        <v>58</v>
      </c>
      <c r="G96" s="34" t="s">
        <v>2874</v>
      </c>
      <c r="H96" s="34" t="s">
        <v>2875</v>
      </c>
      <c r="I96" s="302" t="s">
        <v>206</v>
      </c>
      <c r="J96" s="281"/>
      <c r="K96" s="282"/>
    </row>
    <row r="97" spans="1:11" ht="25.5" thickBot="1">
      <c r="A97" s="276"/>
      <c r="B97" s="169" t="s">
        <v>2876</v>
      </c>
      <c r="C97" s="292" t="s">
        <v>2877</v>
      </c>
      <c r="D97" s="29" t="s">
        <v>2878</v>
      </c>
      <c r="E97" s="26" t="s">
        <v>2879</v>
      </c>
      <c r="F97" s="31" t="s">
        <v>23</v>
      </c>
      <c r="G97" s="273" t="s">
        <v>2880</v>
      </c>
      <c r="H97" s="273" t="s">
        <v>2881</v>
      </c>
      <c r="I97" s="300" t="s">
        <v>26</v>
      </c>
      <c r="J97" s="274"/>
      <c r="K97" s="275"/>
    </row>
    <row r="98" spans="1:11" ht="25">
      <c r="A98" s="276"/>
      <c r="B98" s="164"/>
      <c r="C98" s="293"/>
      <c r="D98" s="105" t="s">
        <v>2882</v>
      </c>
      <c r="E98" s="30" t="s">
        <v>2883</v>
      </c>
      <c r="F98" s="27" t="s">
        <v>16</v>
      </c>
      <c r="G98" s="30" t="s">
        <v>2884</v>
      </c>
      <c r="H98" s="30" t="s">
        <v>2885</v>
      </c>
      <c r="I98" s="301" t="s">
        <v>26</v>
      </c>
      <c r="J98" s="277"/>
      <c r="K98" s="278"/>
    </row>
    <row r="99" spans="1:11" ht="25">
      <c r="A99" s="276"/>
      <c r="B99" s="164"/>
      <c r="C99" s="293"/>
      <c r="D99" s="106" t="s">
        <v>2886</v>
      </c>
      <c r="E99" s="30" t="s">
        <v>2887</v>
      </c>
      <c r="F99" s="31" t="s">
        <v>23</v>
      </c>
      <c r="G99" s="30" t="s">
        <v>2888</v>
      </c>
      <c r="H99" s="30" t="s">
        <v>2889</v>
      </c>
      <c r="I99" s="301" t="s">
        <v>206</v>
      </c>
      <c r="J99" s="277"/>
      <c r="K99" s="278"/>
    </row>
    <row r="100" spans="1:11" ht="25">
      <c r="A100" s="276"/>
      <c r="B100" s="164"/>
      <c r="C100" s="293"/>
      <c r="D100" s="33" t="s">
        <v>2890</v>
      </c>
      <c r="E100" s="30" t="s">
        <v>2891</v>
      </c>
      <c r="F100" s="31" t="s">
        <v>16</v>
      </c>
      <c r="G100" s="30" t="s">
        <v>2892</v>
      </c>
      <c r="H100" s="30" t="s">
        <v>2893</v>
      </c>
      <c r="I100" s="301" t="s">
        <v>26</v>
      </c>
      <c r="J100" s="277"/>
      <c r="K100" s="278"/>
    </row>
    <row r="101" spans="1:11" ht="25.5" thickBot="1">
      <c r="A101" s="276"/>
      <c r="B101" s="164"/>
      <c r="C101" s="297"/>
      <c r="D101" s="37" t="s">
        <v>2894</v>
      </c>
      <c r="E101" s="34" t="s">
        <v>2895</v>
      </c>
      <c r="F101" s="35" t="s">
        <v>23</v>
      </c>
      <c r="G101" s="34" t="s">
        <v>2896</v>
      </c>
      <c r="H101" s="34" t="s">
        <v>2897</v>
      </c>
      <c r="I101" s="302" t="s">
        <v>26</v>
      </c>
      <c r="J101" s="281"/>
      <c r="K101" s="282"/>
    </row>
    <row r="102" spans="1:11" ht="25">
      <c r="A102" s="276"/>
      <c r="B102" s="164"/>
      <c r="C102" s="294" t="s">
        <v>2898</v>
      </c>
      <c r="D102" s="28" t="s">
        <v>2899</v>
      </c>
      <c r="E102" s="38" t="s">
        <v>2900</v>
      </c>
      <c r="F102" s="279" t="s">
        <v>16</v>
      </c>
      <c r="G102" s="273" t="s">
        <v>2901</v>
      </c>
      <c r="H102" s="273" t="s">
        <v>2902</v>
      </c>
      <c r="I102" s="300" t="s">
        <v>19</v>
      </c>
      <c r="J102" s="274"/>
      <c r="K102" s="275"/>
    </row>
    <row r="103" spans="1:11" ht="25">
      <c r="A103" s="276"/>
      <c r="B103" s="164"/>
      <c r="C103" s="295"/>
      <c r="D103" s="88" t="s">
        <v>2903</v>
      </c>
      <c r="E103" s="30" t="s">
        <v>2904</v>
      </c>
      <c r="F103" s="31" t="s">
        <v>16</v>
      </c>
      <c r="G103" s="30" t="s">
        <v>2905</v>
      </c>
      <c r="H103" s="30" t="s">
        <v>2906</v>
      </c>
      <c r="I103" s="301" t="s">
        <v>26</v>
      </c>
      <c r="J103" s="277"/>
      <c r="K103" s="278"/>
    </row>
    <row r="104" spans="1:11" ht="25">
      <c r="A104" s="276"/>
      <c r="B104" s="164"/>
      <c r="C104" s="295"/>
      <c r="D104" s="93" t="s">
        <v>2907</v>
      </c>
      <c r="E104" s="30" t="s">
        <v>2908</v>
      </c>
      <c r="F104" s="31" t="s">
        <v>23</v>
      </c>
      <c r="G104" s="30" t="s">
        <v>2909</v>
      </c>
      <c r="H104" s="30" t="s">
        <v>2910</v>
      </c>
      <c r="I104" s="301" t="s">
        <v>206</v>
      </c>
      <c r="J104" s="277"/>
      <c r="K104" s="278"/>
    </row>
    <row r="105" spans="1:11" ht="25.5" thickBot="1">
      <c r="A105" s="276"/>
      <c r="B105" s="164"/>
      <c r="C105" s="295"/>
      <c r="D105" s="32" t="s">
        <v>2911</v>
      </c>
      <c r="E105" s="30" t="s">
        <v>2912</v>
      </c>
      <c r="F105" s="31" t="s">
        <v>16</v>
      </c>
      <c r="G105" s="30" t="s">
        <v>2913</v>
      </c>
      <c r="H105" s="30" t="s">
        <v>2914</v>
      </c>
      <c r="I105" s="301" t="s">
        <v>26</v>
      </c>
      <c r="J105" s="277"/>
      <c r="K105" s="278"/>
    </row>
    <row r="106" spans="1:11" ht="25.5" thickBot="1">
      <c r="A106" s="276"/>
      <c r="B106" s="164"/>
      <c r="C106" s="296"/>
      <c r="D106" s="36" t="s">
        <v>2915</v>
      </c>
      <c r="E106" s="34" t="s">
        <v>2916</v>
      </c>
      <c r="F106" s="27" t="s">
        <v>23</v>
      </c>
      <c r="G106" s="34" t="s">
        <v>2917</v>
      </c>
      <c r="H106" s="34" t="s">
        <v>2918</v>
      </c>
      <c r="I106" s="302" t="s">
        <v>26</v>
      </c>
      <c r="J106" s="281"/>
      <c r="K106" s="282"/>
    </row>
    <row r="107" spans="1:11" ht="25">
      <c r="A107" s="276"/>
      <c r="B107" s="164"/>
      <c r="C107" s="294" t="s">
        <v>2919</v>
      </c>
      <c r="D107" s="28" t="s">
        <v>2920</v>
      </c>
      <c r="E107" s="38" t="s">
        <v>2921</v>
      </c>
      <c r="F107" s="31" t="s">
        <v>23</v>
      </c>
      <c r="G107" s="273" t="s">
        <v>2922</v>
      </c>
      <c r="H107" s="273" t="s">
        <v>2923</v>
      </c>
      <c r="I107" s="300" t="s">
        <v>26</v>
      </c>
      <c r="J107" s="274"/>
      <c r="K107" s="275"/>
    </row>
    <row r="108" spans="1:11" ht="25">
      <c r="A108" s="276"/>
      <c r="B108" s="164"/>
      <c r="C108" s="295"/>
      <c r="D108" s="88" t="s">
        <v>2924</v>
      </c>
      <c r="E108" s="30" t="s">
        <v>2925</v>
      </c>
      <c r="F108" s="31" t="s">
        <v>58</v>
      </c>
      <c r="G108" s="30" t="s">
        <v>2926</v>
      </c>
      <c r="H108" s="30" t="s">
        <v>2927</v>
      </c>
      <c r="I108" s="299" t="s">
        <v>26</v>
      </c>
      <c r="J108" s="277"/>
      <c r="K108" s="278"/>
    </row>
    <row r="109" spans="1:11" ht="25">
      <c r="A109" s="276"/>
      <c r="B109" s="164"/>
      <c r="C109" s="295"/>
      <c r="D109" s="93" t="s">
        <v>2928</v>
      </c>
      <c r="E109" s="30" t="s">
        <v>2929</v>
      </c>
      <c r="F109" s="31" t="s">
        <v>58</v>
      </c>
      <c r="G109" s="30" t="s">
        <v>2930</v>
      </c>
      <c r="H109" s="30" t="s">
        <v>2931</v>
      </c>
      <c r="I109" s="301" t="s">
        <v>26</v>
      </c>
      <c r="J109" s="277"/>
      <c r="K109" s="278"/>
    </row>
    <row r="110" spans="1:11" ht="25.5" thickBot="1">
      <c r="A110" s="276"/>
      <c r="B110" s="164"/>
      <c r="C110" s="295"/>
      <c r="D110" s="32" t="s">
        <v>2932</v>
      </c>
      <c r="E110" s="30" t="s">
        <v>2933</v>
      </c>
      <c r="F110" s="31" t="s">
        <v>23</v>
      </c>
      <c r="G110" s="30" t="s">
        <v>2934</v>
      </c>
      <c r="H110" s="30" t="s">
        <v>2935</v>
      </c>
      <c r="I110" s="301" t="s">
        <v>19</v>
      </c>
      <c r="J110" s="277"/>
      <c r="K110" s="278"/>
    </row>
    <row r="111" spans="1:11" ht="25.5" thickBot="1">
      <c r="A111" s="276"/>
      <c r="B111" s="164"/>
      <c r="C111" s="296"/>
      <c r="D111" s="36" t="s">
        <v>2936</v>
      </c>
      <c r="E111" s="34" t="s">
        <v>2937</v>
      </c>
      <c r="F111" s="27" t="s">
        <v>16</v>
      </c>
      <c r="G111" s="34" t="s">
        <v>2938</v>
      </c>
      <c r="H111" s="34" t="s">
        <v>2939</v>
      </c>
      <c r="I111" s="302" t="s">
        <v>26</v>
      </c>
      <c r="J111" s="281"/>
      <c r="K111" s="282"/>
    </row>
    <row r="112" spans="1:11" ht="25">
      <c r="A112" s="276"/>
      <c r="B112" s="164"/>
      <c r="C112" s="294" t="s">
        <v>2940</v>
      </c>
      <c r="D112" s="28" t="s">
        <v>2941</v>
      </c>
      <c r="E112" s="38" t="s">
        <v>2942</v>
      </c>
      <c r="F112" s="31" t="s">
        <v>23</v>
      </c>
      <c r="G112" s="273" t="s">
        <v>2943</v>
      </c>
      <c r="H112" s="273" t="s">
        <v>2944</v>
      </c>
      <c r="I112" s="300" t="s">
        <v>206</v>
      </c>
      <c r="J112" s="274"/>
      <c r="K112" s="275"/>
    </row>
    <row r="113" spans="1:11" ht="25">
      <c r="A113" s="276"/>
      <c r="B113" s="164"/>
      <c r="C113" s="295"/>
      <c r="D113" s="88" t="s">
        <v>2945</v>
      </c>
      <c r="E113" s="30" t="s">
        <v>2946</v>
      </c>
      <c r="F113" s="31" t="s">
        <v>16</v>
      </c>
      <c r="G113" s="30" t="s">
        <v>2947</v>
      </c>
      <c r="H113" s="30" t="s">
        <v>2948</v>
      </c>
      <c r="I113" s="301" t="s">
        <v>206</v>
      </c>
      <c r="J113" s="277"/>
      <c r="K113" s="278"/>
    </row>
    <row r="114" spans="1:11" ht="25.5" thickBot="1">
      <c r="A114" s="276"/>
      <c r="B114" s="164"/>
      <c r="C114" s="295"/>
      <c r="D114" s="93" t="s">
        <v>2949</v>
      </c>
      <c r="E114" s="30" t="s">
        <v>2950</v>
      </c>
      <c r="F114" s="35" t="s">
        <v>23</v>
      </c>
      <c r="G114" s="30" t="s">
        <v>2951</v>
      </c>
      <c r="H114" s="30" t="s">
        <v>2952</v>
      </c>
      <c r="I114" s="301" t="s">
        <v>206</v>
      </c>
      <c r="J114" s="277"/>
      <c r="K114" s="278"/>
    </row>
    <row r="115" spans="1:11" ht="25">
      <c r="A115" s="276"/>
      <c r="B115" s="164"/>
      <c r="C115" s="295"/>
      <c r="D115" s="32" t="s">
        <v>2953</v>
      </c>
      <c r="E115" s="30" t="s">
        <v>2954</v>
      </c>
      <c r="F115" s="279" t="s">
        <v>16</v>
      </c>
      <c r="G115" s="30" t="s">
        <v>2955</v>
      </c>
      <c r="H115" s="30" t="s">
        <v>2956</v>
      </c>
      <c r="I115" s="301" t="s">
        <v>26</v>
      </c>
      <c r="J115" s="277"/>
      <c r="K115" s="278"/>
    </row>
    <row r="116" spans="1:11" ht="25.5" thickBot="1">
      <c r="A116" s="276"/>
      <c r="B116" s="164"/>
      <c r="C116" s="296"/>
      <c r="D116" s="36" t="s">
        <v>2957</v>
      </c>
      <c r="E116" s="34" t="s">
        <v>2958</v>
      </c>
      <c r="F116" s="31" t="s">
        <v>16</v>
      </c>
      <c r="G116" s="34" t="s">
        <v>2959</v>
      </c>
      <c r="H116" s="34" t="s">
        <v>2960</v>
      </c>
      <c r="I116" s="302" t="s">
        <v>206</v>
      </c>
      <c r="J116" s="281"/>
      <c r="K116" s="282"/>
    </row>
    <row r="117" spans="1:11" ht="25">
      <c r="A117" s="276"/>
      <c r="B117" s="164"/>
      <c r="C117" s="294" t="s">
        <v>2961</v>
      </c>
      <c r="D117" s="28" t="s">
        <v>2962</v>
      </c>
      <c r="E117" s="38" t="s">
        <v>2963</v>
      </c>
      <c r="F117" s="31" t="s">
        <v>23</v>
      </c>
      <c r="G117" s="273" t="s">
        <v>2964</v>
      </c>
      <c r="H117" s="273" t="s">
        <v>2965</v>
      </c>
      <c r="I117" s="300" t="s">
        <v>26</v>
      </c>
      <c r="J117" s="274"/>
      <c r="K117" s="275"/>
    </row>
    <row r="118" spans="1:11" ht="25">
      <c r="A118" s="276"/>
      <c r="B118" s="164"/>
      <c r="C118" s="295"/>
      <c r="D118" s="88" t="s">
        <v>2966</v>
      </c>
      <c r="E118" s="30" t="s">
        <v>2967</v>
      </c>
      <c r="F118" s="31" t="s">
        <v>16</v>
      </c>
      <c r="G118" s="30" t="s">
        <v>2968</v>
      </c>
      <c r="H118" s="30" t="s">
        <v>2969</v>
      </c>
      <c r="I118" s="301" t="s">
        <v>26</v>
      </c>
      <c r="J118" s="277"/>
      <c r="K118" s="278"/>
    </row>
    <row r="119" spans="1:11" ht="25.5" thickBot="1">
      <c r="A119" s="276"/>
      <c r="B119" s="164"/>
      <c r="C119" s="295"/>
      <c r="D119" s="93" t="s">
        <v>2970</v>
      </c>
      <c r="E119" s="30" t="s">
        <v>2971</v>
      </c>
      <c r="F119" s="31" t="s">
        <v>23</v>
      </c>
      <c r="G119" s="30" t="s">
        <v>2972</v>
      </c>
      <c r="H119" s="30" t="s">
        <v>2973</v>
      </c>
      <c r="I119" s="301" t="s">
        <v>206</v>
      </c>
      <c r="J119" s="277"/>
      <c r="K119" s="278"/>
    </row>
    <row r="120" spans="1:11" ht="25">
      <c r="A120" s="276"/>
      <c r="B120" s="164"/>
      <c r="C120" s="295"/>
      <c r="D120" s="32" t="s">
        <v>2974</v>
      </c>
      <c r="E120" s="30" t="s">
        <v>2975</v>
      </c>
      <c r="F120" s="27" t="s">
        <v>16</v>
      </c>
      <c r="G120" s="30" t="s">
        <v>2976</v>
      </c>
      <c r="H120" s="30" t="s">
        <v>2977</v>
      </c>
      <c r="I120" s="301" t="s">
        <v>26</v>
      </c>
      <c r="J120" s="277"/>
      <c r="K120" s="278"/>
    </row>
    <row r="121" spans="1:11" ht="25.5" thickBot="1">
      <c r="A121" s="276"/>
      <c r="B121" s="164"/>
      <c r="C121" s="296"/>
      <c r="D121" s="36" t="s">
        <v>2978</v>
      </c>
      <c r="E121" s="34" t="s">
        <v>2979</v>
      </c>
      <c r="F121" s="31" t="s">
        <v>23</v>
      </c>
      <c r="G121" s="34" t="s">
        <v>2980</v>
      </c>
      <c r="H121" s="34" t="s">
        <v>2981</v>
      </c>
      <c r="I121" s="302" t="s">
        <v>26</v>
      </c>
      <c r="J121" s="281"/>
      <c r="K121" s="282"/>
    </row>
    <row r="122" spans="1:11" ht="25">
      <c r="A122" s="276"/>
      <c r="B122" s="169" t="s">
        <v>2982</v>
      </c>
      <c r="C122" s="294" t="s">
        <v>2983</v>
      </c>
      <c r="D122" s="28" t="s">
        <v>2984</v>
      </c>
      <c r="E122" s="38" t="s">
        <v>2985</v>
      </c>
      <c r="F122" s="31" t="s">
        <v>16</v>
      </c>
      <c r="G122" s="273" t="s">
        <v>2986</v>
      </c>
      <c r="H122" s="273" t="s">
        <v>2987</v>
      </c>
      <c r="I122" s="300" t="s">
        <v>26</v>
      </c>
      <c r="J122" s="274"/>
      <c r="K122" s="275"/>
    </row>
    <row r="123" spans="1:11" ht="25.5" thickBot="1">
      <c r="A123" s="276"/>
      <c r="B123" s="164"/>
      <c r="C123" s="295"/>
      <c r="D123" s="88" t="s">
        <v>2988</v>
      </c>
      <c r="E123" s="30" t="s">
        <v>2989</v>
      </c>
      <c r="F123" s="35" t="s">
        <v>23</v>
      </c>
      <c r="G123" s="30" t="s">
        <v>2990</v>
      </c>
      <c r="H123" s="30" t="s">
        <v>2991</v>
      </c>
      <c r="I123" s="301" t="s">
        <v>26</v>
      </c>
      <c r="J123" s="277"/>
      <c r="K123" s="278"/>
    </row>
    <row r="124" spans="1:11" ht="25">
      <c r="A124" s="276"/>
      <c r="B124" s="164"/>
      <c r="C124" s="295"/>
      <c r="D124" s="93" t="s">
        <v>2992</v>
      </c>
      <c r="E124" s="30" t="s">
        <v>2993</v>
      </c>
      <c r="F124" s="279" t="s">
        <v>16</v>
      </c>
      <c r="G124" s="30" t="s">
        <v>2994</v>
      </c>
      <c r="H124" s="30" t="s">
        <v>2995</v>
      </c>
      <c r="I124" s="301" t="s">
        <v>26</v>
      </c>
      <c r="J124" s="277"/>
      <c r="K124" s="278"/>
    </row>
    <row r="125" spans="1:11" ht="25">
      <c r="A125" s="276"/>
      <c r="B125" s="164"/>
      <c r="C125" s="295"/>
      <c r="D125" s="32" t="s">
        <v>2996</v>
      </c>
      <c r="E125" s="30" t="s">
        <v>2997</v>
      </c>
      <c r="F125" s="31" t="s">
        <v>16</v>
      </c>
      <c r="G125" s="30" t="s">
        <v>2998</v>
      </c>
      <c r="H125" s="30" t="s">
        <v>2999</v>
      </c>
      <c r="I125" s="301" t="s">
        <v>26</v>
      </c>
      <c r="J125" s="277"/>
      <c r="K125" s="278"/>
    </row>
    <row r="126" spans="1:11" ht="25.5" thickBot="1">
      <c r="A126" s="276"/>
      <c r="B126" s="164"/>
      <c r="C126" s="296"/>
      <c r="D126" s="36" t="s">
        <v>3000</v>
      </c>
      <c r="E126" s="34" t="s">
        <v>3001</v>
      </c>
      <c r="F126" s="31" t="s">
        <v>23</v>
      </c>
      <c r="G126" s="34" t="s">
        <v>3002</v>
      </c>
      <c r="H126" s="34" t="s">
        <v>3003</v>
      </c>
      <c r="I126" s="302" t="s">
        <v>206</v>
      </c>
      <c r="J126" s="281"/>
      <c r="K126" s="282"/>
    </row>
    <row r="127" spans="1:11" ht="25.5" thickBot="1">
      <c r="A127" s="276"/>
      <c r="B127" s="164"/>
      <c r="C127" s="294" t="s">
        <v>3004</v>
      </c>
      <c r="D127" s="28" t="s">
        <v>3005</v>
      </c>
      <c r="E127" s="38" t="s">
        <v>3006</v>
      </c>
      <c r="F127" s="31" t="s">
        <v>16</v>
      </c>
      <c r="G127" s="273" t="s">
        <v>3007</v>
      </c>
      <c r="H127" s="273" t="s">
        <v>3008</v>
      </c>
      <c r="I127" s="300" t="s">
        <v>26</v>
      </c>
      <c r="J127" s="274"/>
      <c r="K127" s="275"/>
    </row>
    <row r="128" spans="1:11" ht="25">
      <c r="A128" s="276"/>
      <c r="B128" s="164"/>
      <c r="C128" s="295"/>
      <c r="D128" s="93" t="s">
        <v>3009</v>
      </c>
      <c r="E128" s="30" t="s">
        <v>3010</v>
      </c>
      <c r="F128" s="27" t="s">
        <v>23</v>
      </c>
      <c r="G128" s="30" t="s">
        <v>3011</v>
      </c>
      <c r="H128" s="30" t="s">
        <v>3012</v>
      </c>
      <c r="I128" s="301" t="s">
        <v>206</v>
      </c>
      <c r="J128" s="277"/>
      <c r="K128" s="278"/>
    </row>
    <row r="129" spans="1:11" ht="25">
      <c r="A129" s="276"/>
      <c r="B129" s="164"/>
      <c r="C129" s="295"/>
      <c r="D129" s="93" t="s">
        <v>3013</v>
      </c>
      <c r="E129" s="30" t="s">
        <v>3014</v>
      </c>
      <c r="F129" s="31" t="s">
        <v>23</v>
      </c>
      <c r="G129" s="30" t="s">
        <v>3015</v>
      </c>
      <c r="H129" s="30" t="s">
        <v>3016</v>
      </c>
      <c r="I129" s="301" t="s">
        <v>26</v>
      </c>
      <c r="J129" s="277"/>
      <c r="K129" s="278"/>
    </row>
    <row r="130" spans="1:11" ht="25">
      <c r="A130" s="276"/>
      <c r="B130" s="164"/>
      <c r="C130" s="295"/>
      <c r="D130" s="32" t="s">
        <v>3017</v>
      </c>
      <c r="E130" s="30" t="s">
        <v>3018</v>
      </c>
      <c r="F130" s="31" t="s">
        <v>58</v>
      </c>
      <c r="G130" s="30" t="s">
        <v>3019</v>
      </c>
      <c r="H130" s="30" t="s">
        <v>3020</v>
      </c>
      <c r="I130" s="301" t="s">
        <v>206</v>
      </c>
      <c r="J130" s="277"/>
      <c r="K130" s="278"/>
    </row>
    <row r="131" spans="1:11" ht="25.5" thickBot="1">
      <c r="A131" s="276"/>
      <c r="B131" s="164"/>
      <c r="C131" s="296"/>
      <c r="D131" s="36" t="s">
        <v>3021</v>
      </c>
      <c r="E131" s="34" t="s">
        <v>3022</v>
      </c>
      <c r="F131" s="31" t="s">
        <v>58</v>
      </c>
      <c r="G131" s="34" t="s">
        <v>3023</v>
      </c>
      <c r="H131" s="34" t="s">
        <v>3024</v>
      </c>
      <c r="I131" s="302" t="s">
        <v>206</v>
      </c>
      <c r="J131" s="281"/>
      <c r="K131" s="282"/>
    </row>
    <row r="132" spans="1:11" ht="25.5" thickBot="1">
      <c r="A132" s="276"/>
      <c r="B132" s="164"/>
      <c r="C132" s="294" t="s">
        <v>3025</v>
      </c>
      <c r="D132" s="28" t="s">
        <v>3026</v>
      </c>
      <c r="E132" s="38" t="s">
        <v>3027</v>
      </c>
      <c r="F132" s="31" t="s">
        <v>23</v>
      </c>
      <c r="G132" s="273" t="s">
        <v>3028</v>
      </c>
      <c r="H132" s="273" t="s">
        <v>3029</v>
      </c>
      <c r="I132" s="300" t="s">
        <v>26</v>
      </c>
      <c r="J132" s="274"/>
      <c r="K132" s="275"/>
    </row>
    <row r="133" spans="1:11" ht="25">
      <c r="A133" s="276"/>
      <c r="B133" s="164"/>
      <c r="C133" s="295"/>
      <c r="D133" s="93" t="s">
        <v>3030</v>
      </c>
      <c r="E133" s="30" t="s">
        <v>3031</v>
      </c>
      <c r="F133" s="27" t="s">
        <v>16</v>
      </c>
      <c r="G133" s="30" t="s">
        <v>3032</v>
      </c>
      <c r="H133" s="30" t="s">
        <v>3033</v>
      </c>
      <c r="I133" s="301" t="s">
        <v>206</v>
      </c>
      <c r="J133" s="277"/>
      <c r="K133" s="278"/>
    </row>
    <row r="134" spans="1:11" ht="25">
      <c r="A134" s="276"/>
      <c r="B134" s="164"/>
      <c r="C134" s="295"/>
      <c r="D134" s="93" t="s">
        <v>3034</v>
      </c>
      <c r="E134" s="30" t="s">
        <v>3035</v>
      </c>
      <c r="F134" s="31" t="s">
        <v>23</v>
      </c>
      <c r="G134" s="30" t="s">
        <v>3036</v>
      </c>
      <c r="H134" s="30" t="s">
        <v>3037</v>
      </c>
      <c r="I134" s="301" t="s">
        <v>26</v>
      </c>
      <c r="J134" s="277"/>
      <c r="K134" s="278"/>
    </row>
    <row r="135" spans="1:11" ht="25">
      <c r="A135" s="276"/>
      <c r="B135" s="164"/>
      <c r="C135" s="295"/>
      <c r="D135" s="32" t="s">
        <v>3038</v>
      </c>
      <c r="E135" s="30" t="s">
        <v>3039</v>
      </c>
      <c r="F135" s="31" t="s">
        <v>16</v>
      </c>
      <c r="G135" s="30" t="s">
        <v>3040</v>
      </c>
      <c r="H135" s="30" t="s">
        <v>3041</v>
      </c>
      <c r="I135" s="301" t="s">
        <v>206</v>
      </c>
      <c r="J135" s="277"/>
      <c r="K135" s="278"/>
    </row>
    <row r="136" spans="1:11" ht="25.5" thickBot="1">
      <c r="A136" s="276"/>
      <c r="B136" s="164"/>
      <c r="C136" s="296"/>
      <c r="D136" s="36" t="s">
        <v>3042</v>
      </c>
      <c r="E136" s="34" t="s">
        <v>3043</v>
      </c>
      <c r="F136" s="35" t="s">
        <v>23</v>
      </c>
      <c r="G136" s="34" t="s">
        <v>3044</v>
      </c>
      <c r="H136" s="34" t="s">
        <v>3045</v>
      </c>
      <c r="I136" s="302" t="s">
        <v>206</v>
      </c>
      <c r="J136" s="281"/>
      <c r="K136" s="282"/>
    </row>
    <row r="137" spans="1:11" ht="25">
      <c r="A137" s="276"/>
      <c r="B137" s="164"/>
      <c r="C137" s="294" t="s">
        <v>3046</v>
      </c>
      <c r="D137" s="28" t="s">
        <v>3047</v>
      </c>
      <c r="E137" s="38" t="s">
        <v>3048</v>
      </c>
      <c r="F137" s="279" t="s">
        <v>16</v>
      </c>
      <c r="G137" s="273" t="s">
        <v>2986</v>
      </c>
      <c r="H137" s="273" t="s">
        <v>3049</v>
      </c>
      <c r="I137" s="300" t="s">
        <v>26</v>
      </c>
      <c r="J137" s="274"/>
      <c r="K137" s="275"/>
    </row>
    <row r="138" spans="1:11" ht="25">
      <c r="A138" s="276"/>
      <c r="B138" s="164"/>
      <c r="C138" s="295"/>
      <c r="D138" s="93" t="s">
        <v>3050</v>
      </c>
      <c r="E138" s="30" t="s">
        <v>3051</v>
      </c>
      <c r="F138" s="31" t="s">
        <v>16</v>
      </c>
      <c r="G138" s="30" t="s">
        <v>3052</v>
      </c>
      <c r="H138" s="30" t="s">
        <v>3053</v>
      </c>
      <c r="I138" s="301" t="s">
        <v>26</v>
      </c>
      <c r="J138" s="277"/>
      <c r="K138" s="278"/>
    </row>
    <row r="139" spans="1:11" ht="25.5" thickBot="1">
      <c r="A139" s="276"/>
      <c r="B139" s="164"/>
      <c r="C139" s="295"/>
      <c r="D139" s="93" t="s">
        <v>3054</v>
      </c>
      <c r="E139" s="30" t="s">
        <v>3055</v>
      </c>
      <c r="F139" s="31" t="s">
        <v>23</v>
      </c>
      <c r="G139" s="30" t="s">
        <v>2994</v>
      </c>
      <c r="H139" s="30" t="s">
        <v>3056</v>
      </c>
      <c r="I139" s="301" t="s">
        <v>26</v>
      </c>
      <c r="J139" s="277"/>
      <c r="K139" s="278"/>
    </row>
    <row r="140" spans="1:11" ht="25">
      <c r="A140" s="276"/>
      <c r="B140" s="164"/>
      <c r="C140" s="295"/>
      <c r="D140" s="32" t="s">
        <v>3057</v>
      </c>
      <c r="E140" s="30" t="s">
        <v>3058</v>
      </c>
      <c r="F140" s="27" t="s">
        <v>16</v>
      </c>
      <c r="G140" s="30" t="s">
        <v>3059</v>
      </c>
      <c r="H140" s="30" t="s">
        <v>3060</v>
      </c>
      <c r="I140" s="301" t="s">
        <v>26</v>
      </c>
      <c r="J140" s="277"/>
      <c r="K140" s="278"/>
    </row>
    <row r="141" spans="1:11" ht="25.5" thickBot="1">
      <c r="A141" s="276"/>
      <c r="B141" s="164"/>
      <c r="C141" s="296"/>
      <c r="D141" s="36" t="s">
        <v>3061</v>
      </c>
      <c r="E141" s="34" t="s">
        <v>3062</v>
      </c>
      <c r="F141" s="31" t="s">
        <v>23</v>
      </c>
      <c r="G141" s="34" t="s">
        <v>3063</v>
      </c>
      <c r="H141" s="34" t="s">
        <v>3064</v>
      </c>
      <c r="I141" s="302" t="s">
        <v>26</v>
      </c>
      <c r="J141" s="281"/>
      <c r="K141" s="282"/>
    </row>
    <row r="142" spans="1:11" ht="25">
      <c r="A142" s="276"/>
      <c r="B142" s="164"/>
      <c r="C142" s="294" t="s">
        <v>3065</v>
      </c>
      <c r="D142" s="28" t="s">
        <v>3066</v>
      </c>
      <c r="E142" s="38" t="s">
        <v>3067</v>
      </c>
      <c r="F142" s="31" t="s">
        <v>16</v>
      </c>
      <c r="G142" s="273" t="s">
        <v>3068</v>
      </c>
      <c r="H142" s="273" t="s">
        <v>3069</v>
      </c>
      <c r="I142" s="300" t="s">
        <v>26</v>
      </c>
      <c r="J142" s="274"/>
      <c r="K142" s="275"/>
    </row>
    <row r="143" spans="1:11" ht="25.5" thickBot="1">
      <c r="A143" s="276"/>
      <c r="B143" s="164"/>
      <c r="C143" s="295"/>
      <c r="D143" s="93" t="s">
        <v>3070</v>
      </c>
      <c r="E143" s="30" t="s">
        <v>3071</v>
      </c>
      <c r="F143" s="35" t="s">
        <v>23</v>
      </c>
      <c r="G143" s="30" t="s">
        <v>3072</v>
      </c>
      <c r="H143" s="30" t="s">
        <v>3073</v>
      </c>
      <c r="I143" s="301" t="s">
        <v>206</v>
      </c>
      <c r="J143" s="277"/>
      <c r="K143" s="278"/>
    </row>
    <row r="144" spans="1:11" ht="25">
      <c r="A144" s="276"/>
      <c r="B144" s="164"/>
      <c r="C144" s="295"/>
      <c r="D144" s="93" t="s">
        <v>3074</v>
      </c>
      <c r="E144" s="30" t="s">
        <v>3075</v>
      </c>
      <c r="F144" s="279" t="s">
        <v>16</v>
      </c>
      <c r="G144" s="30" t="s">
        <v>3076</v>
      </c>
      <c r="H144" s="30" t="s">
        <v>3077</v>
      </c>
      <c r="I144" s="301" t="s">
        <v>206</v>
      </c>
      <c r="J144" s="277"/>
      <c r="K144" s="278"/>
    </row>
    <row r="145" spans="1:11" ht="25">
      <c r="A145" s="276"/>
      <c r="B145" s="164"/>
      <c r="C145" s="295"/>
      <c r="D145" s="32" t="s">
        <v>3078</v>
      </c>
      <c r="E145" s="30" t="s">
        <v>3079</v>
      </c>
      <c r="F145" s="31" t="s">
        <v>16</v>
      </c>
      <c r="G145" s="30" t="s">
        <v>3080</v>
      </c>
      <c r="H145" s="30" t="s">
        <v>3081</v>
      </c>
      <c r="I145" s="301" t="s">
        <v>26</v>
      </c>
      <c r="J145" s="277"/>
      <c r="K145" s="278"/>
    </row>
    <row r="146" spans="1:11" ht="25.5" thickBot="1">
      <c r="A146" s="276"/>
      <c r="B146" s="164"/>
      <c r="C146" s="296"/>
      <c r="D146" s="36" t="s">
        <v>3082</v>
      </c>
      <c r="E146" s="34" t="s">
        <v>3083</v>
      </c>
      <c r="F146" s="31" t="s">
        <v>23</v>
      </c>
      <c r="G146" s="34" t="s">
        <v>3084</v>
      </c>
      <c r="H146" s="34" t="s">
        <v>3085</v>
      </c>
      <c r="I146" s="302" t="s">
        <v>206</v>
      </c>
      <c r="J146" s="281"/>
      <c r="K146" s="282"/>
    </row>
    <row r="147" spans="1:11" ht="25.5" thickBot="1">
      <c r="A147" s="261" t="s">
        <v>3086</v>
      </c>
      <c r="B147" s="156" t="s">
        <v>3087</v>
      </c>
      <c r="C147" s="286" t="s">
        <v>3088</v>
      </c>
      <c r="D147" s="14" t="s">
        <v>3089</v>
      </c>
      <c r="E147" s="11" t="s">
        <v>3090</v>
      </c>
      <c r="F147" s="262" t="s">
        <v>16</v>
      </c>
      <c r="G147" s="24" t="s">
        <v>3091</v>
      </c>
      <c r="H147" s="24" t="s">
        <v>3092</v>
      </c>
      <c r="I147" s="300" t="s">
        <v>19</v>
      </c>
      <c r="J147" s="259"/>
      <c r="K147" s="260"/>
    </row>
    <row r="148" spans="1:11" ht="25">
      <c r="A148" s="261"/>
      <c r="B148" s="157"/>
      <c r="C148" s="287"/>
      <c r="D148" s="69" t="s">
        <v>3093</v>
      </c>
      <c r="E148" s="16" t="s">
        <v>3094</v>
      </c>
      <c r="F148" s="12" t="s">
        <v>23</v>
      </c>
      <c r="G148" s="16" t="s">
        <v>3095</v>
      </c>
      <c r="H148" s="16" t="s">
        <v>3096</v>
      </c>
      <c r="I148" s="301" t="s">
        <v>19</v>
      </c>
      <c r="J148" s="263"/>
      <c r="K148" s="264"/>
    </row>
    <row r="149" spans="1:11" ht="25">
      <c r="A149" s="261"/>
      <c r="B149" s="157"/>
      <c r="C149" s="287"/>
      <c r="D149" s="70" t="s">
        <v>3097</v>
      </c>
      <c r="E149" s="16" t="s">
        <v>3098</v>
      </c>
      <c r="F149" s="262" t="s">
        <v>23</v>
      </c>
      <c r="G149" s="16" t="s">
        <v>3099</v>
      </c>
      <c r="H149" s="16" t="s">
        <v>3100</v>
      </c>
      <c r="I149" s="301" t="s">
        <v>26</v>
      </c>
      <c r="J149" s="263"/>
      <c r="K149" s="264"/>
    </row>
    <row r="150" spans="1:11" ht="25">
      <c r="A150" s="261"/>
      <c r="B150" s="157"/>
      <c r="C150" s="287"/>
      <c r="D150" s="17" t="s">
        <v>3101</v>
      </c>
      <c r="E150" s="16" t="s">
        <v>3102</v>
      </c>
      <c r="F150" s="262" t="s">
        <v>58</v>
      </c>
      <c r="G150" s="16" t="s">
        <v>3103</v>
      </c>
      <c r="H150" s="16" t="s">
        <v>3104</v>
      </c>
      <c r="I150" s="301" t="s">
        <v>26</v>
      </c>
      <c r="J150" s="263"/>
      <c r="K150" s="264"/>
    </row>
    <row r="151" spans="1:11" ht="25.5" thickBot="1">
      <c r="A151" s="261"/>
      <c r="B151" s="157"/>
      <c r="C151" s="288"/>
      <c r="D151" s="21" t="s">
        <v>3105</v>
      </c>
      <c r="E151" s="20" t="s">
        <v>3106</v>
      </c>
      <c r="F151" s="262" t="s">
        <v>58</v>
      </c>
      <c r="G151" s="20" t="s">
        <v>3107</v>
      </c>
      <c r="H151" s="20" t="s">
        <v>3108</v>
      </c>
      <c r="I151" s="302" t="s">
        <v>19</v>
      </c>
      <c r="J151" s="266"/>
      <c r="K151" s="267"/>
    </row>
    <row r="152" spans="1:11" ht="25.5" thickBot="1">
      <c r="A152" s="261"/>
      <c r="B152" s="157"/>
      <c r="C152" s="289" t="s">
        <v>3109</v>
      </c>
      <c r="D152" s="13" t="s">
        <v>3110</v>
      </c>
      <c r="E152" s="25" t="s">
        <v>3111</v>
      </c>
      <c r="F152" s="262" t="s">
        <v>23</v>
      </c>
      <c r="G152" s="24" t="s">
        <v>3112</v>
      </c>
      <c r="H152" s="24" t="s">
        <v>3113</v>
      </c>
      <c r="I152" s="300" t="s">
        <v>26</v>
      </c>
      <c r="J152" s="259"/>
      <c r="K152" s="260"/>
    </row>
    <row r="153" spans="1:11" ht="25">
      <c r="A153" s="261"/>
      <c r="B153" s="157"/>
      <c r="C153" s="290"/>
      <c r="D153" s="69" t="s">
        <v>3114</v>
      </c>
      <c r="E153" s="16" t="s">
        <v>3115</v>
      </c>
      <c r="F153" s="12" t="s">
        <v>16</v>
      </c>
      <c r="G153" s="16" t="s">
        <v>3116</v>
      </c>
      <c r="H153" s="16" t="s">
        <v>3117</v>
      </c>
      <c r="I153" s="301" t="s">
        <v>26</v>
      </c>
      <c r="J153" s="263"/>
      <c r="K153" s="264"/>
    </row>
    <row r="154" spans="1:11" ht="25">
      <c r="A154" s="261"/>
      <c r="B154" s="157"/>
      <c r="C154" s="290"/>
      <c r="D154" s="70" t="s">
        <v>3118</v>
      </c>
      <c r="E154" s="16" t="s">
        <v>3119</v>
      </c>
      <c r="F154" s="262" t="s">
        <v>23</v>
      </c>
      <c r="G154" s="16" t="s">
        <v>3120</v>
      </c>
      <c r="H154" s="16" t="s">
        <v>3121</v>
      </c>
      <c r="I154" s="301" t="s">
        <v>19</v>
      </c>
      <c r="J154" s="263"/>
      <c r="K154" s="264"/>
    </row>
    <row r="155" spans="1:11" ht="25">
      <c r="A155" s="261"/>
      <c r="B155" s="157"/>
      <c r="C155" s="290"/>
      <c r="D155" s="17" t="s">
        <v>3122</v>
      </c>
      <c r="E155" s="16" t="s">
        <v>3123</v>
      </c>
      <c r="F155" s="262" t="s">
        <v>16</v>
      </c>
      <c r="G155" s="16" t="s">
        <v>3124</v>
      </c>
      <c r="H155" s="16" t="s">
        <v>3125</v>
      </c>
      <c r="I155" s="301" t="s">
        <v>26</v>
      </c>
      <c r="J155" s="263"/>
      <c r="K155" s="264"/>
    </row>
    <row r="156" spans="1:11" ht="25.5" thickBot="1">
      <c r="A156" s="261"/>
      <c r="B156" s="157"/>
      <c r="C156" s="291"/>
      <c r="D156" s="21" t="s">
        <v>3126</v>
      </c>
      <c r="E156" s="20" t="s">
        <v>3127</v>
      </c>
      <c r="F156" s="265" t="s">
        <v>23</v>
      </c>
      <c r="G156" s="20" t="s">
        <v>3128</v>
      </c>
      <c r="H156" s="20" t="s">
        <v>3129</v>
      </c>
      <c r="I156" s="302" t="s">
        <v>26</v>
      </c>
      <c r="J156" s="266"/>
      <c r="K156" s="267"/>
    </row>
    <row r="157" spans="1:11" ht="25">
      <c r="A157" s="261"/>
      <c r="B157" s="157"/>
      <c r="C157" s="289" t="s">
        <v>3130</v>
      </c>
      <c r="D157" s="13" t="s">
        <v>3131</v>
      </c>
      <c r="E157" s="25" t="s">
        <v>3132</v>
      </c>
      <c r="F157" s="268" t="s">
        <v>16</v>
      </c>
      <c r="G157" s="24" t="s">
        <v>3133</v>
      </c>
      <c r="H157" s="24" t="s">
        <v>3134</v>
      </c>
      <c r="I157" s="300" t="s">
        <v>26</v>
      </c>
      <c r="J157" s="259"/>
      <c r="K157" s="260"/>
    </row>
    <row r="158" spans="1:11" ht="25">
      <c r="A158" s="261"/>
      <c r="B158" s="157"/>
      <c r="C158" s="290"/>
      <c r="D158" s="69" t="s">
        <v>3135</v>
      </c>
      <c r="E158" s="16" t="s">
        <v>3136</v>
      </c>
      <c r="F158" s="262" t="s">
        <v>16</v>
      </c>
      <c r="G158" s="16" t="s">
        <v>3137</v>
      </c>
      <c r="H158" s="16" t="s">
        <v>3138</v>
      </c>
      <c r="I158" s="301" t="s">
        <v>26</v>
      </c>
      <c r="J158" s="263"/>
      <c r="K158" s="264"/>
    </row>
    <row r="159" spans="1:11" ht="25.5" thickBot="1">
      <c r="A159" s="261"/>
      <c r="B159" s="157"/>
      <c r="C159" s="290"/>
      <c r="D159" s="70" t="s">
        <v>3139</v>
      </c>
      <c r="E159" s="16" t="s">
        <v>3140</v>
      </c>
      <c r="F159" s="262" t="s">
        <v>16</v>
      </c>
      <c r="G159" s="16" t="s">
        <v>3141</v>
      </c>
      <c r="H159" s="16" t="s">
        <v>3142</v>
      </c>
      <c r="I159" s="301" t="s">
        <v>26</v>
      </c>
      <c r="J159" s="263"/>
      <c r="K159" s="264"/>
    </row>
    <row r="160" spans="1:11" ht="25">
      <c r="A160" s="261"/>
      <c r="B160" s="157"/>
      <c r="C160" s="290"/>
      <c r="D160" s="17" t="s">
        <v>3143</v>
      </c>
      <c r="E160" s="16" t="s">
        <v>3144</v>
      </c>
      <c r="F160" s="12" t="s">
        <v>23</v>
      </c>
      <c r="G160" s="16" t="s">
        <v>3145</v>
      </c>
      <c r="H160" s="16" t="s">
        <v>3146</v>
      </c>
      <c r="I160" s="301" t="s">
        <v>26</v>
      </c>
      <c r="J160" s="263"/>
      <c r="K160" s="264"/>
    </row>
    <row r="161" spans="1:11" ht="25.5" thickBot="1">
      <c r="A161" s="261"/>
      <c r="B161" s="157"/>
      <c r="C161" s="291"/>
      <c r="D161" s="21" t="s">
        <v>3147</v>
      </c>
      <c r="E161" s="20" t="s">
        <v>3148</v>
      </c>
      <c r="F161" s="262" t="s">
        <v>23</v>
      </c>
      <c r="G161" s="20" t="s">
        <v>3149</v>
      </c>
      <c r="H161" s="20" t="s">
        <v>3150</v>
      </c>
      <c r="I161" s="302" t="s">
        <v>26</v>
      </c>
      <c r="J161" s="266"/>
      <c r="K161" s="267"/>
    </row>
    <row r="162" spans="1:11" ht="25">
      <c r="A162" s="261"/>
      <c r="B162" s="157"/>
      <c r="C162" s="289" t="s">
        <v>3151</v>
      </c>
      <c r="D162" s="13" t="s">
        <v>3152</v>
      </c>
      <c r="E162" s="25" t="s">
        <v>3153</v>
      </c>
      <c r="F162" s="262" t="s">
        <v>58</v>
      </c>
      <c r="G162" s="24" t="s">
        <v>3154</v>
      </c>
      <c r="H162" s="24" t="s">
        <v>3155</v>
      </c>
      <c r="I162" s="300" t="s">
        <v>19</v>
      </c>
      <c r="J162" s="259"/>
      <c r="K162" s="260"/>
    </row>
    <row r="163" spans="1:11" ht="25">
      <c r="A163" s="261"/>
      <c r="B163" s="157"/>
      <c r="C163" s="290"/>
      <c r="D163" s="69" t="s">
        <v>3156</v>
      </c>
      <c r="E163" s="16" t="s">
        <v>3157</v>
      </c>
      <c r="F163" s="262" t="s">
        <v>58</v>
      </c>
      <c r="G163" s="16" t="s">
        <v>3158</v>
      </c>
      <c r="H163" s="16" t="s">
        <v>3159</v>
      </c>
      <c r="I163" s="301" t="s">
        <v>19</v>
      </c>
      <c r="J163" s="263"/>
      <c r="K163" s="264"/>
    </row>
    <row r="164" spans="1:11" ht="25.5" thickBot="1">
      <c r="A164" s="261"/>
      <c r="B164" s="157"/>
      <c r="C164" s="290"/>
      <c r="D164" s="70" t="s">
        <v>3160</v>
      </c>
      <c r="E164" s="16" t="s">
        <v>3161</v>
      </c>
      <c r="F164" s="262" t="s">
        <v>23</v>
      </c>
      <c r="G164" s="16" t="s">
        <v>3162</v>
      </c>
      <c r="H164" s="16" t="s">
        <v>3163</v>
      </c>
      <c r="I164" s="301" t="s">
        <v>26</v>
      </c>
      <c r="J164" s="263"/>
      <c r="K164" s="264"/>
    </row>
    <row r="165" spans="1:11" ht="25">
      <c r="A165" s="261"/>
      <c r="B165" s="157"/>
      <c r="C165" s="290"/>
      <c r="D165" s="17" t="s">
        <v>3164</v>
      </c>
      <c r="E165" s="16" t="s">
        <v>3165</v>
      </c>
      <c r="F165" s="12" t="s">
        <v>16</v>
      </c>
      <c r="G165" s="16" t="s">
        <v>3166</v>
      </c>
      <c r="H165" s="16" t="s">
        <v>3167</v>
      </c>
      <c r="I165" s="301" t="s">
        <v>26</v>
      </c>
      <c r="J165" s="263"/>
      <c r="K165" s="264"/>
    </row>
    <row r="166" spans="1:11" ht="25.5" thickBot="1">
      <c r="A166" s="261"/>
      <c r="B166" s="157"/>
      <c r="C166" s="291"/>
      <c r="D166" s="21" t="s">
        <v>3168</v>
      </c>
      <c r="E166" s="20" t="s">
        <v>3169</v>
      </c>
      <c r="F166" s="262" t="s">
        <v>23</v>
      </c>
      <c r="G166" s="20" t="s">
        <v>3170</v>
      </c>
      <c r="H166" s="20" t="s">
        <v>3171</v>
      </c>
      <c r="I166" s="302" t="s">
        <v>19</v>
      </c>
      <c r="J166" s="266"/>
      <c r="K166" s="267"/>
    </row>
    <row r="167" spans="1:11" ht="25">
      <c r="A167" s="261"/>
      <c r="B167" s="157"/>
      <c r="C167" s="289" t="s">
        <v>3172</v>
      </c>
      <c r="D167" s="13" t="s">
        <v>3173</v>
      </c>
      <c r="E167" s="25" t="s">
        <v>3174</v>
      </c>
      <c r="F167" s="262" t="s">
        <v>16</v>
      </c>
      <c r="G167" s="24" t="s">
        <v>3175</v>
      </c>
      <c r="H167" s="24" t="s">
        <v>3176</v>
      </c>
      <c r="I167" s="300" t="s">
        <v>26</v>
      </c>
      <c r="J167" s="259"/>
      <c r="K167" s="260"/>
    </row>
    <row r="168" spans="1:11" ht="25.5" thickBot="1">
      <c r="A168" s="261"/>
      <c r="B168" s="157"/>
      <c r="C168" s="290"/>
      <c r="D168" s="69" t="s">
        <v>3177</v>
      </c>
      <c r="E168" s="16" t="s">
        <v>3178</v>
      </c>
      <c r="F168" s="262" t="s">
        <v>16</v>
      </c>
      <c r="G168" s="16" t="s">
        <v>3179</v>
      </c>
      <c r="H168" s="16" t="s">
        <v>3180</v>
      </c>
      <c r="I168" s="301" t="s">
        <v>26</v>
      </c>
      <c r="J168" s="263"/>
      <c r="K168" s="264"/>
    </row>
    <row r="169" spans="1:11" ht="25">
      <c r="A169" s="261"/>
      <c r="B169" s="157"/>
      <c r="C169" s="290"/>
      <c r="D169" s="70" t="s">
        <v>3181</v>
      </c>
      <c r="E169" s="16" t="s">
        <v>3182</v>
      </c>
      <c r="F169" s="12" t="s">
        <v>23</v>
      </c>
      <c r="G169" s="16" t="s">
        <v>3183</v>
      </c>
      <c r="H169" s="16" t="s">
        <v>3184</v>
      </c>
      <c r="I169" s="301" t="s">
        <v>26</v>
      </c>
      <c r="J169" s="263"/>
      <c r="K169" s="264"/>
    </row>
    <row r="170" spans="1:11" ht="25">
      <c r="A170" s="261"/>
      <c r="B170" s="157"/>
      <c r="C170" s="290"/>
      <c r="D170" s="17" t="s">
        <v>3185</v>
      </c>
      <c r="E170" s="16" t="s">
        <v>3186</v>
      </c>
      <c r="F170" s="262" t="s">
        <v>23</v>
      </c>
      <c r="G170" s="16" t="s">
        <v>3187</v>
      </c>
      <c r="H170" s="16" t="s">
        <v>3188</v>
      </c>
      <c r="I170" s="301" t="s">
        <v>26</v>
      </c>
      <c r="J170" s="263"/>
      <c r="K170" s="264"/>
    </row>
    <row r="171" spans="1:11" ht="25.5" thickBot="1">
      <c r="A171" s="261"/>
      <c r="B171" s="157"/>
      <c r="C171" s="291"/>
      <c r="D171" s="21" t="s">
        <v>3189</v>
      </c>
      <c r="E171" s="20" t="s">
        <v>3190</v>
      </c>
      <c r="F171" s="262" t="s">
        <v>58</v>
      </c>
      <c r="G171" s="20" t="s">
        <v>3137</v>
      </c>
      <c r="H171" s="20" t="s">
        <v>3191</v>
      </c>
      <c r="I171" s="302" t="s">
        <v>26</v>
      </c>
      <c r="J171" s="266"/>
      <c r="K171" s="267"/>
    </row>
    <row r="172" spans="1:11" ht="25">
      <c r="A172" s="261"/>
      <c r="B172" s="157"/>
      <c r="C172" s="289" t="s">
        <v>3192</v>
      </c>
      <c r="D172" s="13" t="s">
        <v>3193</v>
      </c>
      <c r="E172" s="25" t="s">
        <v>3194</v>
      </c>
      <c r="F172" s="262" t="s">
        <v>58</v>
      </c>
      <c r="G172" s="24" t="s">
        <v>3195</v>
      </c>
      <c r="H172" s="24" t="s">
        <v>3196</v>
      </c>
      <c r="I172" s="300" t="s">
        <v>26</v>
      </c>
      <c r="J172" s="259"/>
      <c r="K172" s="260"/>
    </row>
    <row r="173" spans="1:11" ht="25.5" thickBot="1">
      <c r="A173" s="261"/>
      <c r="B173" s="157"/>
      <c r="C173" s="290"/>
      <c r="D173" s="70" t="s">
        <v>3197</v>
      </c>
      <c r="E173" s="16" t="s">
        <v>3198</v>
      </c>
      <c r="F173" s="262" t="s">
        <v>23</v>
      </c>
      <c r="G173" s="16" t="s">
        <v>3199</v>
      </c>
      <c r="H173" s="16" t="s">
        <v>3200</v>
      </c>
      <c r="I173" s="301" t="s">
        <v>26</v>
      </c>
      <c r="J173" s="263"/>
      <c r="K173" s="264"/>
    </row>
    <row r="174" spans="1:11" ht="25">
      <c r="A174" s="261"/>
      <c r="B174" s="157"/>
      <c r="C174" s="290"/>
      <c r="D174" s="70" t="s">
        <v>3201</v>
      </c>
      <c r="E174" s="16" t="s">
        <v>3202</v>
      </c>
      <c r="F174" s="12" t="s">
        <v>16</v>
      </c>
      <c r="G174" s="16" t="s">
        <v>3203</v>
      </c>
      <c r="H174" s="16" t="s">
        <v>3204</v>
      </c>
      <c r="I174" s="301" t="s">
        <v>26</v>
      </c>
      <c r="J174" s="263"/>
      <c r="K174" s="264"/>
    </row>
    <row r="175" spans="1:11" ht="25">
      <c r="A175" s="261"/>
      <c r="B175" s="157"/>
      <c r="C175" s="290"/>
      <c r="D175" s="17" t="s">
        <v>3205</v>
      </c>
      <c r="E175" s="16" t="s">
        <v>3206</v>
      </c>
      <c r="F175" s="262" t="s">
        <v>23</v>
      </c>
      <c r="G175" s="16" t="s">
        <v>3207</v>
      </c>
      <c r="H175" s="16" t="s">
        <v>3208</v>
      </c>
      <c r="I175" s="301" t="s">
        <v>206</v>
      </c>
      <c r="J175" s="263"/>
      <c r="K175" s="264"/>
    </row>
    <row r="176" spans="1:11" ht="25.5" thickBot="1">
      <c r="A176" s="261"/>
      <c r="B176" s="173"/>
      <c r="C176" s="291"/>
      <c r="D176" s="21" t="s">
        <v>3209</v>
      </c>
      <c r="E176" s="20" t="s">
        <v>3210</v>
      </c>
      <c r="F176" s="262" t="s">
        <v>16</v>
      </c>
      <c r="G176" s="20" t="s">
        <v>3211</v>
      </c>
      <c r="H176" s="20" t="s">
        <v>3212</v>
      </c>
      <c r="I176" s="302" t="s">
        <v>26</v>
      </c>
      <c r="J176" s="266"/>
      <c r="K176" s="267"/>
    </row>
    <row r="177" spans="1:11" ht="25">
      <c r="A177" s="261"/>
      <c r="B177" s="156" t="s">
        <v>3213</v>
      </c>
      <c r="C177" s="286" t="s">
        <v>3214</v>
      </c>
      <c r="D177" s="14" t="s">
        <v>3215</v>
      </c>
      <c r="E177" s="11" t="s">
        <v>3216</v>
      </c>
      <c r="F177" s="262" t="s">
        <v>16</v>
      </c>
      <c r="G177" s="24" t="s">
        <v>3217</v>
      </c>
      <c r="H177" s="24" t="s">
        <v>3218</v>
      </c>
      <c r="I177" s="300" t="s">
        <v>19</v>
      </c>
      <c r="J177" s="259"/>
      <c r="K177" s="260"/>
    </row>
    <row r="178" spans="1:11" ht="25.5" thickBot="1">
      <c r="A178" s="261"/>
      <c r="B178" s="157"/>
      <c r="C178" s="287"/>
      <c r="D178" s="70" t="s">
        <v>3219</v>
      </c>
      <c r="E178" s="16" t="s">
        <v>3220</v>
      </c>
      <c r="F178" s="265" t="s">
        <v>23</v>
      </c>
      <c r="G178" s="16" t="s">
        <v>3221</v>
      </c>
      <c r="H178" s="16" t="s">
        <v>3222</v>
      </c>
      <c r="I178" s="301" t="s">
        <v>19</v>
      </c>
      <c r="J178" s="263"/>
      <c r="K178" s="264"/>
    </row>
    <row r="179" spans="1:11" ht="25">
      <c r="A179" s="261"/>
      <c r="B179" s="157"/>
      <c r="C179" s="287"/>
      <c r="D179" s="70" t="s">
        <v>3223</v>
      </c>
      <c r="E179" s="16" t="s">
        <v>3224</v>
      </c>
      <c r="F179" s="268" t="s">
        <v>16</v>
      </c>
      <c r="G179" s="16" t="s">
        <v>3225</v>
      </c>
      <c r="H179" s="16" t="s">
        <v>3226</v>
      </c>
      <c r="I179" s="301" t="s">
        <v>19</v>
      </c>
      <c r="J179" s="263"/>
      <c r="K179" s="264"/>
    </row>
    <row r="180" spans="1:11" ht="25">
      <c r="A180" s="261"/>
      <c r="B180" s="157"/>
      <c r="C180" s="287"/>
      <c r="D180" s="17" t="s">
        <v>3227</v>
      </c>
      <c r="E180" s="16" t="s">
        <v>3228</v>
      </c>
      <c r="F180" s="262" t="s">
        <v>16</v>
      </c>
      <c r="G180" s="16" t="s">
        <v>3229</v>
      </c>
      <c r="H180" s="16" t="s">
        <v>3230</v>
      </c>
      <c r="I180" s="301" t="s">
        <v>19</v>
      </c>
      <c r="J180" s="263"/>
      <c r="K180" s="264"/>
    </row>
    <row r="181" spans="1:11" ht="25.5" thickBot="1">
      <c r="A181" s="261"/>
      <c r="B181" s="157"/>
      <c r="C181" s="288"/>
      <c r="D181" s="21" t="s">
        <v>3231</v>
      </c>
      <c r="E181" s="20" t="s">
        <v>3232</v>
      </c>
      <c r="F181" s="262" t="s">
        <v>16</v>
      </c>
      <c r="G181" s="20" t="s">
        <v>3233</v>
      </c>
      <c r="H181" s="20" t="s">
        <v>3234</v>
      </c>
      <c r="I181" s="302" t="s">
        <v>26</v>
      </c>
      <c r="J181" s="266"/>
      <c r="K181" s="267"/>
    </row>
    <row r="182" spans="1:11" ht="25">
      <c r="A182" s="261"/>
      <c r="B182" s="157"/>
      <c r="C182" s="289" t="s">
        <v>3235</v>
      </c>
      <c r="D182" s="13" t="s">
        <v>3236</v>
      </c>
      <c r="E182" s="25" t="s">
        <v>3237</v>
      </c>
      <c r="F182" s="12" t="s">
        <v>23</v>
      </c>
      <c r="G182" s="24" t="s">
        <v>3238</v>
      </c>
      <c r="H182" s="24" t="s">
        <v>3239</v>
      </c>
      <c r="I182" s="300" t="s">
        <v>26</v>
      </c>
      <c r="J182" s="259"/>
      <c r="K182" s="260"/>
    </row>
    <row r="183" spans="1:11" ht="25">
      <c r="A183" s="261"/>
      <c r="B183" s="157"/>
      <c r="C183" s="290"/>
      <c r="D183" s="70" t="s">
        <v>3240</v>
      </c>
      <c r="E183" s="16" t="s">
        <v>3241</v>
      </c>
      <c r="F183" s="262" t="s">
        <v>23</v>
      </c>
      <c r="G183" s="16" t="s">
        <v>3242</v>
      </c>
      <c r="H183" s="16" t="s">
        <v>3243</v>
      </c>
      <c r="I183" s="301" t="s">
        <v>26</v>
      </c>
      <c r="J183" s="263"/>
      <c r="K183" s="264"/>
    </row>
    <row r="184" spans="1:11" ht="25">
      <c r="A184" s="261"/>
      <c r="B184" s="157"/>
      <c r="C184" s="290"/>
      <c r="D184" s="70" t="s">
        <v>3244</v>
      </c>
      <c r="E184" s="16" t="s">
        <v>3245</v>
      </c>
      <c r="F184" s="262" t="s">
        <v>58</v>
      </c>
      <c r="G184" s="16" t="s">
        <v>3246</v>
      </c>
      <c r="H184" s="16" t="s">
        <v>3247</v>
      </c>
      <c r="I184" s="301" t="s">
        <v>19</v>
      </c>
      <c r="J184" s="263"/>
      <c r="K184" s="264"/>
    </row>
    <row r="185" spans="1:11" ht="25">
      <c r="A185" s="261"/>
      <c r="B185" s="157"/>
      <c r="C185" s="290"/>
      <c r="D185" s="17" t="s">
        <v>3248</v>
      </c>
      <c r="E185" s="16" t="s">
        <v>3249</v>
      </c>
      <c r="F185" s="262" t="s">
        <v>58</v>
      </c>
      <c r="G185" s="16" t="s">
        <v>3250</v>
      </c>
      <c r="H185" s="16" t="s">
        <v>3251</v>
      </c>
      <c r="I185" s="301" t="s">
        <v>19</v>
      </c>
      <c r="J185" s="263"/>
      <c r="K185" s="264"/>
    </row>
    <row r="186" spans="1:11" ht="25.5" thickBot="1">
      <c r="A186" s="261"/>
      <c r="B186" s="157"/>
      <c r="C186" s="291"/>
      <c r="D186" s="21" t="s">
        <v>3252</v>
      </c>
      <c r="E186" s="20" t="s">
        <v>3253</v>
      </c>
      <c r="F186" s="262" t="s">
        <v>23</v>
      </c>
      <c r="G186" s="20" t="s">
        <v>3254</v>
      </c>
      <c r="H186" s="20" t="s">
        <v>3255</v>
      </c>
      <c r="I186" s="302" t="s">
        <v>26</v>
      </c>
      <c r="J186" s="266"/>
      <c r="K186" s="267"/>
    </row>
    <row r="187" spans="1:11" ht="25">
      <c r="A187" s="261"/>
      <c r="B187" s="157"/>
      <c r="C187" s="289" t="s">
        <v>3256</v>
      </c>
      <c r="D187" s="13" t="s">
        <v>3257</v>
      </c>
      <c r="E187" s="25" t="s">
        <v>3258</v>
      </c>
      <c r="F187" s="12" t="s">
        <v>16</v>
      </c>
      <c r="G187" s="24" t="s">
        <v>3259</v>
      </c>
      <c r="H187" s="24" t="s">
        <v>3260</v>
      </c>
      <c r="I187" s="300" t="s">
        <v>26</v>
      </c>
      <c r="J187" s="259"/>
      <c r="K187" s="260"/>
    </row>
    <row r="188" spans="1:11" ht="25">
      <c r="A188" s="261"/>
      <c r="B188" s="157"/>
      <c r="C188" s="290"/>
      <c r="D188" s="69" t="s">
        <v>3261</v>
      </c>
      <c r="E188" s="16" t="s">
        <v>3262</v>
      </c>
      <c r="F188" s="262" t="s">
        <v>23</v>
      </c>
      <c r="G188" s="16" t="s">
        <v>3263</v>
      </c>
      <c r="H188" s="16" t="s">
        <v>3264</v>
      </c>
      <c r="I188" s="299" t="s">
        <v>19</v>
      </c>
      <c r="J188" s="263"/>
      <c r="K188" s="264"/>
    </row>
    <row r="189" spans="1:11" ht="25">
      <c r="A189" s="261"/>
      <c r="B189" s="157"/>
      <c r="C189" s="290"/>
      <c r="D189" s="70" t="s">
        <v>3265</v>
      </c>
      <c r="E189" s="16" t="s">
        <v>3266</v>
      </c>
      <c r="F189" s="262" t="s">
        <v>16</v>
      </c>
      <c r="G189" s="16" t="s">
        <v>3267</v>
      </c>
      <c r="H189" s="16" t="s">
        <v>3268</v>
      </c>
      <c r="I189" s="299" t="s">
        <v>19</v>
      </c>
      <c r="J189" s="263"/>
      <c r="K189" s="264"/>
    </row>
    <row r="190" spans="1:11" ht="25.5" thickBot="1">
      <c r="A190" s="261"/>
      <c r="B190" s="157"/>
      <c r="C190" s="290"/>
      <c r="D190" s="17" t="s">
        <v>3269</v>
      </c>
      <c r="E190" s="16" t="s">
        <v>3270</v>
      </c>
      <c r="F190" s="262" t="s">
        <v>16</v>
      </c>
      <c r="G190" s="16" t="s">
        <v>3271</v>
      </c>
      <c r="H190" s="16" t="s">
        <v>3272</v>
      </c>
      <c r="I190" s="299" t="s">
        <v>26</v>
      </c>
      <c r="J190" s="263"/>
      <c r="K190" s="264"/>
    </row>
    <row r="191" spans="1:11" ht="25.5" thickBot="1">
      <c r="A191" s="261"/>
      <c r="B191" s="157"/>
      <c r="C191" s="291"/>
      <c r="D191" s="21" t="s">
        <v>3273</v>
      </c>
      <c r="E191" s="20" t="s">
        <v>3274</v>
      </c>
      <c r="F191" s="12" t="s">
        <v>23</v>
      </c>
      <c r="G191" s="20" t="s">
        <v>3275</v>
      </c>
      <c r="H191" s="20" t="s">
        <v>3276</v>
      </c>
      <c r="I191" s="298" t="s">
        <v>26</v>
      </c>
      <c r="J191" s="266"/>
      <c r="K191" s="267"/>
    </row>
    <row r="192" spans="1:11" ht="25">
      <c r="A192" s="261"/>
      <c r="B192" s="157"/>
      <c r="C192" s="289" t="s">
        <v>3277</v>
      </c>
      <c r="D192" s="13" t="s">
        <v>3278</v>
      </c>
      <c r="E192" s="25" t="s">
        <v>3279</v>
      </c>
      <c r="F192" s="262" t="s">
        <v>23</v>
      </c>
      <c r="G192" s="24" t="s">
        <v>3280</v>
      </c>
      <c r="H192" s="24" t="s">
        <v>3281</v>
      </c>
      <c r="I192" s="305" t="s">
        <v>26</v>
      </c>
      <c r="J192" s="259"/>
      <c r="K192" s="260"/>
    </row>
    <row r="193" spans="1:11" ht="25">
      <c r="A193" s="261"/>
      <c r="B193" s="157"/>
      <c r="C193" s="290"/>
      <c r="D193" s="69" t="s">
        <v>3282</v>
      </c>
      <c r="E193" s="16" t="s">
        <v>3283</v>
      </c>
      <c r="F193" s="262" t="s">
        <v>58</v>
      </c>
      <c r="G193" s="16" t="s">
        <v>3284</v>
      </c>
      <c r="H193" s="16" t="s">
        <v>3285</v>
      </c>
      <c r="I193" s="299" t="s">
        <v>26</v>
      </c>
      <c r="J193" s="263"/>
      <c r="K193" s="264"/>
    </row>
    <row r="194" spans="1:11" ht="25">
      <c r="A194" s="261"/>
      <c r="B194" s="157"/>
      <c r="C194" s="290"/>
      <c r="D194" s="70" t="s">
        <v>3286</v>
      </c>
      <c r="E194" s="16" t="s">
        <v>3287</v>
      </c>
      <c r="F194" s="262" t="s">
        <v>58</v>
      </c>
      <c r="G194" s="16" t="s">
        <v>3288</v>
      </c>
      <c r="H194" s="16" t="s">
        <v>3289</v>
      </c>
      <c r="I194" s="299" t="s">
        <v>26</v>
      </c>
      <c r="J194" s="263"/>
      <c r="K194" s="264"/>
    </row>
    <row r="195" spans="1:11" ht="25">
      <c r="A195" s="261"/>
      <c r="B195" s="157"/>
      <c r="C195" s="290"/>
      <c r="D195" s="17" t="s">
        <v>3290</v>
      </c>
      <c r="E195" s="16" t="s">
        <v>3291</v>
      </c>
      <c r="F195" s="262" t="s">
        <v>23</v>
      </c>
      <c r="G195" s="16" t="s">
        <v>3292</v>
      </c>
      <c r="H195" s="16" t="s">
        <v>3293</v>
      </c>
      <c r="I195" s="299" t="s">
        <v>26</v>
      </c>
      <c r="J195" s="263"/>
      <c r="K195" s="264"/>
    </row>
    <row r="196" spans="1:11" ht="25.5" thickBot="1">
      <c r="A196" s="261"/>
      <c r="B196" s="157"/>
      <c r="C196" s="291"/>
      <c r="D196" s="21" t="s">
        <v>3294</v>
      </c>
      <c r="E196" s="20" t="s">
        <v>3295</v>
      </c>
      <c r="F196" s="262" t="s">
        <v>58</v>
      </c>
      <c r="G196" s="20" t="s">
        <v>3296</v>
      </c>
      <c r="H196" s="20" t="s">
        <v>3297</v>
      </c>
      <c r="I196" s="298" t="s">
        <v>26</v>
      </c>
      <c r="J196" s="266" t="s">
        <v>3816</v>
      </c>
      <c r="K196" s="267"/>
    </row>
    <row r="197" spans="1:11" ht="25.5" thickBot="1">
      <c r="A197" s="261"/>
      <c r="B197" s="157"/>
      <c r="C197" s="289" t="s">
        <v>3298</v>
      </c>
      <c r="D197" s="13" t="s">
        <v>3299</v>
      </c>
      <c r="E197" s="25" t="s">
        <v>3300</v>
      </c>
      <c r="F197" s="262" t="s">
        <v>23</v>
      </c>
      <c r="G197" s="24" t="s">
        <v>3301</v>
      </c>
      <c r="H197" s="24" t="s">
        <v>3302</v>
      </c>
      <c r="I197" s="305" t="s">
        <v>26</v>
      </c>
      <c r="J197" s="259"/>
      <c r="K197" s="260"/>
    </row>
    <row r="198" spans="1:11" ht="25">
      <c r="A198" s="261"/>
      <c r="B198" s="157"/>
      <c r="C198" s="290"/>
      <c r="D198" s="69" t="s">
        <v>3303</v>
      </c>
      <c r="E198" s="16" t="s">
        <v>3304</v>
      </c>
      <c r="F198" s="12" t="s">
        <v>16</v>
      </c>
      <c r="G198" s="16" t="s">
        <v>3305</v>
      </c>
      <c r="H198" s="16" t="s">
        <v>3306</v>
      </c>
      <c r="I198" s="301" t="s">
        <v>19</v>
      </c>
      <c r="J198" s="263"/>
      <c r="K198" s="264"/>
    </row>
    <row r="199" spans="1:11" ht="25">
      <c r="A199" s="261"/>
      <c r="B199" s="157"/>
      <c r="C199" s="290"/>
      <c r="D199" s="70" t="s">
        <v>3307</v>
      </c>
      <c r="E199" s="16" t="s">
        <v>3308</v>
      </c>
      <c r="F199" s="262" t="s">
        <v>23</v>
      </c>
      <c r="G199" s="16" t="s">
        <v>3309</v>
      </c>
      <c r="H199" s="16" t="s">
        <v>3310</v>
      </c>
      <c r="I199" s="301" t="s">
        <v>26</v>
      </c>
      <c r="J199" s="263"/>
      <c r="K199" s="264"/>
    </row>
    <row r="200" spans="1:11" ht="25">
      <c r="A200" s="261"/>
      <c r="B200" s="157"/>
      <c r="C200" s="290"/>
      <c r="D200" s="17" t="s">
        <v>3311</v>
      </c>
      <c r="E200" s="16" t="s">
        <v>3312</v>
      </c>
      <c r="F200" s="262" t="s">
        <v>16</v>
      </c>
      <c r="G200" s="16" t="s">
        <v>3313</v>
      </c>
      <c r="H200" s="16" t="s">
        <v>3314</v>
      </c>
      <c r="I200" s="301" t="s">
        <v>206</v>
      </c>
      <c r="J200" s="263"/>
      <c r="K200" s="264"/>
    </row>
    <row r="201" spans="1:11" ht="25.5" thickBot="1">
      <c r="A201" s="261"/>
      <c r="B201" s="157"/>
      <c r="C201" s="291"/>
      <c r="D201" s="21" t="s">
        <v>3315</v>
      </c>
      <c r="E201" s="20" t="s">
        <v>3316</v>
      </c>
      <c r="F201" s="262" t="s">
        <v>16</v>
      </c>
      <c r="G201" s="20" t="s">
        <v>3317</v>
      </c>
      <c r="H201" s="20" t="s">
        <v>3318</v>
      </c>
      <c r="I201" s="302" t="s">
        <v>26</v>
      </c>
      <c r="J201" s="266"/>
      <c r="K201" s="267"/>
    </row>
    <row r="202" spans="1:11" ht="25.5" thickBot="1">
      <c r="A202" s="272" t="s">
        <v>3319</v>
      </c>
      <c r="B202" s="169" t="s">
        <v>3320</v>
      </c>
      <c r="C202" s="292" t="s">
        <v>3321</v>
      </c>
      <c r="D202" s="29" t="s">
        <v>3322</v>
      </c>
      <c r="E202" s="26" t="s">
        <v>3323</v>
      </c>
      <c r="F202" s="35" t="s">
        <v>23</v>
      </c>
      <c r="G202" s="273" t="s">
        <v>3324</v>
      </c>
      <c r="H202" s="273" t="s">
        <v>3325</v>
      </c>
      <c r="I202" s="300" t="s">
        <v>26</v>
      </c>
      <c r="J202" s="274" t="s">
        <v>20</v>
      </c>
      <c r="K202" s="275"/>
    </row>
    <row r="203" spans="1:11" ht="25">
      <c r="A203" s="276"/>
      <c r="B203" s="164"/>
      <c r="C203" s="293"/>
      <c r="D203" s="88" t="s">
        <v>3326</v>
      </c>
      <c r="E203" s="30" t="s">
        <v>3327</v>
      </c>
      <c r="F203" s="279" t="s">
        <v>16</v>
      </c>
      <c r="G203" s="30" t="s">
        <v>3328</v>
      </c>
      <c r="H203" s="30" t="s">
        <v>3329</v>
      </c>
      <c r="I203" s="301" t="s">
        <v>19</v>
      </c>
      <c r="J203" s="277"/>
      <c r="K203" s="278"/>
    </row>
    <row r="204" spans="1:11" ht="25">
      <c r="A204" s="276"/>
      <c r="B204" s="164"/>
      <c r="C204" s="293"/>
      <c r="D204" s="93" t="s">
        <v>3330</v>
      </c>
      <c r="E204" s="30" t="s">
        <v>3331</v>
      </c>
      <c r="F204" s="31" t="s">
        <v>16</v>
      </c>
      <c r="G204" s="30" t="s">
        <v>3332</v>
      </c>
      <c r="H204" s="30" t="s">
        <v>3333</v>
      </c>
      <c r="I204" s="301" t="s">
        <v>26</v>
      </c>
      <c r="J204" s="277"/>
      <c r="K204" s="278"/>
    </row>
    <row r="205" spans="1:11" ht="25.5" thickBot="1">
      <c r="A205" s="276"/>
      <c r="B205" s="164"/>
      <c r="C205" s="293"/>
      <c r="D205" s="93" t="s">
        <v>3334</v>
      </c>
      <c r="E205" s="30" t="s">
        <v>3335</v>
      </c>
      <c r="F205" s="31" t="s">
        <v>16</v>
      </c>
      <c r="G205" s="30" t="s">
        <v>3336</v>
      </c>
      <c r="H205" s="30" t="s">
        <v>3337</v>
      </c>
      <c r="I205" s="301" t="s">
        <v>26</v>
      </c>
      <c r="J205" s="277"/>
      <c r="K205" s="278"/>
    </row>
    <row r="206" spans="1:11" ht="25.5" thickBot="1">
      <c r="A206" s="276"/>
      <c r="B206" s="164"/>
      <c r="C206" s="293"/>
      <c r="D206" s="32" t="s">
        <v>3338</v>
      </c>
      <c r="E206" s="30" t="s">
        <v>3339</v>
      </c>
      <c r="F206" s="27" t="s">
        <v>23</v>
      </c>
      <c r="G206" s="30" t="s">
        <v>3340</v>
      </c>
      <c r="H206" s="30" t="s">
        <v>3341</v>
      </c>
      <c r="I206" s="301" t="s">
        <v>26</v>
      </c>
      <c r="J206" s="277"/>
      <c r="K206" s="278"/>
    </row>
    <row r="207" spans="1:11" ht="25">
      <c r="A207" s="276"/>
      <c r="B207" s="164"/>
      <c r="C207" s="294" t="s">
        <v>3342</v>
      </c>
      <c r="D207" s="28" t="s">
        <v>3343</v>
      </c>
      <c r="E207" s="38" t="s">
        <v>3344</v>
      </c>
      <c r="F207" s="31" t="s">
        <v>58</v>
      </c>
      <c r="G207" s="273" t="s">
        <v>3345</v>
      </c>
      <c r="H207" s="273" t="s">
        <v>3346</v>
      </c>
      <c r="I207" s="300" t="s">
        <v>19</v>
      </c>
      <c r="J207" s="274"/>
      <c r="K207" s="275"/>
    </row>
    <row r="208" spans="1:11" ht="25.5" thickBot="1">
      <c r="A208" s="276"/>
      <c r="B208" s="164"/>
      <c r="C208" s="295"/>
      <c r="D208" s="88" t="s">
        <v>3347</v>
      </c>
      <c r="E208" s="30" t="s">
        <v>3348</v>
      </c>
      <c r="F208" s="31" t="s">
        <v>23</v>
      </c>
      <c r="G208" s="30" t="s">
        <v>3349</v>
      </c>
      <c r="H208" s="30" t="s">
        <v>3350</v>
      </c>
      <c r="I208" s="301" t="s">
        <v>26</v>
      </c>
      <c r="J208" s="277"/>
      <c r="K208" s="278"/>
    </row>
    <row r="209" spans="1:11" ht="25">
      <c r="A209" s="276"/>
      <c r="B209" s="164"/>
      <c r="C209" s="295"/>
      <c r="D209" s="93" t="s">
        <v>3351</v>
      </c>
      <c r="E209" s="30" t="s">
        <v>3352</v>
      </c>
      <c r="F209" s="27" t="s">
        <v>16</v>
      </c>
      <c r="G209" s="30" t="s">
        <v>3353</v>
      </c>
      <c r="H209" s="30" t="s">
        <v>3354</v>
      </c>
      <c r="I209" s="301" t="s">
        <v>206</v>
      </c>
      <c r="J209" s="277"/>
      <c r="K209" s="278"/>
    </row>
    <row r="210" spans="1:11" ht="25">
      <c r="A210" s="276"/>
      <c r="B210" s="164"/>
      <c r="C210" s="295"/>
      <c r="D210" s="93" t="s">
        <v>3355</v>
      </c>
      <c r="E210" s="30" t="s">
        <v>3356</v>
      </c>
      <c r="F210" s="31" t="s">
        <v>23</v>
      </c>
      <c r="G210" s="30" t="s">
        <v>3263</v>
      </c>
      <c r="H210" s="30" t="s">
        <v>3357</v>
      </c>
      <c r="I210" s="301" t="s">
        <v>19</v>
      </c>
      <c r="J210" s="277"/>
      <c r="K210" s="278"/>
    </row>
    <row r="211" spans="1:11" ht="25.5" thickBot="1">
      <c r="A211" s="276"/>
      <c r="B211" s="164"/>
      <c r="C211" s="295"/>
      <c r="D211" s="32" t="s">
        <v>3358</v>
      </c>
      <c r="E211" s="30" t="s">
        <v>3359</v>
      </c>
      <c r="F211" s="31" t="s">
        <v>16</v>
      </c>
      <c r="G211" s="30" t="s">
        <v>3360</v>
      </c>
      <c r="H211" s="30" t="s">
        <v>3361</v>
      </c>
      <c r="I211" s="301" t="s">
        <v>26</v>
      </c>
      <c r="J211" s="277"/>
      <c r="K211" s="278"/>
    </row>
    <row r="212" spans="1:11" ht="25">
      <c r="A212" s="276"/>
      <c r="B212" s="164"/>
      <c r="C212" s="294" t="s">
        <v>3362</v>
      </c>
      <c r="D212" s="28" t="s">
        <v>3363</v>
      </c>
      <c r="E212" s="38" t="s">
        <v>3364</v>
      </c>
      <c r="F212" s="31" t="s">
        <v>16</v>
      </c>
      <c r="G212" s="273" t="s">
        <v>3365</v>
      </c>
      <c r="H212" s="273" t="s">
        <v>3366</v>
      </c>
      <c r="I212" s="300" t="s">
        <v>26</v>
      </c>
      <c r="J212" s="274"/>
      <c r="K212" s="275"/>
    </row>
    <row r="213" spans="1:11" ht="25.5" thickBot="1">
      <c r="A213" s="276"/>
      <c r="B213" s="164"/>
      <c r="C213" s="295"/>
      <c r="D213" s="88" t="s">
        <v>3367</v>
      </c>
      <c r="E213" s="30" t="s">
        <v>3368</v>
      </c>
      <c r="F213" s="35" t="s">
        <v>23</v>
      </c>
      <c r="G213" s="30" t="s">
        <v>3369</v>
      </c>
      <c r="H213" s="30" t="s">
        <v>3370</v>
      </c>
      <c r="I213" s="301" t="s">
        <v>26</v>
      </c>
      <c r="J213" s="277"/>
      <c r="K213" s="278"/>
    </row>
    <row r="214" spans="1:11" ht="25">
      <c r="A214" s="276"/>
      <c r="B214" s="164"/>
      <c r="C214" s="295"/>
      <c r="D214" s="93" t="s">
        <v>3371</v>
      </c>
      <c r="E214" s="30" t="s">
        <v>3372</v>
      </c>
      <c r="F214" s="279" t="s">
        <v>16</v>
      </c>
      <c r="G214" s="30" t="s">
        <v>3353</v>
      </c>
      <c r="H214" s="30" t="s">
        <v>3373</v>
      </c>
      <c r="I214" s="301" t="s">
        <v>206</v>
      </c>
      <c r="J214" s="277"/>
      <c r="K214" s="278"/>
    </row>
    <row r="215" spans="1:11" ht="25">
      <c r="A215" s="276"/>
      <c r="B215" s="164"/>
      <c r="C215" s="295"/>
      <c r="D215" s="32" t="s">
        <v>3374</v>
      </c>
      <c r="E215" s="30" t="s">
        <v>3375</v>
      </c>
      <c r="F215" s="31" t="s">
        <v>16</v>
      </c>
      <c r="G215" s="30" t="s">
        <v>3376</v>
      </c>
      <c r="H215" s="30" t="s">
        <v>3377</v>
      </c>
      <c r="I215" s="301" t="s">
        <v>26</v>
      </c>
      <c r="J215" s="277"/>
      <c r="K215" s="278"/>
    </row>
    <row r="216" spans="1:11" ht="25.5" thickBot="1">
      <c r="A216" s="276"/>
      <c r="B216" s="164"/>
      <c r="C216" s="296"/>
      <c r="D216" s="36" t="s">
        <v>3378</v>
      </c>
      <c r="E216" s="34" t="s">
        <v>3379</v>
      </c>
      <c r="F216" s="31" t="s">
        <v>16</v>
      </c>
      <c r="G216" s="34" t="s">
        <v>3380</v>
      </c>
      <c r="H216" s="34" t="s">
        <v>3381</v>
      </c>
      <c r="I216" s="302" t="s">
        <v>26</v>
      </c>
      <c r="J216" s="281"/>
      <c r="K216" s="282"/>
    </row>
    <row r="217" spans="1:11" ht="25">
      <c r="A217" s="276"/>
      <c r="B217" s="164"/>
      <c r="C217" s="294" t="s">
        <v>3382</v>
      </c>
      <c r="D217" s="28" t="s">
        <v>3383</v>
      </c>
      <c r="E217" s="38" t="s">
        <v>3384</v>
      </c>
      <c r="F217" s="27" t="s">
        <v>23</v>
      </c>
      <c r="G217" s="273" t="s">
        <v>3385</v>
      </c>
      <c r="H217" s="273" t="s">
        <v>3386</v>
      </c>
      <c r="I217" s="300" t="s">
        <v>26</v>
      </c>
      <c r="J217" s="274"/>
      <c r="K217" s="275"/>
    </row>
    <row r="218" spans="1:11" ht="25">
      <c r="A218" s="276"/>
      <c r="B218" s="164"/>
      <c r="C218" s="295"/>
      <c r="D218" s="88" t="s">
        <v>3387</v>
      </c>
      <c r="E218" s="30" t="s">
        <v>3388</v>
      </c>
      <c r="F218" s="31" t="s">
        <v>23</v>
      </c>
      <c r="G218" s="30" t="s">
        <v>3389</v>
      </c>
      <c r="H218" s="30" t="s">
        <v>3390</v>
      </c>
      <c r="I218" s="301" t="s">
        <v>26</v>
      </c>
      <c r="J218" s="277"/>
      <c r="K218" s="278"/>
    </row>
    <row r="219" spans="1:11" ht="25">
      <c r="A219" s="276"/>
      <c r="B219" s="164"/>
      <c r="C219" s="295"/>
      <c r="D219" s="93" t="s">
        <v>3391</v>
      </c>
      <c r="E219" s="30" t="s">
        <v>3392</v>
      </c>
      <c r="F219" s="31" t="s">
        <v>16</v>
      </c>
      <c r="G219" s="30" t="s">
        <v>3393</v>
      </c>
      <c r="H219" s="30" t="s">
        <v>3394</v>
      </c>
      <c r="I219" s="301" t="s">
        <v>26</v>
      </c>
      <c r="J219" s="277"/>
      <c r="K219" s="278"/>
    </row>
    <row r="220" spans="1:11" ht="25.5" thickBot="1">
      <c r="A220" s="276"/>
      <c r="B220" s="164"/>
      <c r="C220" s="295"/>
      <c r="D220" s="32" t="s">
        <v>3395</v>
      </c>
      <c r="E220" s="30" t="s">
        <v>3396</v>
      </c>
      <c r="F220" s="31" t="s">
        <v>16</v>
      </c>
      <c r="G220" s="30" t="s">
        <v>3397</v>
      </c>
      <c r="H220" s="30" t="s">
        <v>3398</v>
      </c>
      <c r="I220" s="301" t="s">
        <v>26</v>
      </c>
      <c r="J220" s="277"/>
      <c r="K220" s="278"/>
    </row>
    <row r="221" spans="1:11" ht="25.5" thickBot="1">
      <c r="A221" s="276"/>
      <c r="B221" s="164"/>
      <c r="C221" s="296"/>
      <c r="D221" s="36" t="s">
        <v>3399</v>
      </c>
      <c r="E221" s="34" t="s">
        <v>3400</v>
      </c>
      <c r="F221" s="27" t="s">
        <v>23</v>
      </c>
      <c r="G221" s="34" t="s">
        <v>3401</v>
      </c>
      <c r="H221" s="34" t="s">
        <v>3402</v>
      </c>
      <c r="I221" s="302" t="s">
        <v>26</v>
      </c>
      <c r="J221" s="281"/>
      <c r="K221" s="282"/>
    </row>
    <row r="222" spans="1:11" ht="25">
      <c r="A222" s="276"/>
      <c r="B222" s="164"/>
      <c r="C222" s="294" t="s">
        <v>3403</v>
      </c>
      <c r="D222" s="28" t="s">
        <v>3404</v>
      </c>
      <c r="E222" s="38" t="s">
        <v>3405</v>
      </c>
      <c r="F222" s="31" t="s">
        <v>23</v>
      </c>
      <c r="G222" s="273" t="s">
        <v>3406</v>
      </c>
      <c r="H222" s="273" t="s">
        <v>3407</v>
      </c>
      <c r="I222" s="300" t="s">
        <v>19</v>
      </c>
      <c r="J222" s="274"/>
      <c r="K222" s="275"/>
    </row>
    <row r="223" spans="1:11" ht="25.5" thickBot="1">
      <c r="A223" s="276"/>
      <c r="B223" s="164"/>
      <c r="C223" s="295"/>
      <c r="D223" s="88" t="s">
        <v>3408</v>
      </c>
      <c r="E223" s="30" t="s">
        <v>3409</v>
      </c>
      <c r="F223" s="31" t="s">
        <v>58</v>
      </c>
      <c r="G223" s="30" t="s">
        <v>3410</v>
      </c>
      <c r="H223" s="30" t="s">
        <v>3411</v>
      </c>
      <c r="I223" s="301" t="s">
        <v>19</v>
      </c>
      <c r="J223" s="277"/>
      <c r="K223" s="278"/>
    </row>
    <row r="224" spans="1:11" ht="25">
      <c r="A224" s="276"/>
      <c r="B224" s="164"/>
      <c r="C224" s="295"/>
      <c r="D224" s="93" t="s">
        <v>3412</v>
      </c>
      <c r="E224" s="30" t="s">
        <v>3413</v>
      </c>
      <c r="F224" s="279" t="s">
        <v>16</v>
      </c>
      <c r="G224" s="30" t="s">
        <v>3414</v>
      </c>
      <c r="H224" s="30" t="s">
        <v>3415</v>
      </c>
      <c r="I224" s="301" t="s">
        <v>26</v>
      </c>
      <c r="J224" s="277"/>
      <c r="K224" s="278"/>
    </row>
    <row r="225" spans="1:11" ht="25">
      <c r="A225" s="276"/>
      <c r="B225" s="164"/>
      <c r="C225" s="295"/>
      <c r="D225" s="32" t="s">
        <v>3416</v>
      </c>
      <c r="E225" s="30" t="s">
        <v>3417</v>
      </c>
      <c r="F225" s="31" t="s">
        <v>16</v>
      </c>
      <c r="G225" s="30" t="s">
        <v>3418</v>
      </c>
      <c r="H225" s="30" t="s">
        <v>3419</v>
      </c>
      <c r="I225" s="301" t="s">
        <v>26</v>
      </c>
      <c r="J225" s="277"/>
      <c r="K225" s="278"/>
    </row>
    <row r="226" spans="1:11" ht="25.5" thickBot="1">
      <c r="A226" s="276"/>
      <c r="B226" s="164"/>
      <c r="C226" s="296"/>
      <c r="D226" s="36" t="s">
        <v>3420</v>
      </c>
      <c r="E226" s="34" t="s">
        <v>3421</v>
      </c>
      <c r="F226" s="31" t="s">
        <v>16</v>
      </c>
      <c r="G226" s="34" t="s">
        <v>3422</v>
      </c>
      <c r="H226" s="34" t="s">
        <v>3423</v>
      </c>
      <c r="I226" s="302" t="s">
        <v>26</v>
      </c>
      <c r="J226" s="281"/>
      <c r="K226" s="282"/>
    </row>
    <row r="227" spans="1:11" ht="25">
      <c r="A227" s="276"/>
      <c r="B227" s="169" t="s">
        <v>3424</v>
      </c>
      <c r="C227" s="292" t="s">
        <v>3425</v>
      </c>
      <c r="D227" s="283" t="s">
        <v>3426</v>
      </c>
      <c r="E227" s="26" t="s">
        <v>3427</v>
      </c>
      <c r="F227" s="27" t="s">
        <v>23</v>
      </c>
      <c r="G227" s="273" t="s">
        <v>3428</v>
      </c>
      <c r="H227" s="273" t="s">
        <v>3429</v>
      </c>
      <c r="I227" s="300" t="s">
        <v>26</v>
      </c>
      <c r="J227" s="274"/>
      <c r="K227" s="275"/>
    </row>
    <row r="228" spans="1:11" ht="25">
      <c r="A228" s="276"/>
      <c r="B228" s="164"/>
      <c r="C228" s="293"/>
      <c r="D228" s="88" t="s">
        <v>3430</v>
      </c>
      <c r="E228" s="30" t="s">
        <v>3431</v>
      </c>
      <c r="F228" s="31" t="s">
        <v>58</v>
      </c>
      <c r="G228" s="30" t="s">
        <v>3353</v>
      </c>
      <c r="H228" s="30" t="s">
        <v>3432</v>
      </c>
      <c r="I228" s="301" t="s">
        <v>206</v>
      </c>
      <c r="J228" s="277"/>
      <c r="K228" s="278"/>
    </row>
    <row r="229" spans="1:11" ht="25.5" thickBot="1">
      <c r="A229" s="276"/>
      <c r="B229" s="164"/>
      <c r="C229" s="293"/>
      <c r="D229" s="93" t="s">
        <v>3433</v>
      </c>
      <c r="E229" s="30" t="s">
        <v>3434</v>
      </c>
      <c r="F229" s="31" t="s">
        <v>23</v>
      </c>
      <c r="G229" s="30" t="s">
        <v>3435</v>
      </c>
      <c r="H229" s="30" t="s">
        <v>3436</v>
      </c>
      <c r="I229" s="301" t="s">
        <v>26</v>
      </c>
      <c r="J229" s="277"/>
      <c r="K229" s="278"/>
    </row>
    <row r="230" spans="1:11" ht="25">
      <c r="A230" s="276"/>
      <c r="B230" s="164"/>
      <c r="C230" s="293"/>
      <c r="D230" s="32" t="s">
        <v>3437</v>
      </c>
      <c r="E230" s="30" t="s">
        <v>3438</v>
      </c>
      <c r="F230" s="27" t="s">
        <v>16</v>
      </c>
      <c r="G230" s="30" t="s">
        <v>3439</v>
      </c>
      <c r="H230" s="30" t="s">
        <v>3440</v>
      </c>
      <c r="I230" s="301" t="s">
        <v>26</v>
      </c>
      <c r="J230" s="277"/>
      <c r="K230" s="278"/>
    </row>
    <row r="231" spans="1:11" ht="25.5" thickBot="1">
      <c r="A231" s="276"/>
      <c r="B231" s="164"/>
      <c r="C231" s="297"/>
      <c r="D231" s="36" t="s">
        <v>3441</v>
      </c>
      <c r="E231" s="34" t="s">
        <v>3442</v>
      </c>
      <c r="F231" s="31" t="s">
        <v>23</v>
      </c>
      <c r="G231" s="34" t="s">
        <v>3443</v>
      </c>
      <c r="H231" s="34" t="s">
        <v>3444</v>
      </c>
      <c r="I231" s="302" t="s">
        <v>206</v>
      </c>
      <c r="J231" s="281"/>
      <c r="K231" s="282"/>
    </row>
    <row r="232" spans="1:11" ht="25">
      <c r="A232" s="276"/>
      <c r="B232" s="164"/>
      <c r="C232" s="294" t="s">
        <v>3445</v>
      </c>
      <c r="D232" s="28" t="s">
        <v>3446</v>
      </c>
      <c r="E232" s="38" t="s">
        <v>3447</v>
      </c>
      <c r="F232" s="31" t="s">
        <v>16</v>
      </c>
      <c r="G232" s="273" t="s">
        <v>3448</v>
      </c>
      <c r="H232" s="273" t="s">
        <v>3449</v>
      </c>
      <c r="I232" s="300" t="s">
        <v>26</v>
      </c>
      <c r="J232" s="274"/>
      <c r="K232" s="275"/>
    </row>
    <row r="233" spans="1:11" ht="25">
      <c r="A233" s="276"/>
      <c r="B233" s="164"/>
      <c r="C233" s="295"/>
      <c r="D233" s="88" t="s">
        <v>3450</v>
      </c>
      <c r="E233" s="30" t="s">
        <v>3451</v>
      </c>
      <c r="F233" s="31" t="s">
        <v>16</v>
      </c>
      <c r="G233" s="30" t="s">
        <v>3452</v>
      </c>
      <c r="H233" s="30" t="s">
        <v>3453</v>
      </c>
      <c r="I233" s="301" t="s">
        <v>26</v>
      </c>
      <c r="J233" s="277"/>
      <c r="K233" s="278"/>
    </row>
    <row r="234" spans="1:11" ht="25.5" thickBot="1">
      <c r="A234" s="276"/>
      <c r="B234" s="164"/>
      <c r="C234" s="295"/>
      <c r="D234" s="93" t="s">
        <v>3454</v>
      </c>
      <c r="E234" s="30" t="s">
        <v>3455</v>
      </c>
      <c r="F234" s="35" t="s">
        <v>23</v>
      </c>
      <c r="G234" s="30" t="s">
        <v>3456</v>
      </c>
      <c r="H234" s="30" t="s">
        <v>3457</v>
      </c>
      <c r="I234" s="301" t="s">
        <v>26</v>
      </c>
      <c r="J234" s="277"/>
      <c r="K234" s="278"/>
    </row>
    <row r="235" spans="1:11" ht="25">
      <c r="A235" s="276"/>
      <c r="B235" s="164"/>
      <c r="C235" s="295"/>
      <c r="D235" s="32" t="s">
        <v>3458</v>
      </c>
      <c r="E235" s="30" t="s">
        <v>3459</v>
      </c>
      <c r="F235" s="279" t="s">
        <v>16</v>
      </c>
      <c r="G235" s="30" t="s">
        <v>3460</v>
      </c>
      <c r="H235" s="30" t="s">
        <v>3461</v>
      </c>
      <c r="I235" s="301" t="s">
        <v>26</v>
      </c>
      <c r="J235" s="277"/>
      <c r="K235" s="278"/>
    </row>
    <row r="236" spans="1:11" ht="25.5" thickBot="1">
      <c r="A236" s="276"/>
      <c r="B236" s="164"/>
      <c r="C236" s="296"/>
      <c r="D236" s="36" t="s">
        <v>3462</v>
      </c>
      <c r="E236" s="34" t="s">
        <v>3463</v>
      </c>
      <c r="F236" s="31" t="s">
        <v>16</v>
      </c>
      <c r="G236" s="34" t="s">
        <v>3464</v>
      </c>
      <c r="H236" s="34" t="s">
        <v>3465</v>
      </c>
      <c r="I236" s="302" t="s">
        <v>26</v>
      </c>
      <c r="J236" s="281"/>
      <c r="K236" s="282"/>
    </row>
    <row r="237" spans="1:11" ht="25.5" thickBot="1">
      <c r="A237" s="276"/>
      <c r="B237" s="164"/>
      <c r="C237" s="294" t="s">
        <v>3466</v>
      </c>
      <c r="D237" s="28" t="s">
        <v>3467</v>
      </c>
      <c r="E237" s="38" t="s">
        <v>3468</v>
      </c>
      <c r="F237" s="31" t="s">
        <v>16</v>
      </c>
      <c r="G237" s="273" t="s">
        <v>3469</v>
      </c>
      <c r="H237" s="273" t="s">
        <v>3470</v>
      </c>
      <c r="I237" s="300" t="s">
        <v>26</v>
      </c>
      <c r="J237" s="274"/>
      <c r="K237" s="275"/>
    </row>
    <row r="238" spans="1:11" ht="25">
      <c r="A238" s="276"/>
      <c r="B238" s="164"/>
      <c r="C238" s="295"/>
      <c r="D238" s="88" t="s">
        <v>3471</v>
      </c>
      <c r="E238" s="30" t="s">
        <v>3472</v>
      </c>
      <c r="F238" s="27" t="s">
        <v>23</v>
      </c>
      <c r="G238" s="30" t="s">
        <v>3203</v>
      </c>
      <c r="H238" s="30" t="s">
        <v>3473</v>
      </c>
      <c r="I238" s="301" t="s">
        <v>206</v>
      </c>
      <c r="J238" s="277"/>
      <c r="K238" s="278"/>
    </row>
    <row r="239" spans="1:11" ht="25">
      <c r="A239" s="276"/>
      <c r="B239" s="164"/>
      <c r="C239" s="295"/>
      <c r="D239" s="93" t="s">
        <v>3474</v>
      </c>
      <c r="E239" s="30" t="s">
        <v>3475</v>
      </c>
      <c r="F239" s="31" t="s">
        <v>23</v>
      </c>
      <c r="G239" s="30" t="s">
        <v>3476</v>
      </c>
      <c r="H239" s="30" t="s">
        <v>3477</v>
      </c>
      <c r="I239" s="301" t="s">
        <v>206</v>
      </c>
      <c r="J239" s="277"/>
      <c r="K239" s="278"/>
    </row>
    <row r="240" spans="1:11" ht="25">
      <c r="A240" s="276"/>
      <c r="B240" s="164"/>
      <c r="C240" s="295"/>
      <c r="D240" s="32" t="s">
        <v>3478</v>
      </c>
      <c r="E240" s="30" t="s">
        <v>3479</v>
      </c>
      <c r="F240" s="31" t="s">
        <v>16</v>
      </c>
      <c r="G240" s="30" t="s">
        <v>3480</v>
      </c>
      <c r="H240" s="30" t="s">
        <v>3481</v>
      </c>
      <c r="I240" s="301" t="s">
        <v>26</v>
      </c>
      <c r="J240" s="277"/>
      <c r="K240" s="278"/>
    </row>
    <row r="241" spans="1:11" ht="25.5" thickBot="1">
      <c r="A241" s="276"/>
      <c r="B241" s="164"/>
      <c r="C241" s="296"/>
      <c r="D241" s="36" t="s">
        <v>3482</v>
      </c>
      <c r="E241" s="34" t="s">
        <v>3483</v>
      </c>
      <c r="F241" s="31" t="s">
        <v>16</v>
      </c>
      <c r="G241" s="34" t="s">
        <v>3484</v>
      </c>
      <c r="H241" s="34" t="s">
        <v>3485</v>
      </c>
      <c r="I241" s="302" t="s">
        <v>206</v>
      </c>
      <c r="J241" s="281"/>
      <c r="K241" s="282"/>
    </row>
    <row r="242" spans="1:11" ht="25">
      <c r="A242" s="276"/>
      <c r="B242" s="164"/>
      <c r="C242" s="294" t="s">
        <v>3486</v>
      </c>
      <c r="D242" s="28" t="s">
        <v>3487</v>
      </c>
      <c r="E242" s="38" t="s">
        <v>3488</v>
      </c>
      <c r="F242" s="27" t="s">
        <v>23</v>
      </c>
      <c r="G242" s="273" t="s">
        <v>3489</v>
      </c>
      <c r="H242" s="273" t="s">
        <v>3490</v>
      </c>
      <c r="I242" s="300" t="s">
        <v>26</v>
      </c>
      <c r="J242" s="274"/>
      <c r="K242" s="275"/>
    </row>
    <row r="243" spans="1:11" ht="25">
      <c r="A243" s="276"/>
      <c r="B243" s="164"/>
      <c r="C243" s="295"/>
      <c r="D243" s="88" t="s">
        <v>3491</v>
      </c>
      <c r="E243" s="30" t="s">
        <v>3492</v>
      </c>
      <c r="F243" s="31" t="s">
        <v>23</v>
      </c>
      <c r="G243" s="30" t="s">
        <v>3493</v>
      </c>
      <c r="H243" s="30" t="s">
        <v>3494</v>
      </c>
      <c r="I243" s="301" t="s">
        <v>26</v>
      </c>
      <c r="J243" s="277"/>
      <c r="K243" s="278"/>
    </row>
    <row r="244" spans="1:11" ht="25.5" thickBot="1">
      <c r="A244" s="276"/>
      <c r="B244" s="164"/>
      <c r="C244" s="295"/>
      <c r="D244" s="93" t="s">
        <v>3495</v>
      </c>
      <c r="E244" s="30" t="s">
        <v>3496</v>
      </c>
      <c r="F244" s="31" t="s">
        <v>16</v>
      </c>
      <c r="G244" s="30" t="s">
        <v>3497</v>
      </c>
      <c r="H244" s="30" t="s">
        <v>3498</v>
      </c>
      <c r="I244" s="301" t="s">
        <v>26</v>
      </c>
      <c r="J244" s="277"/>
      <c r="K244" s="278"/>
    </row>
    <row r="245" spans="1:11" ht="25">
      <c r="A245" s="276"/>
      <c r="B245" s="164"/>
      <c r="C245" s="295"/>
      <c r="D245" s="32" t="s">
        <v>3499</v>
      </c>
      <c r="E245" s="30" t="s">
        <v>3500</v>
      </c>
      <c r="F245" s="27" t="s">
        <v>23</v>
      </c>
      <c r="G245" s="30" t="s">
        <v>3501</v>
      </c>
      <c r="H245" s="30" t="s">
        <v>3502</v>
      </c>
      <c r="I245" s="301" t="s">
        <v>19</v>
      </c>
      <c r="J245" s="277"/>
      <c r="K245" s="278"/>
    </row>
    <row r="246" spans="1:11" ht="25.5" thickBot="1">
      <c r="A246" s="276"/>
      <c r="B246" s="164"/>
      <c r="C246" s="296"/>
      <c r="D246" s="36" t="s">
        <v>3503</v>
      </c>
      <c r="E246" s="34" t="s">
        <v>3504</v>
      </c>
      <c r="F246" s="31" t="s">
        <v>23</v>
      </c>
      <c r="G246" s="34" t="s">
        <v>3505</v>
      </c>
      <c r="H246" s="34" t="s">
        <v>3506</v>
      </c>
      <c r="I246" s="302" t="s">
        <v>26</v>
      </c>
      <c r="J246" s="281"/>
      <c r="K246" s="282"/>
    </row>
    <row r="247" spans="1:11" ht="25">
      <c r="A247" s="276"/>
      <c r="B247" s="164"/>
      <c r="C247" s="294" t="s">
        <v>3507</v>
      </c>
      <c r="D247" s="28" t="s">
        <v>3508</v>
      </c>
      <c r="E247" s="38" t="s">
        <v>3509</v>
      </c>
      <c r="F247" s="31" t="s">
        <v>16</v>
      </c>
      <c r="G247" s="273" t="s">
        <v>3510</v>
      </c>
      <c r="H247" s="273" t="s">
        <v>3511</v>
      </c>
      <c r="I247" s="300" t="s">
        <v>26</v>
      </c>
      <c r="J247" s="274"/>
      <c r="K247" s="275"/>
    </row>
    <row r="248" spans="1:11" ht="25.5" thickBot="1">
      <c r="A248" s="276"/>
      <c r="B248" s="164"/>
      <c r="C248" s="295"/>
      <c r="D248" s="88" t="s">
        <v>3512</v>
      </c>
      <c r="E248" s="30" t="s">
        <v>3513</v>
      </c>
      <c r="F248" s="31" t="s">
        <v>16</v>
      </c>
      <c r="G248" s="30" t="s">
        <v>3514</v>
      </c>
      <c r="H248" s="30" t="s">
        <v>3515</v>
      </c>
      <c r="I248" s="301" t="s">
        <v>26</v>
      </c>
      <c r="J248" s="277"/>
      <c r="K248" s="278"/>
    </row>
    <row r="249" spans="1:11" ht="25">
      <c r="A249" s="276"/>
      <c r="B249" s="164"/>
      <c r="C249" s="295"/>
      <c r="D249" s="93" t="s">
        <v>3516</v>
      </c>
      <c r="E249" s="30" t="s">
        <v>3517</v>
      </c>
      <c r="F249" s="27" t="s">
        <v>23</v>
      </c>
      <c r="G249" s="30" t="s">
        <v>3518</v>
      </c>
      <c r="H249" s="30" t="s">
        <v>3519</v>
      </c>
      <c r="I249" s="301" t="s">
        <v>26</v>
      </c>
      <c r="J249" s="277"/>
      <c r="K249" s="278"/>
    </row>
    <row r="250" spans="1:11" ht="25">
      <c r="A250" s="276"/>
      <c r="B250" s="164"/>
      <c r="C250" s="295"/>
      <c r="D250" s="32" t="s">
        <v>3520</v>
      </c>
      <c r="E250" s="30" t="s">
        <v>3521</v>
      </c>
      <c r="F250" s="31" t="s">
        <v>23</v>
      </c>
      <c r="G250" s="30" t="s">
        <v>3522</v>
      </c>
      <c r="H250" s="30" t="s">
        <v>3523</v>
      </c>
      <c r="I250" s="301" t="s">
        <v>26</v>
      </c>
      <c r="J250" s="277"/>
      <c r="K250" s="278"/>
    </row>
    <row r="251" spans="1:11" ht="25.5" thickBot="1">
      <c r="A251" s="276"/>
      <c r="B251" s="164"/>
      <c r="C251" s="296"/>
      <c r="D251" s="36" t="s">
        <v>3524</v>
      </c>
      <c r="E251" s="34" t="s">
        <v>3525</v>
      </c>
      <c r="F251" s="31" t="s">
        <v>58</v>
      </c>
      <c r="G251" s="34" t="s">
        <v>3526</v>
      </c>
      <c r="H251" s="34" t="s">
        <v>3527</v>
      </c>
      <c r="I251" s="302" t="s">
        <v>26</v>
      </c>
      <c r="J251" s="281"/>
      <c r="K251" s="282"/>
    </row>
    <row r="252" spans="1:11" ht="25">
      <c r="A252" s="276"/>
      <c r="B252" s="169" t="s">
        <v>3528</v>
      </c>
      <c r="C252" s="292" t="s">
        <v>3529</v>
      </c>
      <c r="D252" s="283" t="s">
        <v>3530</v>
      </c>
      <c r="E252" s="26" t="s">
        <v>3531</v>
      </c>
      <c r="F252" s="279" t="s">
        <v>16</v>
      </c>
      <c r="G252" s="273" t="s">
        <v>3532</v>
      </c>
      <c r="H252" s="273" t="s">
        <v>3533</v>
      </c>
      <c r="I252" s="300" t="s">
        <v>26</v>
      </c>
      <c r="J252" s="274"/>
      <c r="K252" s="275"/>
    </row>
    <row r="253" spans="1:11" ht="25.5" thickBot="1">
      <c r="A253" s="276"/>
      <c r="B253" s="164"/>
      <c r="C253" s="293"/>
      <c r="D253" s="93" t="s">
        <v>3534</v>
      </c>
      <c r="E253" s="30" t="s">
        <v>3535</v>
      </c>
      <c r="F253" s="31" t="s">
        <v>16</v>
      </c>
      <c r="G253" s="30" t="s">
        <v>3536</v>
      </c>
      <c r="H253" s="30" t="s">
        <v>3537</v>
      </c>
      <c r="I253" s="301" t="s">
        <v>26</v>
      </c>
      <c r="J253" s="277"/>
      <c r="K253" s="278"/>
    </row>
    <row r="254" spans="1:11" ht="25">
      <c r="A254" s="276"/>
      <c r="B254" s="164"/>
      <c r="C254" s="293"/>
      <c r="D254" s="93" t="s">
        <v>3538</v>
      </c>
      <c r="E254" s="30" t="s">
        <v>3539</v>
      </c>
      <c r="F254" s="27" t="s">
        <v>23</v>
      </c>
      <c r="G254" s="30" t="s">
        <v>3540</v>
      </c>
      <c r="H254" s="30" t="s">
        <v>3541</v>
      </c>
      <c r="I254" s="301" t="s">
        <v>26</v>
      </c>
      <c r="J254" s="277"/>
      <c r="K254" s="278"/>
    </row>
    <row r="255" spans="1:11" ht="25">
      <c r="A255" s="276"/>
      <c r="B255" s="164"/>
      <c r="C255" s="293"/>
      <c r="D255" s="32" t="s">
        <v>3542</v>
      </c>
      <c r="E255" s="30" t="s">
        <v>3543</v>
      </c>
      <c r="F255" s="31" t="s">
        <v>23</v>
      </c>
      <c r="G255" s="30" t="s">
        <v>3544</v>
      </c>
      <c r="H255" s="30" t="s">
        <v>3545</v>
      </c>
      <c r="I255" s="301" t="s">
        <v>26</v>
      </c>
      <c r="J255" s="277"/>
      <c r="K255" s="278"/>
    </row>
    <row r="256" spans="1:11" ht="25.5" thickBot="1">
      <c r="A256" s="276"/>
      <c r="B256" s="164"/>
      <c r="C256" s="297"/>
      <c r="D256" s="36" t="s">
        <v>3546</v>
      </c>
      <c r="E256" s="34" t="s">
        <v>3547</v>
      </c>
      <c r="F256" s="31" t="s">
        <v>16</v>
      </c>
      <c r="G256" s="34" t="s">
        <v>3548</v>
      </c>
      <c r="H256" s="34" t="s">
        <v>3549</v>
      </c>
      <c r="I256" s="302" t="s">
        <v>206</v>
      </c>
      <c r="J256" s="281"/>
      <c r="K256" s="282"/>
    </row>
    <row r="257" spans="1:11" ht="25.5" thickBot="1">
      <c r="A257" s="276"/>
      <c r="B257" s="164"/>
      <c r="C257" s="294" t="s">
        <v>3550</v>
      </c>
      <c r="D257" s="28" t="s">
        <v>3551</v>
      </c>
      <c r="E257" s="38" t="s">
        <v>3552</v>
      </c>
      <c r="F257" s="31" t="s">
        <v>16</v>
      </c>
      <c r="G257" s="273" t="s">
        <v>3553</v>
      </c>
      <c r="H257" s="273" t="s">
        <v>3554</v>
      </c>
      <c r="I257" s="300" t="s">
        <v>26</v>
      </c>
      <c r="J257" s="274"/>
      <c r="K257" s="275"/>
    </row>
    <row r="258" spans="1:11" ht="25">
      <c r="A258" s="276"/>
      <c r="B258" s="164"/>
      <c r="C258" s="295"/>
      <c r="D258" s="93" t="s">
        <v>3555</v>
      </c>
      <c r="E258" s="30" t="s">
        <v>3556</v>
      </c>
      <c r="F258" s="27" t="s">
        <v>23</v>
      </c>
      <c r="G258" s="30" t="s">
        <v>3557</v>
      </c>
      <c r="H258" s="30" t="s">
        <v>3558</v>
      </c>
      <c r="I258" s="301" t="s">
        <v>26</v>
      </c>
      <c r="J258" s="277"/>
      <c r="K258" s="278"/>
    </row>
    <row r="259" spans="1:11" ht="25">
      <c r="A259" s="276"/>
      <c r="B259" s="164"/>
      <c r="C259" s="295"/>
      <c r="D259" s="93" t="s">
        <v>3559</v>
      </c>
      <c r="E259" s="30" t="s">
        <v>3560</v>
      </c>
      <c r="F259" s="31" t="s">
        <v>23</v>
      </c>
      <c r="G259" s="30" t="s">
        <v>3561</v>
      </c>
      <c r="H259" s="30" t="s">
        <v>3562</v>
      </c>
      <c r="I259" s="301" t="s">
        <v>26</v>
      </c>
      <c r="J259" s="277"/>
      <c r="K259" s="278"/>
    </row>
    <row r="260" spans="1:11" ht="25.5" thickBot="1">
      <c r="A260" s="276"/>
      <c r="B260" s="164"/>
      <c r="C260" s="295"/>
      <c r="D260" s="32" t="s">
        <v>3563</v>
      </c>
      <c r="E260" s="30" t="s">
        <v>3564</v>
      </c>
      <c r="F260" s="31" t="s">
        <v>58</v>
      </c>
      <c r="G260" s="30" t="s">
        <v>3565</v>
      </c>
      <c r="H260" s="30" t="s">
        <v>3566</v>
      </c>
      <c r="I260" s="301" t="s">
        <v>26</v>
      </c>
      <c r="J260" s="277"/>
      <c r="K260" s="278"/>
    </row>
    <row r="261" spans="1:11" ht="25.5" thickBot="1">
      <c r="A261" s="276"/>
      <c r="B261" s="164"/>
      <c r="C261" s="296"/>
      <c r="D261" s="36" t="s">
        <v>3567</v>
      </c>
      <c r="E261" s="34" t="s">
        <v>3568</v>
      </c>
      <c r="F261" s="279" t="s">
        <v>16</v>
      </c>
      <c r="G261" s="34" t="s">
        <v>3569</v>
      </c>
      <c r="H261" s="34" t="s">
        <v>3570</v>
      </c>
      <c r="I261" s="302" t="s">
        <v>26</v>
      </c>
      <c r="J261" s="281"/>
      <c r="K261" s="282"/>
    </row>
    <row r="262" spans="1:11" ht="25">
      <c r="A262" s="276"/>
      <c r="B262" s="164"/>
      <c r="C262" s="294" t="s">
        <v>3571</v>
      </c>
      <c r="D262" s="28" t="s">
        <v>3572</v>
      </c>
      <c r="E262" s="38" t="s">
        <v>3573</v>
      </c>
      <c r="F262" s="31" t="s">
        <v>23</v>
      </c>
      <c r="G262" s="273" t="s">
        <v>3469</v>
      </c>
      <c r="H262" s="273" t="s">
        <v>3574</v>
      </c>
      <c r="I262" s="300" t="s">
        <v>26</v>
      </c>
      <c r="J262" s="274"/>
      <c r="K262" s="275"/>
    </row>
    <row r="263" spans="1:11" ht="25.5" thickBot="1">
      <c r="A263" s="276"/>
      <c r="B263" s="164"/>
      <c r="C263" s="295"/>
      <c r="D263" s="88" t="s">
        <v>3575</v>
      </c>
      <c r="E263" s="30" t="s">
        <v>3576</v>
      </c>
      <c r="F263" s="31" t="s">
        <v>16</v>
      </c>
      <c r="G263" s="30" t="s">
        <v>3577</v>
      </c>
      <c r="H263" s="30" t="s">
        <v>3578</v>
      </c>
      <c r="I263" s="301" t="s">
        <v>26</v>
      </c>
      <c r="J263" s="277"/>
      <c r="K263" s="278"/>
    </row>
    <row r="264" spans="1:11" ht="25">
      <c r="A264" s="276"/>
      <c r="B264" s="164"/>
      <c r="C264" s="295"/>
      <c r="D264" s="93" t="s">
        <v>3579</v>
      </c>
      <c r="E264" s="30" t="s">
        <v>3580</v>
      </c>
      <c r="F264" s="27" t="s">
        <v>23</v>
      </c>
      <c r="G264" s="30" t="s">
        <v>3581</v>
      </c>
      <c r="H264" s="30" t="s">
        <v>3582</v>
      </c>
      <c r="I264" s="301" t="s">
        <v>26</v>
      </c>
      <c r="J264" s="277"/>
      <c r="K264" s="278"/>
    </row>
    <row r="265" spans="1:11" ht="25">
      <c r="A265" s="276"/>
      <c r="B265" s="164"/>
      <c r="C265" s="295"/>
      <c r="D265" s="32" t="s">
        <v>3583</v>
      </c>
      <c r="E265" s="30" t="s">
        <v>3584</v>
      </c>
      <c r="F265" s="31" t="s">
        <v>23</v>
      </c>
      <c r="G265" s="30" t="s">
        <v>3585</v>
      </c>
      <c r="H265" s="30" t="s">
        <v>3586</v>
      </c>
      <c r="I265" s="301" t="s">
        <v>26</v>
      </c>
      <c r="J265" s="277"/>
      <c r="K265" s="278"/>
    </row>
    <row r="266" spans="1:11" ht="25.5" thickBot="1">
      <c r="A266" s="276"/>
      <c r="B266" s="164"/>
      <c r="C266" s="296"/>
      <c r="D266" s="36" t="s">
        <v>3587</v>
      </c>
      <c r="E266" s="34" t="s">
        <v>3588</v>
      </c>
      <c r="F266" s="31" t="s">
        <v>16</v>
      </c>
      <c r="G266" s="34" t="s">
        <v>3589</v>
      </c>
      <c r="H266" s="34" t="s">
        <v>3590</v>
      </c>
      <c r="I266" s="302" t="s">
        <v>26</v>
      </c>
      <c r="J266" s="281"/>
      <c r="K266" s="282"/>
    </row>
    <row r="267" spans="1:11" ht="25.5" thickBot="1">
      <c r="A267" s="276"/>
      <c r="B267" s="164"/>
      <c r="C267" s="294" t="s">
        <v>3591</v>
      </c>
      <c r="D267" s="28" t="s">
        <v>3592</v>
      </c>
      <c r="E267" s="38" t="s">
        <v>3593</v>
      </c>
      <c r="F267" s="31" t="s">
        <v>16</v>
      </c>
      <c r="G267" s="273" t="s">
        <v>3489</v>
      </c>
      <c r="H267" s="273" t="s">
        <v>3490</v>
      </c>
      <c r="I267" s="300" t="s">
        <v>26</v>
      </c>
      <c r="J267" s="274"/>
      <c r="K267" s="275"/>
    </row>
    <row r="268" spans="1:11" ht="25">
      <c r="A268" s="276"/>
      <c r="B268" s="164"/>
      <c r="C268" s="295"/>
      <c r="D268" s="88" t="s">
        <v>3594</v>
      </c>
      <c r="E268" s="30" t="s">
        <v>3595</v>
      </c>
      <c r="F268" s="27" t="s">
        <v>23</v>
      </c>
      <c r="G268" s="30" t="s">
        <v>3596</v>
      </c>
      <c r="H268" s="30" t="s">
        <v>3597</v>
      </c>
      <c r="I268" s="301" t="s">
        <v>26</v>
      </c>
      <c r="J268" s="277"/>
      <c r="K268" s="278"/>
    </row>
    <row r="269" spans="1:11" ht="25">
      <c r="A269" s="276"/>
      <c r="B269" s="164"/>
      <c r="C269" s="295"/>
      <c r="D269" s="93" t="s">
        <v>3598</v>
      </c>
      <c r="E269" s="30" t="s">
        <v>3599</v>
      </c>
      <c r="F269" s="31" t="s">
        <v>23</v>
      </c>
      <c r="G269" s="30" t="s">
        <v>3600</v>
      </c>
      <c r="H269" s="30" t="s">
        <v>3601</v>
      </c>
      <c r="I269" s="301" t="s">
        <v>26</v>
      </c>
      <c r="J269" s="277"/>
      <c r="K269" s="278"/>
    </row>
    <row r="270" spans="1:11" ht="25.5" thickBot="1">
      <c r="A270" s="276"/>
      <c r="B270" s="164"/>
      <c r="C270" s="295"/>
      <c r="D270" s="32" t="s">
        <v>3602</v>
      </c>
      <c r="E270" s="30" t="s">
        <v>3603</v>
      </c>
      <c r="F270" s="31" t="s">
        <v>58</v>
      </c>
      <c r="G270" s="30" t="s">
        <v>3604</v>
      </c>
      <c r="H270" s="30" t="s">
        <v>3605</v>
      </c>
      <c r="I270" s="301" t="s">
        <v>26</v>
      </c>
      <c r="J270" s="277"/>
      <c r="K270" s="278"/>
    </row>
    <row r="271" spans="1:11" ht="25.5" thickBot="1">
      <c r="A271" s="276"/>
      <c r="B271" s="164"/>
      <c r="C271" s="296"/>
      <c r="D271" s="36" t="s">
        <v>3606</v>
      </c>
      <c r="E271" s="34" t="s">
        <v>3607</v>
      </c>
      <c r="F271" s="279" t="s">
        <v>16</v>
      </c>
      <c r="G271" s="34" t="s">
        <v>3608</v>
      </c>
      <c r="H271" s="34" t="s">
        <v>3609</v>
      </c>
      <c r="I271" s="302" t="s">
        <v>26</v>
      </c>
      <c r="J271" s="281"/>
      <c r="K271" s="282"/>
    </row>
    <row r="272" spans="1:11" ht="25.5" thickBot="1">
      <c r="A272" s="276"/>
      <c r="B272" s="164"/>
      <c r="C272" s="294" t="s">
        <v>3610</v>
      </c>
      <c r="D272" s="28" t="s">
        <v>3611</v>
      </c>
      <c r="E272" s="38" t="s">
        <v>3612</v>
      </c>
      <c r="F272" s="31" t="s">
        <v>16</v>
      </c>
      <c r="G272" s="273" t="s">
        <v>3613</v>
      </c>
      <c r="H272" s="273" t="s">
        <v>3614</v>
      </c>
      <c r="I272" s="300" t="s">
        <v>26</v>
      </c>
      <c r="J272" s="274"/>
      <c r="K272" s="275"/>
    </row>
    <row r="273" spans="1:11" ht="25">
      <c r="A273" s="276"/>
      <c r="B273" s="164"/>
      <c r="C273" s="295"/>
      <c r="D273" s="88" t="s">
        <v>3615</v>
      </c>
      <c r="E273" s="30" t="s">
        <v>3616</v>
      </c>
      <c r="F273" s="27" t="s">
        <v>23</v>
      </c>
      <c r="G273" s="30" t="s">
        <v>3518</v>
      </c>
      <c r="H273" s="30" t="s">
        <v>3617</v>
      </c>
      <c r="I273" s="301" t="s">
        <v>26</v>
      </c>
      <c r="J273" s="277"/>
      <c r="K273" s="278"/>
    </row>
    <row r="274" spans="1:11" ht="25">
      <c r="A274" s="276"/>
      <c r="B274" s="164"/>
      <c r="C274" s="295"/>
      <c r="D274" s="93" t="s">
        <v>3618</v>
      </c>
      <c r="E274" s="30" t="s">
        <v>3619</v>
      </c>
      <c r="F274" s="31" t="s">
        <v>23</v>
      </c>
      <c r="G274" s="30" t="s">
        <v>3620</v>
      </c>
      <c r="H274" s="30" t="s">
        <v>3621</v>
      </c>
      <c r="I274" s="301" t="s">
        <v>26</v>
      </c>
      <c r="J274" s="277"/>
      <c r="K274" s="278"/>
    </row>
    <row r="275" spans="1:11" ht="25">
      <c r="A275" s="276"/>
      <c r="B275" s="164"/>
      <c r="C275" s="295"/>
      <c r="D275" s="32" t="s">
        <v>3622</v>
      </c>
      <c r="E275" s="30" t="s">
        <v>3623</v>
      </c>
      <c r="F275" s="31" t="s">
        <v>16</v>
      </c>
      <c r="G275" s="30" t="s">
        <v>3624</v>
      </c>
      <c r="H275" s="30" t="s">
        <v>3625</v>
      </c>
      <c r="I275" s="301" t="s">
        <v>26</v>
      </c>
      <c r="J275" s="277"/>
      <c r="K275" s="278"/>
    </row>
    <row r="276" spans="1:11" ht="25.5" thickBot="1">
      <c r="A276" s="276"/>
      <c r="B276" s="164"/>
      <c r="C276" s="296"/>
      <c r="D276" s="36" t="s">
        <v>3626</v>
      </c>
      <c r="E276" s="34" t="s">
        <v>3627</v>
      </c>
      <c r="F276" s="31" t="s">
        <v>58</v>
      </c>
      <c r="G276" s="34" t="s">
        <v>3628</v>
      </c>
      <c r="H276" s="34" t="s">
        <v>3629</v>
      </c>
      <c r="I276" s="302" t="s">
        <v>26</v>
      </c>
      <c r="J276" s="281"/>
      <c r="K276" s="282"/>
    </row>
    <row r="277" spans="1:11" ht="25.5" thickBot="1">
      <c r="A277" s="276"/>
      <c r="B277" s="164"/>
      <c r="C277" s="294" t="s">
        <v>3630</v>
      </c>
      <c r="D277" s="28" t="s">
        <v>3631</v>
      </c>
      <c r="E277" s="38" t="s">
        <v>3632</v>
      </c>
      <c r="F277" s="31" t="s">
        <v>23</v>
      </c>
      <c r="G277" s="273" t="s">
        <v>3633</v>
      </c>
      <c r="H277" s="273" t="s">
        <v>3634</v>
      </c>
      <c r="I277" s="300" t="s">
        <v>26</v>
      </c>
      <c r="J277" s="274"/>
      <c r="K277" s="275"/>
    </row>
    <row r="278" spans="1:11" ht="25">
      <c r="A278" s="276"/>
      <c r="B278" s="164"/>
      <c r="C278" s="295"/>
      <c r="D278" s="88" t="s">
        <v>3635</v>
      </c>
      <c r="E278" s="30" t="s">
        <v>3636</v>
      </c>
      <c r="F278" s="27" t="s">
        <v>16</v>
      </c>
      <c r="G278" s="30" t="s">
        <v>3637</v>
      </c>
      <c r="H278" s="30" t="s">
        <v>3638</v>
      </c>
      <c r="I278" s="301" t="s">
        <v>26</v>
      </c>
      <c r="J278" s="277"/>
      <c r="K278" s="278"/>
    </row>
    <row r="279" spans="1:11" ht="25">
      <c r="A279" s="276"/>
      <c r="B279" s="164"/>
      <c r="C279" s="295"/>
      <c r="D279" s="93" t="s">
        <v>3639</v>
      </c>
      <c r="E279" s="30" t="s">
        <v>3640</v>
      </c>
      <c r="F279" s="31" t="s">
        <v>23</v>
      </c>
      <c r="G279" s="30" t="s">
        <v>3641</v>
      </c>
      <c r="H279" s="30" t="s">
        <v>3642</v>
      </c>
      <c r="I279" s="301" t="s">
        <v>26</v>
      </c>
      <c r="J279" s="277"/>
      <c r="K279" s="278"/>
    </row>
    <row r="280" spans="1:11" ht="25">
      <c r="A280" s="276"/>
      <c r="B280" s="164"/>
      <c r="C280" s="295"/>
      <c r="D280" s="32" t="s">
        <v>3643</v>
      </c>
      <c r="E280" s="30" t="s">
        <v>3644</v>
      </c>
      <c r="F280" s="31" t="s">
        <v>16</v>
      </c>
      <c r="G280" s="30" t="s">
        <v>3645</v>
      </c>
      <c r="H280" s="30" t="s">
        <v>3646</v>
      </c>
      <c r="I280" s="301" t="s">
        <v>26</v>
      </c>
      <c r="J280" s="277"/>
      <c r="K280" s="278"/>
    </row>
    <row r="281" spans="1:11" ht="25.5" thickBot="1">
      <c r="A281" s="284"/>
      <c r="B281" s="165"/>
      <c r="C281" s="296"/>
      <c r="D281" s="36" t="s">
        <v>3647</v>
      </c>
      <c r="E281" s="34" t="s">
        <v>3648</v>
      </c>
      <c r="F281" s="31" t="s">
        <v>16</v>
      </c>
      <c r="G281" s="34" t="s">
        <v>3569</v>
      </c>
      <c r="H281" s="34" t="s">
        <v>3649</v>
      </c>
      <c r="I281" s="302" t="s">
        <v>26</v>
      </c>
      <c r="J281" s="281"/>
      <c r="K281" s="282"/>
    </row>
    <row r="282" spans="1:11" ht="25">
      <c r="A282" s="258" t="s">
        <v>3650</v>
      </c>
      <c r="B282" s="156" t="s">
        <v>3651</v>
      </c>
      <c r="C282" s="286" t="s">
        <v>3652</v>
      </c>
      <c r="D282" s="285" t="s">
        <v>3653</v>
      </c>
      <c r="E282" s="11" t="s">
        <v>3654</v>
      </c>
      <c r="F282" s="12" t="s">
        <v>23</v>
      </c>
      <c r="G282" s="24" t="s">
        <v>3655</v>
      </c>
      <c r="H282" s="24" t="s">
        <v>3656</v>
      </c>
      <c r="I282" s="300" t="s">
        <v>19</v>
      </c>
      <c r="J282" s="259" t="s">
        <v>20</v>
      </c>
      <c r="K282" s="260"/>
    </row>
    <row r="283" spans="1:11" ht="25">
      <c r="A283" s="261"/>
      <c r="B283" s="157"/>
      <c r="C283" s="287"/>
      <c r="D283" s="69" t="s">
        <v>3657</v>
      </c>
      <c r="E283" s="16" t="s">
        <v>3658</v>
      </c>
      <c r="F283" s="262" t="s">
        <v>23</v>
      </c>
      <c r="G283" s="16" t="s">
        <v>3659</v>
      </c>
      <c r="H283" s="16" t="s">
        <v>3660</v>
      </c>
      <c r="I283" s="301" t="s">
        <v>26</v>
      </c>
      <c r="J283" s="263"/>
      <c r="K283" s="264"/>
    </row>
    <row r="284" spans="1:11" ht="25">
      <c r="A284" s="261"/>
      <c r="B284" s="157"/>
      <c r="C284" s="287"/>
      <c r="D284" s="70" t="s">
        <v>3661</v>
      </c>
      <c r="E284" s="16" t="s">
        <v>3662</v>
      </c>
      <c r="F284" s="262" t="s">
        <v>58</v>
      </c>
      <c r="G284" s="16" t="s">
        <v>3663</v>
      </c>
      <c r="H284" s="16" t="s">
        <v>3664</v>
      </c>
      <c r="I284" s="301" t="s">
        <v>26</v>
      </c>
      <c r="J284" s="263"/>
      <c r="K284" s="264"/>
    </row>
    <row r="285" spans="1:11" ht="25">
      <c r="A285" s="261"/>
      <c r="B285" s="157"/>
      <c r="C285" s="287"/>
      <c r="D285" s="70" t="s">
        <v>3665</v>
      </c>
      <c r="E285" s="16" t="s">
        <v>3666</v>
      </c>
      <c r="F285" s="262" t="s">
        <v>58</v>
      </c>
      <c r="G285" s="16" t="s">
        <v>3667</v>
      </c>
      <c r="H285" s="16" t="s">
        <v>3668</v>
      </c>
      <c r="I285" s="301" t="s">
        <v>26</v>
      </c>
      <c r="J285" s="263"/>
      <c r="K285" s="264"/>
    </row>
    <row r="286" spans="1:11" ht="25.5" thickBot="1">
      <c r="A286" s="261"/>
      <c r="B286" s="157"/>
      <c r="C286" s="287"/>
      <c r="D286" s="17" t="s">
        <v>3669</v>
      </c>
      <c r="E286" s="16" t="s">
        <v>3670</v>
      </c>
      <c r="F286" s="262" t="s">
        <v>23</v>
      </c>
      <c r="G286" s="16" t="s">
        <v>3671</v>
      </c>
      <c r="H286" s="16" t="s">
        <v>3672</v>
      </c>
      <c r="I286" s="301" t="s">
        <v>26</v>
      </c>
      <c r="J286" s="263"/>
      <c r="K286" s="264"/>
    </row>
    <row r="287" spans="1:11" ht="25">
      <c r="A287" s="261"/>
      <c r="B287" s="157"/>
      <c r="C287" s="289" t="s">
        <v>3673</v>
      </c>
      <c r="D287" s="13" t="s">
        <v>3674</v>
      </c>
      <c r="E287" s="25" t="s">
        <v>3675</v>
      </c>
      <c r="F287" s="262" t="s">
        <v>58</v>
      </c>
      <c r="G287" s="24" t="s">
        <v>3676</v>
      </c>
      <c r="H287" s="24" t="s">
        <v>3677</v>
      </c>
      <c r="I287" s="300" t="s">
        <v>26</v>
      </c>
      <c r="J287" s="259"/>
      <c r="K287" s="260"/>
    </row>
    <row r="288" spans="1:11" ht="25.5" thickBot="1">
      <c r="A288" s="261"/>
      <c r="B288" s="157"/>
      <c r="C288" s="290"/>
      <c r="D288" s="69" t="s">
        <v>3678</v>
      </c>
      <c r="E288" s="16" t="s">
        <v>3679</v>
      </c>
      <c r="F288" s="262" t="s">
        <v>23</v>
      </c>
      <c r="G288" s="16" t="s">
        <v>3680</v>
      </c>
      <c r="H288" s="16" t="s">
        <v>3681</v>
      </c>
      <c r="I288" s="301" t="s">
        <v>19</v>
      </c>
      <c r="J288" s="263"/>
      <c r="K288" s="264"/>
    </row>
    <row r="289" spans="1:11" ht="25">
      <c r="A289" s="261"/>
      <c r="B289" s="157"/>
      <c r="C289" s="290"/>
      <c r="D289" s="70" t="s">
        <v>3682</v>
      </c>
      <c r="E289" s="16" t="s">
        <v>3683</v>
      </c>
      <c r="F289" s="12" t="s">
        <v>16</v>
      </c>
      <c r="G289" s="16" t="s">
        <v>3684</v>
      </c>
      <c r="H289" s="16" t="s">
        <v>3685</v>
      </c>
      <c r="I289" s="301" t="s">
        <v>19</v>
      </c>
      <c r="J289" s="263"/>
      <c r="K289" s="264"/>
    </row>
    <row r="290" spans="1:11" ht="25">
      <c r="A290" s="261"/>
      <c r="B290" s="157"/>
      <c r="C290" s="290"/>
      <c r="D290" s="70" t="s">
        <v>3686</v>
      </c>
      <c r="E290" s="16" t="s">
        <v>3687</v>
      </c>
      <c r="F290" s="262" t="s">
        <v>23</v>
      </c>
      <c r="G290" s="16" t="s">
        <v>3688</v>
      </c>
      <c r="H290" s="16" t="s">
        <v>3689</v>
      </c>
      <c r="I290" s="301" t="s">
        <v>26</v>
      </c>
      <c r="J290" s="263"/>
      <c r="K290" s="264"/>
    </row>
    <row r="291" spans="1:11" ht="25.5" thickBot="1">
      <c r="A291" s="261"/>
      <c r="B291" s="157"/>
      <c r="C291" s="290"/>
      <c r="D291" s="17" t="s">
        <v>3690</v>
      </c>
      <c r="E291" s="16" t="s">
        <v>3691</v>
      </c>
      <c r="F291" s="262" t="s">
        <v>16</v>
      </c>
      <c r="G291" s="16" t="s">
        <v>3137</v>
      </c>
      <c r="H291" s="16" t="s">
        <v>3692</v>
      </c>
      <c r="I291" s="301" t="s">
        <v>26</v>
      </c>
      <c r="J291" s="263"/>
      <c r="K291" s="264"/>
    </row>
    <row r="292" spans="1:11" ht="25">
      <c r="A292" s="261"/>
      <c r="B292" s="157"/>
      <c r="C292" s="289" t="s">
        <v>3693</v>
      </c>
      <c r="D292" s="13" t="s">
        <v>3694</v>
      </c>
      <c r="E292" s="25" t="s">
        <v>3695</v>
      </c>
      <c r="F292" s="262" t="s">
        <v>16</v>
      </c>
      <c r="G292" s="24" t="s">
        <v>3696</v>
      </c>
      <c r="H292" s="24" t="s">
        <v>3697</v>
      </c>
      <c r="I292" s="300" t="s">
        <v>26</v>
      </c>
      <c r="J292" s="259"/>
      <c r="K292" s="260"/>
    </row>
    <row r="293" spans="1:11" ht="25.5" thickBot="1">
      <c r="A293" s="261"/>
      <c r="B293" s="157"/>
      <c r="C293" s="290"/>
      <c r="D293" s="69" t="s">
        <v>3698</v>
      </c>
      <c r="E293" s="16" t="s">
        <v>3699</v>
      </c>
      <c r="F293" s="265" t="s">
        <v>23</v>
      </c>
      <c r="G293" s="16" t="s">
        <v>3700</v>
      </c>
      <c r="H293" s="16" t="s">
        <v>3701</v>
      </c>
      <c r="I293" s="301" t="s">
        <v>26</v>
      </c>
      <c r="J293" s="263"/>
      <c r="K293" s="264"/>
    </row>
    <row r="294" spans="1:11" ht="25">
      <c r="A294" s="261"/>
      <c r="B294" s="157"/>
      <c r="C294" s="290"/>
      <c r="D294" s="70" t="s">
        <v>3702</v>
      </c>
      <c r="E294" s="16" t="s">
        <v>3703</v>
      </c>
      <c r="F294" s="268" t="s">
        <v>16</v>
      </c>
      <c r="G294" s="16" t="s">
        <v>3704</v>
      </c>
      <c r="H294" s="16" t="s">
        <v>3705</v>
      </c>
      <c r="I294" s="301" t="s">
        <v>26</v>
      </c>
      <c r="J294" s="263"/>
      <c r="K294" s="264"/>
    </row>
    <row r="295" spans="1:11" ht="25">
      <c r="A295" s="261"/>
      <c r="B295" s="157"/>
      <c r="C295" s="290"/>
      <c r="D295" s="70" t="s">
        <v>3706</v>
      </c>
      <c r="E295" s="16" t="s">
        <v>3707</v>
      </c>
      <c r="F295" s="262" t="s">
        <v>16</v>
      </c>
      <c r="G295" s="16" t="s">
        <v>3708</v>
      </c>
      <c r="H295" s="16" t="s">
        <v>3709</v>
      </c>
      <c r="I295" s="301" t="s">
        <v>26</v>
      </c>
      <c r="J295" s="263"/>
      <c r="K295" s="264"/>
    </row>
    <row r="296" spans="1:11" ht="25.5" thickBot="1">
      <c r="A296" s="261"/>
      <c r="B296" s="157"/>
      <c r="C296" s="291"/>
      <c r="D296" s="21" t="s">
        <v>3710</v>
      </c>
      <c r="E296" s="20" t="s">
        <v>3711</v>
      </c>
      <c r="F296" s="262" t="s">
        <v>16</v>
      </c>
      <c r="G296" s="20" t="s">
        <v>3712</v>
      </c>
      <c r="H296" s="20" t="s">
        <v>3713</v>
      </c>
      <c r="I296" s="302" t="s">
        <v>26</v>
      </c>
      <c r="J296" s="266"/>
      <c r="K296" s="267"/>
    </row>
    <row r="297" spans="1:11" ht="25">
      <c r="A297" s="261"/>
      <c r="B297" s="157"/>
      <c r="C297" s="289" t="s">
        <v>3714</v>
      </c>
      <c r="D297" s="13" t="s">
        <v>3715</v>
      </c>
      <c r="E297" s="25" t="s">
        <v>3716</v>
      </c>
      <c r="F297" s="12" t="s">
        <v>23</v>
      </c>
      <c r="G297" s="24" t="s">
        <v>3476</v>
      </c>
      <c r="H297" s="24" t="s">
        <v>3717</v>
      </c>
      <c r="I297" s="300" t="s">
        <v>206</v>
      </c>
      <c r="J297" s="259"/>
      <c r="K297" s="260"/>
    </row>
    <row r="298" spans="1:11" ht="25">
      <c r="A298" s="261"/>
      <c r="B298" s="157"/>
      <c r="C298" s="290"/>
      <c r="D298" s="69" t="s">
        <v>3718</v>
      </c>
      <c r="E298" s="16" t="s">
        <v>3719</v>
      </c>
      <c r="F298" s="262" t="s">
        <v>58</v>
      </c>
      <c r="G298" s="16" t="s">
        <v>3720</v>
      </c>
      <c r="H298" s="16" t="s">
        <v>3721</v>
      </c>
      <c r="I298" s="299" t="s">
        <v>26</v>
      </c>
      <c r="J298" s="263"/>
      <c r="K298" s="264"/>
    </row>
    <row r="299" spans="1:11" ht="25.5" thickBot="1">
      <c r="A299" s="261"/>
      <c r="B299" s="157"/>
      <c r="C299" s="290"/>
      <c r="D299" s="70" t="s">
        <v>3722</v>
      </c>
      <c r="E299" s="16" t="s">
        <v>3723</v>
      </c>
      <c r="F299" s="262" t="s">
        <v>23</v>
      </c>
      <c r="G299" s="16" t="s">
        <v>3724</v>
      </c>
      <c r="H299" s="16" t="s">
        <v>3725</v>
      </c>
      <c r="I299" s="299" t="s">
        <v>26</v>
      </c>
      <c r="J299" s="263"/>
      <c r="K299" s="264"/>
    </row>
    <row r="300" spans="1:11" ht="25">
      <c r="A300" s="261"/>
      <c r="B300" s="157"/>
      <c r="C300" s="290"/>
      <c r="D300" s="17" t="s">
        <v>3726</v>
      </c>
      <c r="E300" s="16" t="s">
        <v>3727</v>
      </c>
      <c r="F300" s="12" t="s">
        <v>16</v>
      </c>
      <c r="G300" s="16" t="s">
        <v>3728</v>
      </c>
      <c r="H300" s="16" t="s">
        <v>3729</v>
      </c>
      <c r="I300" s="299" t="s">
        <v>26</v>
      </c>
      <c r="J300" s="263"/>
      <c r="K300" s="264"/>
    </row>
    <row r="301" spans="1:11" ht="25.5" thickBot="1">
      <c r="A301" s="261"/>
      <c r="B301" s="157"/>
      <c r="C301" s="291"/>
      <c r="D301" s="21" t="s">
        <v>3730</v>
      </c>
      <c r="E301" s="20" t="s">
        <v>3731</v>
      </c>
      <c r="F301" s="262" t="s">
        <v>23</v>
      </c>
      <c r="G301" s="20" t="s">
        <v>3732</v>
      </c>
      <c r="H301" s="20" t="s">
        <v>3733</v>
      </c>
      <c r="I301" s="298" t="s">
        <v>26</v>
      </c>
      <c r="J301" s="266"/>
      <c r="K301" s="267"/>
    </row>
    <row r="302" spans="1:11" ht="25">
      <c r="A302" s="261"/>
      <c r="B302" s="157"/>
      <c r="C302" s="289" t="s">
        <v>3734</v>
      </c>
      <c r="D302" s="13" t="s">
        <v>3735</v>
      </c>
      <c r="E302" s="25" t="s">
        <v>3736</v>
      </c>
      <c r="F302" s="262" t="s">
        <v>16</v>
      </c>
      <c r="G302" s="24" t="s">
        <v>3175</v>
      </c>
      <c r="H302" s="24" t="s">
        <v>3737</v>
      </c>
      <c r="I302" s="305" t="s">
        <v>26</v>
      </c>
      <c r="J302" s="259"/>
      <c r="K302" s="260"/>
    </row>
    <row r="303" spans="1:11" ht="25">
      <c r="A303" s="261"/>
      <c r="B303" s="157"/>
      <c r="C303" s="290"/>
      <c r="D303" s="69" t="s">
        <v>3738</v>
      </c>
      <c r="E303" s="16" t="s">
        <v>3739</v>
      </c>
      <c r="F303" s="262" t="s">
        <v>16</v>
      </c>
      <c r="G303" s="16" t="s">
        <v>3740</v>
      </c>
      <c r="H303" s="16" t="s">
        <v>3741</v>
      </c>
      <c r="I303" s="299" t="s">
        <v>26</v>
      </c>
      <c r="J303" s="263"/>
      <c r="K303" s="264"/>
    </row>
    <row r="304" spans="1:11" ht="25.5" thickBot="1">
      <c r="A304" s="261"/>
      <c r="B304" s="157"/>
      <c r="C304" s="290"/>
      <c r="D304" s="70" t="s">
        <v>3742</v>
      </c>
      <c r="E304" s="16" t="s">
        <v>3743</v>
      </c>
      <c r="F304" s="265" t="s">
        <v>23</v>
      </c>
      <c r="G304" s="16" t="s">
        <v>3708</v>
      </c>
      <c r="H304" s="16" t="s">
        <v>3744</v>
      </c>
      <c r="I304" s="299" t="s">
        <v>26</v>
      </c>
      <c r="J304" s="263"/>
      <c r="K304" s="264"/>
    </row>
    <row r="305" spans="1:11" ht="25">
      <c r="A305" s="261"/>
      <c r="B305" s="157"/>
      <c r="C305" s="290"/>
      <c r="D305" s="17" t="s">
        <v>3745</v>
      </c>
      <c r="E305" s="16" t="s">
        <v>3746</v>
      </c>
      <c r="F305" s="268" t="s">
        <v>16</v>
      </c>
      <c r="G305" s="16" t="s">
        <v>3747</v>
      </c>
      <c r="H305" s="16" t="s">
        <v>3748</v>
      </c>
      <c r="I305" s="299" t="s">
        <v>26</v>
      </c>
      <c r="J305" s="263"/>
      <c r="K305" s="264"/>
    </row>
    <row r="306" spans="1:11" ht="25.5" thickBot="1">
      <c r="A306" s="261"/>
      <c r="B306" s="173"/>
      <c r="C306" s="291"/>
      <c r="D306" s="21" t="s">
        <v>3749</v>
      </c>
      <c r="E306" s="20" t="s">
        <v>3750</v>
      </c>
      <c r="F306" s="262" t="s">
        <v>16</v>
      </c>
      <c r="G306" s="20" t="s">
        <v>3751</v>
      </c>
      <c r="H306" s="20" t="s">
        <v>3752</v>
      </c>
      <c r="I306" s="298" t="s">
        <v>26</v>
      </c>
      <c r="J306" s="266"/>
      <c r="K306" s="267"/>
    </row>
    <row r="307" spans="1:11" ht="25.5" thickBot="1">
      <c r="A307" s="261"/>
      <c r="B307" s="156" t="s">
        <v>3753</v>
      </c>
      <c r="C307" s="286" t="s">
        <v>3754</v>
      </c>
      <c r="D307" s="285" t="s">
        <v>3755</v>
      </c>
      <c r="E307" s="11" t="s">
        <v>3756</v>
      </c>
      <c r="F307" s="262" t="s">
        <v>16</v>
      </c>
      <c r="G307" s="24" t="s">
        <v>3757</v>
      </c>
      <c r="H307" s="24" t="s">
        <v>3758</v>
      </c>
      <c r="I307" s="305" t="s">
        <v>26</v>
      </c>
      <c r="J307" s="259"/>
      <c r="K307" s="260"/>
    </row>
    <row r="308" spans="1:11" ht="25">
      <c r="A308" s="261"/>
      <c r="B308" s="157"/>
      <c r="C308" s="287"/>
      <c r="D308" s="69" t="s">
        <v>3759</v>
      </c>
      <c r="E308" s="16" t="s">
        <v>3760</v>
      </c>
      <c r="F308" s="12" t="s">
        <v>23</v>
      </c>
      <c r="G308" s="16" t="s">
        <v>3761</v>
      </c>
      <c r="H308" s="16" t="s">
        <v>3762</v>
      </c>
      <c r="I308" s="299" t="s">
        <v>26</v>
      </c>
      <c r="J308" s="263"/>
      <c r="K308" s="264"/>
    </row>
    <row r="309" spans="1:11" ht="25">
      <c r="A309" s="261"/>
      <c r="B309" s="157"/>
      <c r="C309" s="287"/>
      <c r="D309" s="70" t="s">
        <v>3763</v>
      </c>
      <c r="E309" s="16" t="s">
        <v>3764</v>
      </c>
      <c r="F309" s="262" t="s">
        <v>23</v>
      </c>
      <c r="G309" s="16" t="s">
        <v>3765</v>
      </c>
      <c r="H309" s="16" t="s">
        <v>3766</v>
      </c>
      <c r="I309" s="299" t="s">
        <v>26</v>
      </c>
      <c r="J309" s="263"/>
      <c r="K309" s="264"/>
    </row>
    <row r="310" spans="1:11" ht="25">
      <c r="A310" s="261"/>
      <c r="B310" s="157"/>
      <c r="C310" s="287"/>
      <c r="D310" s="17" t="s">
        <v>3767</v>
      </c>
      <c r="E310" s="16" t="s">
        <v>3768</v>
      </c>
      <c r="F310" s="262" t="s">
        <v>16</v>
      </c>
      <c r="G310" s="16" t="s">
        <v>3769</v>
      </c>
      <c r="H310" s="16" t="s">
        <v>3770</v>
      </c>
      <c r="I310" s="299" t="s">
        <v>26</v>
      </c>
      <c r="J310" s="263"/>
      <c r="K310" s="264"/>
    </row>
    <row r="311" spans="1:11" ht="25.5" thickBot="1">
      <c r="A311" s="261"/>
      <c r="B311" s="157"/>
      <c r="C311" s="288"/>
      <c r="D311" s="21" t="s">
        <v>3771</v>
      </c>
      <c r="E311" s="20" t="s">
        <v>3772</v>
      </c>
      <c r="F311" s="262" t="s">
        <v>16</v>
      </c>
      <c r="G311" s="20" t="s">
        <v>3773</v>
      </c>
      <c r="H311" s="20" t="s">
        <v>3774</v>
      </c>
      <c r="I311" s="298" t="s">
        <v>26</v>
      </c>
      <c r="J311" s="266"/>
      <c r="K311" s="267"/>
    </row>
    <row r="312" spans="1:11" ht="25">
      <c r="A312" s="261"/>
      <c r="B312" s="157"/>
      <c r="C312" s="289" t="s">
        <v>3775</v>
      </c>
      <c r="D312" s="13" t="s">
        <v>3776</v>
      </c>
      <c r="E312" s="25" t="s">
        <v>3777</v>
      </c>
      <c r="F312" s="12" t="s">
        <v>23</v>
      </c>
      <c r="G312" s="24" t="s">
        <v>3778</v>
      </c>
      <c r="H312" s="24" t="s">
        <v>3779</v>
      </c>
      <c r="I312" s="305" t="s">
        <v>26</v>
      </c>
      <c r="J312" s="259"/>
      <c r="K312" s="260"/>
    </row>
    <row r="313" spans="1:11" ht="25">
      <c r="A313" s="261"/>
      <c r="B313" s="157"/>
      <c r="C313" s="290"/>
      <c r="D313" s="69" t="s">
        <v>3780</v>
      </c>
      <c r="E313" s="16" t="s">
        <v>3781</v>
      </c>
      <c r="F313" s="262" t="s">
        <v>16</v>
      </c>
      <c r="G313" s="16" t="s">
        <v>3782</v>
      </c>
      <c r="H313" s="16" t="s">
        <v>3783</v>
      </c>
      <c r="I313" s="299" t="s">
        <v>26</v>
      </c>
      <c r="J313" s="263"/>
      <c r="K313" s="264"/>
    </row>
    <row r="314" spans="1:11" ht="25.5" thickBot="1">
      <c r="A314" s="261"/>
      <c r="B314" s="157"/>
      <c r="C314" s="290"/>
      <c r="D314" s="70" t="s">
        <v>3784</v>
      </c>
      <c r="E314" s="16" t="s">
        <v>3785</v>
      </c>
      <c r="F314" s="262" t="s">
        <v>16</v>
      </c>
      <c r="G314" s="16" t="s">
        <v>3786</v>
      </c>
      <c r="H314" s="16" t="s">
        <v>3787</v>
      </c>
      <c r="I314" s="299" t="s">
        <v>26</v>
      </c>
      <c r="J314" s="263"/>
      <c r="K314" s="264"/>
    </row>
    <row r="315" spans="1:11" ht="25">
      <c r="A315" s="261"/>
      <c r="B315" s="157"/>
      <c r="C315" s="290"/>
      <c r="D315" s="17" t="s">
        <v>3788</v>
      </c>
      <c r="E315" s="16" t="s">
        <v>3789</v>
      </c>
      <c r="F315" s="12" t="s">
        <v>23</v>
      </c>
      <c r="G315" s="16" t="s">
        <v>3790</v>
      </c>
      <c r="H315" s="16" t="s">
        <v>3791</v>
      </c>
      <c r="I315" s="299" t="s">
        <v>26</v>
      </c>
      <c r="J315" s="263"/>
      <c r="K315" s="264"/>
    </row>
    <row r="316" spans="1:11" ht="25.5" thickBot="1">
      <c r="A316" s="261"/>
      <c r="B316" s="157"/>
      <c r="C316" s="291"/>
      <c r="D316" s="21" t="s">
        <v>3792</v>
      </c>
      <c r="E316" s="20" t="s">
        <v>3793</v>
      </c>
      <c r="F316" s="262" t="s">
        <v>23</v>
      </c>
      <c r="G316" s="20" t="s">
        <v>3794</v>
      </c>
      <c r="H316" s="20" t="s">
        <v>3795</v>
      </c>
      <c r="I316" s="298" t="s">
        <v>26</v>
      </c>
      <c r="J316" s="266"/>
      <c r="K316" s="267"/>
    </row>
    <row r="317" spans="1:11" ht="25">
      <c r="A317" s="261"/>
      <c r="B317" s="157"/>
      <c r="C317" s="289" t="s">
        <v>3796</v>
      </c>
      <c r="D317" s="13" t="s">
        <v>3797</v>
      </c>
      <c r="E317" s="25" t="s">
        <v>3798</v>
      </c>
      <c r="F317" s="262" t="s">
        <v>16</v>
      </c>
      <c r="G317" s="24" t="s">
        <v>3799</v>
      </c>
      <c r="H317" s="24" t="s">
        <v>3800</v>
      </c>
      <c r="I317" s="305" t="s">
        <v>26</v>
      </c>
      <c r="J317" s="259"/>
      <c r="K317" s="260"/>
    </row>
    <row r="318" spans="1:11" ht="25">
      <c r="A318" s="261"/>
      <c r="B318" s="157"/>
      <c r="C318" s="290"/>
      <c r="D318" s="69" t="s">
        <v>3801</v>
      </c>
      <c r="E318" s="16" t="s">
        <v>3802</v>
      </c>
      <c r="F318" s="262" t="s">
        <v>16</v>
      </c>
      <c r="G318" s="16" t="s">
        <v>3803</v>
      </c>
      <c r="H318" s="16" t="s">
        <v>3804</v>
      </c>
      <c r="I318" s="299" t="s">
        <v>26</v>
      </c>
      <c r="J318" s="263"/>
      <c r="K318" s="264"/>
    </row>
    <row r="319" spans="1:11" ht="25">
      <c r="A319" s="261"/>
      <c r="B319" s="157"/>
      <c r="C319" s="290"/>
      <c r="D319" s="70" t="s">
        <v>3805</v>
      </c>
      <c r="E319" s="16" t="s">
        <v>3806</v>
      </c>
      <c r="F319" s="262" t="s">
        <v>16</v>
      </c>
      <c r="G319" s="16" t="s">
        <v>3807</v>
      </c>
      <c r="H319" s="16" t="s">
        <v>3808</v>
      </c>
      <c r="I319" s="299" t="s">
        <v>26</v>
      </c>
      <c r="J319" s="263"/>
      <c r="K319" s="264"/>
    </row>
    <row r="320" spans="1:11" ht="25">
      <c r="A320" s="261"/>
      <c r="B320" s="157"/>
      <c r="C320" s="290"/>
      <c r="D320" s="17" t="s">
        <v>3809</v>
      </c>
      <c r="E320" s="16" t="s">
        <v>3810</v>
      </c>
      <c r="F320" s="262" t="s">
        <v>16</v>
      </c>
      <c r="G320" s="16" t="s">
        <v>3757</v>
      </c>
      <c r="H320" s="16" t="s">
        <v>3811</v>
      </c>
      <c r="I320" s="299" t="s">
        <v>26</v>
      </c>
      <c r="J320" s="263"/>
      <c r="K320" s="264"/>
    </row>
    <row r="321" spans="1:11" ht="25.5" thickBot="1">
      <c r="A321" s="261"/>
      <c r="B321" s="157"/>
      <c r="C321" s="291"/>
      <c r="D321" s="21" t="s">
        <v>3812</v>
      </c>
      <c r="E321" s="20" t="s">
        <v>3813</v>
      </c>
      <c r="F321" s="265" t="s">
        <v>23</v>
      </c>
      <c r="G321" s="20" t="s">
        <v>3814</v>
      </c>
      <c r="H321" s="20" t="s">
        <v>3815</v>
      </c>
      <c r="I321" s="298" t="s">
        <v>26</v>
      </c>
      <c r="J321" s="266"/>
      <c r="K321" s="267"/>
    </row>
  </sheetData>
  <mergeCells count="82">
    <mergeCell ref="C317:C321"/>
    <mergeCell ref="A282:A321"/>
    <mergeCell ref="B282:B306"/>
    <mergeCell ref="C282:C286"/>
    <mergeCell ref="C287:C291"/>
    <mergeCell ref="C292:C296"/>
    <mergeCell ref="C297:C301"/>
    <mergeCell ref="C302:C306"/>
    <mergeCell ref="B307:B321"/>
    <mergeCell ref="C307:C311"/>
    <mergeCell ref="C312:C316"/>
    <mergeCell ref="B252:B281"/>
    <mergeCell ref="C252:C256"/>
    <mergeCell ref="C257:C261"/>
    <mergeCell ref="C262:C266"/>
    <mergeCell ref="C267:C271"/>
    <mergeCell ref="C272:C276"/>
    <mergeCell ref="C277:C281"/>
    <mergeCell ref="C222:C226"/>
    <mergeCell ref="B227:B251"/>
    <mergeCell ref="C227:C231"/>
    <mergeCell ref="C232:C236"/>
    <mergeCell ref="C237:C241"/>
    <mergeCell ref="C242:C246"/>
    <mergeCell ref="C247:C251"/>
    <mergeCell ref="C182:C186"/>
    <mergeCell ref="C187:C191"/>
    <mergeCell ref="C192:C196"/>
    <mergeCell ref="C197:C201"/>
    <mergeCell ref="A202:A281"/>
    <mergeCell ref="B202:B226"/>
    <mergeCell ref="C202:C206"/>
    <mergeCell ref="C207:C211"/>
    <mergeCell ref="C212:C216"/>
    <mergeCell ref="C217:C221"/>
    <mergeCell ref="A147:A201"/>
    <mergeCell ref="B147:B176"/>
    <mergeCell ref="C147:C151"/>
    <mergeCell ref="C152:C156"/>
    <mergeCell ref="C157:C161"/>
    <mergeCell ref="C162:C166"/>
    <mergeCell ref="C167:C171"/>
    <mergeCell ref="C172:C176"/>
    <mergeCell ref="B177:B201"/>
    <mergeCell ref="C177:C181"/>
    <mergeCell ref="C107:C111"/>
    <mergeCell ref="C112:C116"/>
    <mergeCell ref="C117:C121"/>
    <mergeCell ref="B122:B146"/>
    <mergeCell ref="C122:C126"/>
    <mergeCell ref="C127:C131"/>
    <mergeCell ref="C132:C136"/>
    <mergeCell ref="C137:C141"/>
    <mergeCell ref="C142:C146"/>
    <mergeCell ref="A72:A146"/>
    <mergeCell ref="B72:B96"/>
    <mergeCell ref="C72:C76"/>
    <mergeCell ref="C77:C81"/>
    <mergeCell ref="C82:C86"/>
    <mergeCell ref="C87:C91"/>
    <mergeCell ref="C92:C96"/>
    <mergeCell ref="B97:B121"/>
    <mergeCell ref="C97:C101"/>
    <mergeCell ref="C102:C106"/>
    <mergeCell ref="C37:C41"/>
    <mergeCell ref="C42:C46"/>
    <mergeCell ref="C47:C51"/>
    <mergeCell ref="B52:B71"/>
    <mergeCell ref="C52:C56"/>
    <mergeCell ref="C57:C61"/>
    <mergeCell ref="C62:C66"/>
    <mergeCell ref="C67:C71"/>
    <mergeCell ref="A2:A71"/>
    <mergeCell ref="B2:B26"/>
    <mergeCell ref="C2:C6"/>
    <mergeCell ref="C7:C11"/>
    <mergeCell ref="C12:C16"/>
    <mergeCell ref="C17:C21"/>
    <mergeCell ref="C22:C26"/>
    <mergeCell ref="B27:B51"/>
    <mergeCell ref="C27:C31"/>
    <mergeCell ref="C32:C36"/>
  </mergeCells>
  <conditionalFormatting sqref="I3:I7 I23:I26 I53:I56 I48:I51 I43:I46 I38:I41 I72">
    <cfRule type="containsText" dxfId="244" priority="113" operator="containsText" text="Faible">
      <formula>NOT(ISERROR(SEARCH("Faible",I3)))</formula>
    </cfRule>
    <cfRule type="containsText" dxfId="243" priority="114" operator="containsText" text="Elevée">
      <formula>NOT(ISERROR(SEARCH("Elevée",I3)))</formula>
    </cfRule>
    <cfRule type="containsText" dxfId="242" priority="115" operator="containsText" text="Moyenne">
      <formula>NOT(ISERROR(SEARCH("Moyenne",I3)))</formula>
    </cfRule>
  </conditionalFormatting>
  <conditionalFormatting sqref="I8:I12">
    <cfRule type="containsText" dxfId="241" priority="110" operator="containsText" text="Faible">
      <formula>NOT(ISERROR(SEARCH("Faible",I8)))</formula>
    </cfRule>
    <cfRule type="containsText" dxfId="240" priority="111" operator="containsText" text="Elevée">
      <formula>NOT(ISERROR(SEARCH("Elevée",I8)))</formula>
    </cfRule>
    <cfRule type="containsText" dxfId="239" priority="112" operator="containsText" text="Moyenne">
      <formula>NOT(ISERROR(SEARCH("Moyenne",I8)))</formula>
    </cfRule>
  </conditionalFormatting>
  <conditionalFormatting sqref="I13:I16">
    <cfRule type="containsText" dxfId="238" priority="107" operator="containsText" text="Faible">
      <formula>NOT(ISERROR(SEARCH("Faible",I13)))</formula>
    </cfRule>
    <cfRule type="containsText" dxfId="237" priority="108" operator="containsText" text="Elevée">
      <formula>NOT(ISERROR(SEARCH("Elevée",I13)))</formula>
    </cfRule>
    <cfRule type="containsText" dxfId="236" priority="109" operator="containsText" text="Moyenne">
      <formula>NOT(ISERROR(SEARCH("Moyenne",I13)))</formula>
    </cfRule>
  </conditionalFormatting>
  <conditionalFormatting sqref="I17">
    <cfRule type="containsText" dxfId="235" priority="104" operator="containsText" text="Faible">
      <formula>NOT(ISERROR(SEARCH("Faible",I17)))</formula>
    </cfRule>
    <cfRule type="containsText" dxfId="234" priority="105" operator="containsText" text="Elevée">
      <formula>NOT(ISERROR(SEARCH("Elevée",I17)))</formula>
    </cfRule>
    <cfRule type="containsText" dxfId="233" priority="106" operator="containsText" text="Moyenne">
      <formula>NOT(ISERROR(SEARCH("Moyenne",I17)))</formula>
    </cfRule>
  </conditionalFormatting>
  <conditionalFormatting sqref="I18:I22">
    <cfRule type="containsText" dxfId="232" priority="101" operator="containsText" text="Faible">
      <formula>NOT(ISERROR(SEARCH("Faible",I18)))</formula>
    </cfRule>
    <cfRule type="containsText" dxfId="231" priority="102" operator="containsText" text="Elevée">
      <formula>NOT(ISERROR(SEARCH("Elevée",I18)))</formula>
    </cfRule>
    <cfRule type="containsText" dxfId="230" priority="103" operator="containsText" text="Moyenne">
      <formula>NOT(ISERROR(SEARCH("Moyenne",I18)))</formula>
    </cfRule>
  </conditionalFormatting>
  <conditionalFormatting sqref="I42">
    <cfRule type="containsText" dxfId="229" priority="92" operator="containsText" text="Faible">
      <formula>NOT(ISERROR(SEARCH("Faible",I42)))</formula>
    </cfRule>
    <cfRule type="containsText" dxfId="228" priority="93" operator="containsText" text="Elevée">
      <formula>NOT(ISERROR(SEARCH("Elevée",I42)))</formula>
    </cfRule>
    <cfRule type="containsText" dxfId="227" priority="94" operator="containsText" text="Moyenne">
      <formula>NOT(ISERROR(SEARCH("Moyenne",I42)))</formula>
    </cfRule>
  </conditionalFormatting>
  <conditionalFormatting sqref="I27:I36">
    <cfRule type="containsText" dxfId="226" priority="98" operator="containsText" text="Faible">
      <formula>NOT(ISERROR(SEARCH("Faible",I27)))</formula>
    </cfRule>
    <cfRule type="containsText" dxfId="225" priority="99" operator="containsText" text="Elevée">
      <formula>NOT(ISERROR(SEARCH("Elevée",I27)))</formula>
    </cfRule>
    <cfRule type="containsText" dxfId="224" priority="100" operator="containsText" text="Moyenne">
      <formula>NOT(ISERROR(SEARCH("Moyenne",I27)))</formula>
    </cfRule>
  </conditionalFormatting>
  <conditionalFormatting sqref="I37">
    <cfRule type="containsText" dxfId="223" priority="95" operator="containsText" text="Faible">
      <formula>NOT(ISERROR(SEARCH("Faible",I37)))</formula>
    </cfRule>
    <cfRule type="containsText" dxfId="222" priority="96" operator="containsText" text="Elevée">
      <formula>NOT(ISERROR(SEARCH("Elevée",I37)))</formula>
    </cfRule>
    <cfRule type="containsText" dxfId="221" priority="97" operator="containsText" text="Moyenne">
      <formula>NOT(ISERROR(SEARCH("Moyenne",I37)))</formula>
    </cfRule>
  </conditionalFormatting>
  <conditionalFormatting sqref="I57">
    <cfRule type="containsText" dxfId="220" priority="83" operator="containsText" text="Faible">
      <formula>NOT(ISERROR(SEARCH("Faible",I57)))</formula>
    </cfRule>
    <cfRule type="containsText" dxfId="219" priority="84" operator="containsText" text="Elevée">
      <formula>NOT(ISERROR(SEARCH("Elevée",I57)))</formula>
    </cfRule>
    <cfRule type="containsText" dxfId="218" priority="85" operator="containsText" text="Moyenne">
      <formula>NOT(ISERROR(SEARCH("Moyenne",I57)))</formula>
    </cfRule>
  </conditionalFormatting>
  <conditionalFormatting sqref="I47">
    <cfRule type="containsText" dxfId="217" priority="89" operator="containsText" text="Faible">
      <formula>NOT(ISERROR(SEARCH("Faible",I47)))</formula>
    </cfRule>
    <cfRule type="containsText" dxfId="216" priority="90" operator="containsText" text="Elevée">
      <formula>NOT(ISERROR(SEARCH("Elevée",I47)))</formula>
    </cfRule>
    <cfRule type="containsText" dxfId="215" priority="91" operator="containsText" text="Moyenne">
      <formula>NOT(ISERROR(SEARCH("Moyenne",I47)))</formula>
    </cfRule>
  </conditionalFormatting>
  <conditionalFormatting sqref="I52">
    <cfRule type="containsText" dxfId="214" priority="86" operator="containsText" text="Faible">
      <formula>NOT(ISERROR(SEARCH("Faible",I52)))</formula>
    </cfRule>
    <cfRule type="containsText" dxfId="213" priority="87" operator="containsText" text="Elevée">
      <formula>NOT(ISERROR(SEARCH("Elevée",I52)))</formula>
    </cfRule>
    <cfRule type="containsText" dxfId="212" priority="88" operator="containsText" text="Moyenne">
      <formula>NOT(ISERROR(SEARCH("Moyenne",I52)))</formula>
    </cfRule>
  </conditionalFormatting>
  <conditionalFormatting sqref="F3">
    <cfRule type="cellIs" dxfId="211" priority="82" operator="equal">
      <formula>"OUI"</formula>
    </cfRule>
  </conditionalFormatting>
  <conditionalFormatting sqref="I58:I62 I73:I76 I128:I131 I123:I126">
    <cfRule type="containsText" dxfId="210" priority="79" operator="containsText" text="Faible">
      <formula>NOT(ISERROR(SEARCH("Faible",I58)))</formula>
    </cfRule>
    <cfRule type="containsText" dxfId="209" priority="80" operator="containsText" text="Elevée">
      <formula>NOT(ISERROR(SEARCH("Elevée",I58)))</formula>
    </cfRule>
    <cfRule type="containsText" dxfId="208" priority="81" operator="containsText" text="Moyenne">
      <formula>NOT(ISERROR(SEARCH("Moyenne",I58)))</formula>
    </cfRule>
  </conditionalFormatting>
  <conditionalFormatting sqref="I77">
    <cfRule type="containsText" dxfId="207" priority="70" operator="containsText" text="Faible">
      <formula>NOT(ISERROR(SEARCH("Faible",I77)))</formula>
    </cfRule>
    <cfRule type="containsText" dxfId="206" priority="71" operator="containsText" text="Elevée">
      <formula>NOT(ISERROR(SEARCH("Elevée",I77)))</formula>
    </cfRule>
    <cfRule type="containsText" dxfId="205" priority="72" operator="containsText" text="Moyenne">
      <formula>NOT(ISERROR(SEARCH("Moyenne",I77)))</formula>
    </cfRule>
  </conditionalFormatting>
  <conditionalFormatting sqref="I63:I67">
    <cfRule type="containsText" dxfId="204" priority="76" operator="containsText" text="Faible">
      <formula>NOT(ISERROR(SEARCH("Faible",I63)))</formula>
    </cfRule>
    <cfRule type="containsText" dxfId="203" priority="77" operator="containsText" text="Elevée">
      <formula>NOT(ISERROR(SEARCH("Elevée",I63)))</formula>
    </cfRule>
    <cfRule type="containsText" dxfId="202" priority="78" operator="containsText" text="Moyenne">
      <formula>NOT(ISERROR(SEARCH("Moyenne",I63)))</formula>
    </cfRule>
  </conditionalFormatting>
  <conditionalFormatting sqref="I68:I71">
    <cfRule type="containsText" dxfId="201" priority="73" operator="containsText" text="Faible">
      <formula>NOT(ISERROR(SEARCH("Faible",I68)))</formula>
    </cfRule>
    <cfRule type="containsText" dxfId="200" priority="74" operator="containsText" text="Elevée">
      <formula>NOT(ISERROR(SEARCH("Elevée",I68)))</formula>
    </cfRule>
    <cfRule type="containsText" dxfId="199" priority="75" operator="containsText" text="Moyenne">
      <formula>NOT(ISERROR(SEARCH("Moyenne",I68)))</formula>
    </cfRule>
  </conditionalFormatting>
  <conditionalFormatting sqref="I132">
    <cfRule type="containsText" dxfId="198" priority="61" operator="containsText" text="Faible">
      <formula>NOT(ISERROR(SEARCH("Faible",I132)))</formula>
    </cfRule>
    <cfRule type="containsText" dxfId="197" priority="62" operator="containsText" text="Elevée">
      <formula>NOT(ISERROR(SEARCH("Elevée",I132)))</formula>
    </cfRule>
    <cfRule type="containsText" dxfId="196" priority="63" operator="containsText" text="Moyenne">
      <formula>NOT(ISERROR(SEARCH("Moyenne",I132)))</formula>
    </cfRule>
  </conditionalFormatting>
  <conditionalFormatting sqref="I122">
    <cfRule type="containsText" dxfId="195" priority="67" operator="containsText" text="Faible">
      <formula>NOT(ISERROR(SEARCH("Faible",I122)))</formula>
    </cfRule>
    <cfRule type="containsText" dxfId="194" priority="68" operator="containsText" text="Elevée">
      <formula>NOT(ISERROR(SEARCH("Elevée",I122)))</formula>
    </cfRule>
    <cfRule type="containsText" dxfId="193" priority="69" operator="containsText" text="Moyenne">
      <formula>NOT(ISERROR(SEARCH("Moyenne",I122)))</formula>
    </cfRule>
  </conditionalFormatting>
  <conditionalFormatting sqref="I127">
    <cfRule type="containsText" dxfId="192" priority="64" operator="containsText" text="Faible">
      <formula>NOT(ISERROR(SEARCH("Faible",I127)))</formula>
    </cfRule>
    <cfRule type="containsText" dxfId="191" priority="65" operator="containsText" text="Elevée">
      <formula>NOT(ISERROR(SEARCH("Elevée",I127)))</formula>
    </cfRule>
    <cfRule type="containsText" dxfId="190" priority="66" operator="containsText" text="Moyenne">
      <formula>NOT(ISERROR(SEARCH("Moyenne",I127)))</formula>
    </cfRule>
  </conditionalFormatting>
  <conditionalFormatting sqref="F58">
    <cfRule type="cellIs" dxfId="189" priority="60" operator="equal">
      <formula>"OUI"</formula>
    </cfRule>
  </conditionalFormatting>
  <conditionalFormatting sqref="I98:I101">
    <cfRule type="containsText" dxfId="188" priority="57" operator="containsText" text="Faible">
      <formula>NOT(ISERROR(SEARCH("Faible",I98)))</formula>
    </cfRule>
    <cfRule type="containsText" dxfId="187" priority="58" operator="containsText" text="Elevée">
      <formula>NOT(ISERROR(SEARCH("Elevée",I98)))</formula>
    </cfRule>
    <cfRule type="containsText" dxfId="186" priority="59" operator="containsText" text="Moyenne">
      <formula>NOT(ISERROR(SEARCH("Moyenne",I98)))</formula>
    </cfRule>
  </conditionalFormatting>
  <conditionalFormatting sqref="I102">
    <cfRule type="containsText" dxfId="185" priority="54" operator="containsText" text="Faible">
      <formula>NOT(ISERROR(SEARCH("Faible",I102)))</formula>
    </cfRule>
    <cfRule type="containsText" dxfId="184" priority="55" operator="containsText" text="Elevée">
      <formula>NOT(ISERROR(SEARCH("Elevée",I102)))</formula>
    </cfRule>
    <cfRule type="containsText" dxfId="183" priority="56" operator="containsText" text="Moyenne">
      <formula>NOT(ISERROR(SEARCH("Moyenne",I102)))</formula>
    </cfRule>
  </conditionalFormatting>
  <conditionalFormatting sqref="I93:I96">
    <cfRule type="containsText" dxfId="182" priority="51" operator="containsText" text="Faible">
      <formula>NOT(ISERROR(SEARCH("Faible",I93)))</formula>
    </cfRule>
    <cfRule type="containsText" dxfId="181" priority="52" operator="containsText" text="Elevée">
      <formula>NOT(ISERROR(SEARCH("Elevée",I93)))</formula>
    </cfRule>
    <cfRule type="containsText" dxfId="180" priority="53" operator="containsText" text="Moyenne">
      <formula>NOT(ISERROR(SEARCH("Moyenne",I93)))</formula>
    </cfRule>
  </conditionalFormatting>
  <conditionalFormatting sqref="I97">
    <cfRule type="containsText" dxfId="179" priority="48" operator="containsText" text="Faible">
      <formula>NOT(ISERROR(SEARCH("Faible",I97)))</formula>
    </cfRule>
    <cfRule type="containsText" dxfId="178" priority="49" operator="containsText" text="Elevée">
      <formula>NOT(ISERROR(SEARCH("Elevée",I97)))</formula>
    </cfRule>
    <cfRule type="containsText" dxfId="177" priority="50" operator="containsText" text="Moyenne">
      <formula>NOT(ISERROR(SEARCH("Moyenne",I97)))</formula>
    </cfRule>
  </conditionalFormatting>
  <conditionalFormatting sqref="I92">
    <cfRule type="containsText" dxfId="176" priority="45" operator="containsText" text="Faible">
      <formula>NOT(ISERROR(SEARCH("Faible",I92)))</formula>
    </cfRule>
    <cfRule type="containsText" dxfId="175" priority="46" operator="containsText" text="Elevée">
      <formula>NOT(ISERROR(SEARCH("Elevée",I92)))</formula>
    </cfRule>
    <cfRule type="containsText" dxfId="174" priority="47" operator="containsText" text="Moyenne">
      <formula>NOT(ISERROR(SEARCH("Moyenne",I92)))</formula>
    </cfRule>
  </conditionalFormatting>
  <conditionalFormatting sqref="I88:I91">
    <cfRule type="containsText" dxfId="173" priority="42" operator="containsText" text="Faible">
      <formula>NOT(ISERROR(SEARCH("Faible",I88)))</formula>
    </cfRule>
    <cfRule type="containsText" dxfId="172" priority="43" operator="containsText" text="Elevée">
      <formula>NOT(ISERROR(SEARCH("Elevée",I88)))</formula>
    </cfRule>
    <cfRule type="containsText" dxfId="171" priority="44" operator="containsText" text="Moyenne">
      <formula>NOT(ISERROR(SEARCH("Moyenne",I88)))</formula>
    </cfRule>
  </conditionalFormatting>
  <conditionalFormatting sqref="I83:I86">
    <cfRule type="containsText" dxfId="170" priority="39" operator="containsText" text="Faible">
      <formula>NOT(ISERROR(SEARCH("Faible",I83)))</formula>
    </cfRule>
    <cfRule type="containsText" dxfId="169" priority="40" operator="containsText" text="Elevée">
      <formula>NOT(ISERROR(SEARCH("Elevée",I83)))</formula>
    </cfRule>
    <cfRule type="containsText" dxfId="168" priority="41" operator="containsText" text="Moyenne">
      <formula>NOT(ISERROR(SEARCH("Moyenne",I83)))</formula>
    </cfRule>
  </conditionalFormatting>
  <conditionalFormatting sqref="I87">
    <cfRule type="containsText" dxfId="167" priority="36" operator="containsText" text="Faible">
      <formula>NOT(ISERROR(SEARCH("Faible",I87)))</formula>
    </cfRule>
    <cfRule type="containsText" dxfId="166" priority="37" operator="containsText" text="Elevée">
      <formula>NOT(ISERROR(SEARCH("Elevée",I87)))</formula>
    </cfRule>
    <cfRule type="containsText" dxfId="165" priority="38" operator="containsText" text="Moyenne">
      <formula>NOT(ISERROR(SEARCH("Moyenne",I87)))</formula>
    </cfRule>
  </conditionalFormatting>
  <conditionalFormatting sqref="I78:I81">
    <cfRule type="containsText" dxfId="164" priority="33" operator="containsText" text="Faible">
      <formula>NOT(ISERROR(SEARCH("Faible",I78)))</formula>
    </cfRule>
    <cfRule type="containsText" dxfId="163" priority="34" operator="containsText" text="Elevée">
      <formula>NOT(ISERROR(SEARCH("Elevée",I78)))</formula>
    </cfRule>
    <cfRule type="containsText" dxfId="162" priority="35" operator="containsText" text="Moyenne">
      <formula>NOT(ISERROR(SEARCH("Moyenne",I78)))</formula>
    </cfRule>
  </conditionalFormatting>
  <conditionalFormatting sqref="I82">
    <cfRule type="containsText" dxfId="161" priority="30" operator="containsText" text="Faible">
      <formula>NOT(ISERROR(SEARCH("Faible",I82)))</formula>
    </cfRule>
    <cfRule type="containsText" dxfId="160" priority="31" operator="containsText" text="Elevée">
      <formula>NOT(ISERROR(SEARCH("Elevée",I82)))</formula>
    </cfRule>
    <cfRule type="containsText" dxfId="159" priority="32" operator="containsText" text="Moyenne">
      <formula>NOT(ISERROR(SEARCH("Moyenne",I82)))</formula>
    </cfRule>
  </conditionalFormatting>
  <conditionalFormatting sqref="I113:I116">
    <cfRule type="containsText" dxfId="158" priority="27" operator="containsText" text="Faible">
      <formula>NOT(ISERROR(SEARCH("Faible",I113)))</formula>
    </cfRule>
    <cfRule type="containsText" dxfId="157" priority="28" operator="containsText" text="Elevée">
      <formula>NOT(ISERROR(SEARCH("Elevée",I113)))</formula>
    </cfRule>
    <cfRule type="containsText" dxfId="156" priority="29" operator="containsText" text="Moyenne">
      <formula>NOT(ISERROR(SEARCH("Moyenne",I113)))</formula>
    </cfRule>
  </conditionalFormatting>
  <conditionalFormatting sqref="I117">
    <cfRule type="containsText" dxfId="155" priority="24" operator="containsText" text="Faible">
      <formula>NOT(ISERROR(SEARCH("Faible",I117)))</formula>
    </cfRule>
    <cfRule type="containsText" dxfId="154" priority="25" operator="containsText" text="Elevée">
      <formula>NOT(ISERROR(SEARCH("Elevée",I117)))</formula>
    </cfRule>
    <cfRule type="containsText" dxfId="153" priority="26" operator="containsText" text="Moyenne">
      <formula>NOT(ISERROR(SEARCH("Moyenne",I117)))</formula>
    </cfRule>
  </conditionalFormatting>
  <conditionalFormatting sqref="I108:I111">
    <cfRule type="containsText" dxfId="152" priority="21" operator="containsText" text="Faible">
      <formula>NOT(ISERROR(SEARCH("Faible",I108)))</formula>
    </cfRule>
    <cfRule type="containsText" dxfId="151" priority="22" operator="containsText" text="Elevée">
      <formula>NOT(ISERROR(SEARCH("Elevée",I108)))</formula>
    </cfRule>
    <cfRule type="containsText" dxfId="150" priority="23" operator="containsText" text="Moyenne">
      <formula>NOT(ISERROR(SEARCH("Moyenne",I108)))</formula>
    </cfRule>
  </conditionalFormatting>
  <conditionalFormatting sqref="I112">
    <cfRule type="containsText" dxfId="149" priority="18" operator="containsText" text="Faible">
      <formula>NOT(ISERROR(SEARCH("Faible",I112)))</formula>
    </cfRule>
    <cfRule type="containsText" dxfId="148" priority="19" operator="containsText" text="Elevée">
      <formula>NOT(ISERROR(SEARCH("Elevée",I112)))</formula>
    </cfRule>
    <cfRule type="containsText" dxfId="147" priority="20" operator="containsText" text="Moyenne">
      <formula>NOT(ISERROR(SEARCH("Moyenne",I112)))</formula>
    </cfRule>
  </conditionalFormatting>
  <conditionalFormatting sqref="I103:I106">
    <cfRule type="containsText" dxfId="146" priority="15" operator="containsText" text="Faible">
      <formula>NOT(ISERROR(SEARCH("Faible",I103)))</formula>
    </cfRule>
    <cfRule type="containsText" dxfId="145" priority="16" operator="containsText" text="Elevée">
      <formula>NOT(ISERROR(SEARCH("Elevée",I103)))</formula>
    </cfRule>
    <cfRule type="containsText" dxfId="144" priority="17" operator="containsText" text="Moyenne">
      <formula>NOT(ISERROR(SEARCH("Moyenne",I103)))</formula>
    </cfRule>
  </conditionalFormatting>
  <conditionalFormatting sqref="I107">
    <cfRule type="containsText" dxfId="143" priority="12" operator="containsText" text="Faible">
      <formula>NOT(ISERROR(SEARCH("Faible",I107)))</formula>
    </cfRule>
    <cfRule type="containsText" dxfId="142" priority="13" operator="containsText" text="Elevée">
      <formula>NOT(ISERROR(SEARCH("Elevée",I107)))</formula>
    </cfRule>
    <cfRule type="containsText" dxfId="141" priority="14" operator="containsText" text="Moyenne">
      <formula>NOT(ISERROR(SEARCH("Moyenne",I107)))</formula>
    </cfRule>
  </conditionalFormatting>
  <conditionalFormatting sqref="I118:I121">
    <cfRule type="containsText" dxfId="140" priority="9" operator="containsText" text="Faible">
      <formula>NOT(ISERROR(SEARCH("Faible",I118)))</formula>
    </cfRule>
    <cfRule type="containsText" dxfId="139" priority="10" operator="containsText" text="Elevée">
      <formula>NOT(ISERROR(SEARCH("Elevée",I118)))</formula>
    </cfRule>
    <cfRule type="containsText" dxfId="138" priority="11" operator="containsText" text="Moyenne">
      <formula>NOT(ISERROR(SEARCH("Moyenne",I118)))</formula>
    </cfRule>
  </conditionalFormatting>
  <conditionalFormatting sqref="I2:I321">
    <cfRule type="cellIs" dxfId="137" priority="7" operator="equal">
      <formula>$I$5</formula>
    </cfRule>
    <cfRule type="cellIs" dxfId="136" priority="8" operator="equal">
      <formula>$I$284</formula>
    </cfRule>
  </conditionalFormatting>
  <conditionalFormatting sqref="F1:F321">
    <cfRule type="cellIs" dxfId="135" priority="4" operator="equal">
      <formula>"NON"</formula>
    </cfRule>
    <cfRule type="cellIs" dxfId="134" priority="5" operator="equal">
      <formula>"PAS"</formula>
    </cfRule>
    <cfRule type="cellIs" dxfId="133" priority="6" operator="equal">
      <formula>"OUI"</formula>
    </cfRule>
  </conditionalFormatting>
  <conditionalFormatting sqref="F92">
    <cfRule type="cellIs" dxfId="132" priority="3" operator="equal">
      <formula>"OUI"</formula>
    </cfRule>
  </conditionalFormatting>
  <conditionalFormatting sqref="I1:I321">
    <cfRule type="cellIs" dxfId="131" priority="1" operator="equal">
      <formula>$I$133</formula>
    </cfRule>
    <cfRule type="cellIs" dxfId="130" priority="2" operator="equal">
      <formula>$I$17</formula>
    </cfRule>
  </conditionalFormatting>
  <dataValidations count="2">
    <dataValidation type="list" allowBlank="1" showInputMessage="1" showErrorMessage="1" sqref="F3:F320">
      <formula1>"OUI,NON,PAS"</formula1>
    </dataValidation>
    <dataValidation type="list" allowBlank="1" showInputMessage="1" showErrorMessage="1" sqref="I3:I132">
      <formula1>"Elevée,Moyenne,Faible"</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5"/>
  <sheetViews>
    <sheetView tabSelected="1" zoomScale="50" zoomScaleNormal="50" workbookViewId="0">
      <selection activeCell="K63" sqref="K63"/>
    </sheetView>
  </sheetViews>
  <sheetFormatPr baseColWidth="10" defaultRowHeight="14.5"/>
  <cols>
    <col min="3" max="3" width="43.90625" bestFit="1" customWidth="1"/>
    <col min="14" max="14" width="17.08984375" bestFit="1" customWidth="1"/>
    <col min="16" max="16" width="18.1796875" bestFit="1" customWidth="1"/>
  </cols>
  <sheetData>
    <row r="1" spans="1:21">
      <c r="A1" s="1"/>
      <c r="B1" s="1"/>
      <c r="C1" s="1"/>
      <c r="D1" s="1"/>
      <c r="E1" s="1"/>
      <c r="F1" s="1"/>
      <c r="G1" s="1"/>
      <c r="H1" s="1"/>
      <c r="I1" s="1"/>
      <c r="J1" s="1"/>
      <c r="K1" s="1"/>
      <c r="L1" s="1"/>
      <c r="M1" s="1"/>
      <c r="N1" s="1"/>
      <c r="O1" s="1"/>
      <c r="P1" s="1"/>
      <c r="Q1" s="1"/>
      <c r="R1" s="1"/>
      <c r="S1" s="1"/>
      <c r="T1" s="1"/>
      <c r="U1" s="1"/>
    </row>
    <row r="2" spans="1:21">
      <c r="A2" s="1"/>
      <c r="B2" s="1"/>
      <c r="C2" s="1"/>
      <c r="D2" s="1"/>
      <c r="E2" s="1"/>
      <c r="F2" s="1"/>
      <c r="G2" s="1"/>
      <c r="H2" s="1"/>
      <c r="I2" s="1"/>
      <c r="J2" s="1"/>
      <c r="K2" s="1"/>
      <c r="L2" s="1"/>
      <c r="M2" s="1"/>
      <c r="N2" s="1"/>
      <c r="O2" s="1"/>
      <c r="P2" s="1"/>
      <c r="Q2" s="1"/>
      <c r="R2" s="1"/>
      <c r="S2" s="1"/>
      <c r="T2" s="1"/>
      <c r="U2" s="1"/>
    </row>
    <row r="3" spans="1:21" ht="26">
      <c r="A3" s="1"/>
      <c r="B3" s="1"/>
      <c r="C3" s="362" t="s">
        <v>6023</v>
      </c>
      <c r="D3" s="362"/>
      <c r="E3" s="362"/>
      <c r="F3" s="362"/>
      <c r="G3" s="362"/>
      <c r="H3" s="362"/>
      <c r="I3" s="362"/>
      <c r="J3" s="1"/>
      <c r="K3" s="363" t="s">
        <v>6024</v>
      </c>
      <c r="L3" s="363"/>
      <c r="M3" s="363"/>
      <c r="N3" s="363"/>
      <c r="O3" s="363"/>
      <c r="P3" s="363"/>
      <c r="Q3" s="363"/>
      <c r="R3" s="1"/>
      <c r="S3" s="1"/>
      <c r="T3" s="1"/>
      <c r="U3" s="1"/>
    </row>
    <row r="4" spans="1:21" ht="15" thickBot="1">
      <c r="A4" s="1"/>
      <c r="B4" s="1"/>
      <c r="C4" s="1"/>
      <c r="D4" s="1"/>
      <c r="E4" s="1"/>
      <c r="F4" s="1"/>
      <c r="G4" s="1"/>
      <c r="H4" s="1"/>
      <c r="I4" s="1"/>
      <c r="J4" s="1"/>
      <c r="K4" s="1"/>
      <c r="L4" s="364"/>
      <c r="M4" s="365"/>
      <c r="N4" s="366" t="s">
        <v>5662</v>
      </c>
      <c r="O4" s="366" t="s">
        <v>5663</v>
      </c>
      <c r="P4" s="366" t="s">
        <v>5664</v>
      </c>
      <c r="Q4" s="1"/>
      <c r="R4" s="1"/>
      <c r="S4" s="1"/>
      <c r="T4" s="1"/>
      <c r="U4" s="1"/>
    </row>
    <row r="5" spans="1:21">
      <c r="A5" s="1"/>
      <c r="B5" s="367" t="s">
        <v>6025</v>
      </c>
      <c r="C5" s="368" t="s">
        <v>0</v>
      </c>
      <c r="D5" s="368" t="s">
        <v>6026</v>
      </c>
      <c r="E5" s="368" t="s">
        <v>6027</v>
      </c>
      <c r="F5" s="368" t="s">
        <v>6028</v>
      </c>
      <c r="G5" s="368" t="s">
        <v>5667</v>
      </c>
      <c r="H5" s="369" t="s">
        <v>6029</v>
      </c>
      <c r="I5" s="370"/>
      <c r="J5" s="1"/>
      <c r="K5" s="1"/>
      <c r="L5" s="371" t="s">
        <v>5665</v>
      </c>
      <c r="M5" s="372"/>
      <c r="N5" s="7" t="s">
        <v>6042</v>
      </c>
      <c r="O5" s="7" t="s">
        <v>6031</v>
      </c>
      <c r="P5" s="7" t="s">
        <v>6030</v>
      </c>
      <c r="Q5" s="1"/>
      <c r="R5" s="1"/>
      <c r="S5" s="1"/>
      <c r="T5" s="1"/>
      <c r="U5" s="1"/>
    </row>
    <row r="6" spans="1:21" ht="15.5">
      <c r="A6" s="1"/>
      <c r="B6" s="349">
        <v>1</v>
      </c>
      <c r="C6" s="7" t="s">
        <v>1034</v>
      </c>
      <c r="D6" s="7">
        <f>COUNTIF('4.2'!F2:F91,"OUI")</f>
        <v>63</v>
      </c>
      <c r="E6" s="7">
        <f>COUNTIF([2]Global!$K3:$K76,"NON")</f>
        <v>43</v>
      </c>
      <c r="F6" s="7">
        <f>COUNTIF('4.2'!F2:F91,"PAS")</f>
        <v>13</v>
      </c>
      <c r="G6" s="7">
        <f>SUM(D6:F6)</f>
        <v>119</v>
      </c>
      <c r="H6" s="373">
        <f>D6/G6</f>
        <v>0.52941176470588236</v>
      </c>
      <c r="I6" s="370"/>
      <c r="J6" s="1"/>
      <c r="K6" s="1"/>
      <c r="L6" s="374" t="s">
        <v>5666</v>
      </c>
      <c r="M6" s="8"/>
      <c r="N6" s="7"/>
      <c r="O6" s="7"/>
      <c r="P6" s="7"/>
      <c r="Q6" s="1"/>
      <c r="R6" s="1"/>
      <c r="S6" s="1"/>
      <c r="T6" s="1"/>
      <c r="U6" s="1"/>
    </row>
    <row r="7" spans="1:21" ht="15.5">
      <c r="A7" s="1"/>
      <c r="B7" s="349">
        <v>2</v>
      </c>
      <c r="C7" s="7" t="s">
        <v>1157</v>
      </c>
      <c r="D7" s="7">
        <f>COUNTIF('4.2'!F18:F92,"OUI")</f>
        <v>57</v>
      </c>
      <c r="E7" s="7">
        <f>COUNTIF('4.2'!F18:F92,"NON")</f>
        <v>8</v>
      </c>
      <c r="F7" s="7">
        <f>COUNTIF('4.2'!F18:F92,"PAS")</f>
        <v>10</v>
      </c>
      <c r="G7" s="7">
        <f>SUM(D7:F7)</f>
        <v>75</v>
      </c>
      <c r="H7" s="373">
        <f t="shared" ref="H7:H10" si="0">D7/G7</f>
        <v>0.76</v>
      </c>
      <c r="I7" s="370"/>
      <c r="J7" s="1"/>
      <c r="K7" s="1"/>
      <c r="L7" s="375"/>
      <c r="M7" s="8"/>
      <c r="N7" s="7"/>
      <c r="O7" s="7"/>
      <c r="P7" s="7"/>
      <c r="Q7" s="1"/>
      <c r="R7" s="1"/>
      <c r="S7" s="1"/>
      <c r="T7" s="1"/>
      <c r="U7" s="1"/>
    </row>
    <row r="8" spans="1:21" ht="15.5">
      <c r="A8" s="1"/>
      <c r="B8" s="349">
        <v>3</v>
      </c>
      <c r="C8" s="7" t="s">
        <v>1283</v>
      </c>
      <c r="D8" s="7">
        <f>COUNTIF('4.2'!F183:F307,"OUI")</f>
        <v>102</v>
      </c>
      <c r="E8" s="7">
        <f>COUNTIF('4.2'!F183:F307,"NON")</f>
        <v>8</v>
      </c>
      <c r="F8" s="7">
        <f>COUNTIF('4.2'!F183:F307,"PAS")</f>
        <v>15</v>
      </c>
      <c r="G8" s="7">
        <f>SUM(D8:F8)</f>
        <v>125</v>
      </c>
      <c r="H8" s="373">
        <f t="shared" si="0"/>
        <v>0.81599999999999995</v>
      </c>
      <c r="I8" s="370"/>
      <c r="J8" s="1"/>
      <c r="K8" s="1"/>
      <c r="L8" s="375"/>
      <c r="M8" s="8"/>
      <c r="N8" s="7"/>
      <c r="O8" s="7"/>
      <c r="P8" s="7"/>
      <c r="Q8" s="1"/>
      <c r="R8" s="1"/>
      <c r="S8" s="1"/>
      <c r="T8" s="1"/>
      <c r="U8" s="1"/>
    </row>
    <row r="9" spans="1:21" ht="15.5">
      <c r="A9" s="1"/>
      <c r="B9" s="349">
        <v>4</v>
      </c>
      <c r="C9" s="7" t="s">
        <v>1453</v>
      </c>
      <c r="D9" s="7">
        <f>COUNTIF('4.2'!F308:F421,"OUI")</f>
        <v>87</v>
      </c>
      <c r="E9" s="7">
        <f>COUNTIF('4.2'!F308:F421,"NON")</f>
        <v>15</v>
      </c>
      <c r="F9" s="7">
        <f>COUNTIF('4.2'!F308:F421,"PAS")</f>
        <v>12</v>
      </c>
      <c r="G9" s="7">
        <f t="shared" ref="G9:G13" si="1">SUM(D9:F9)</f>
        <v>114</v>
      </c>
      <c r="H9" s="373">
        <f t="shared" si="0"/>
        <v>0.76315789473684215</v>
      </c>
      <c r="I9" s="370"/>
      <c r="J9" s="1"/>
      <c r="K9" s="1"/>
      <c r="L9" s="375"/>
      <c r="M9" s="8"/>
      <c r="N9" s="7"/>
      <c r="O9" s="7"/>
      <c r="P9" s="7"/>
      <c r="Q9" s="1"/>
      <c r="R9" s="1"/>
      <c r="S9" s="1"/>
      <c r="T9" s="1"/>
      <c r="U9" s="1"/>
    </row>
    <row r="10" spans="1:21" ht="15.5">
      <c r="A10" s="1"/>
      <c r="B10" s="349">
        <v>5</v>
      </c>
      <c r="C10" s="7" t="s">
        <v>1521</v>
      </c>
      <c r="D10" s="7">
        <f>COUNTIF('4.2'!F422:F481,"OUI")</f>
        <v>60</v>
      </c>
      <c r="E10" s="7">
        <f>COUNTIF('4.2'!F422:F481,"NON")</f>
        <v>0</v>
      </c>
      <c r="F10" s="7">
        <f>COUNTIF('4.2'!F422:F481,"PAS")</f>
        <v>0</v>
      </c>
      <c r="G10" s="7">
        <f t="shared" si="1"/>
        <v>60</v>
      </c>
      <c r="H10" s="373">
        <f t="shared" si="0"/>
        <v>1</v>
      </c>
      <c r="I10" s="370"/>
      <c r="J10" s="1"/>
      <c r="K10" s="1"/>
      <c r="L10" s="375"/>
      <c r="M10" s="8"/>
      <c r="N10" s="7"/>
      <c r="O10" s="7"/>
      <c r="P10" s="7"/>
      <c r="Q10" s="1"/>
      <c r="R10" s="1"/>
      <c r="S10" s="1"/>
      <c r="T10" s="1"/>
      <c r="U10" s="1"/>
    </row>
    <row r="11" spans="1:21" ht="15.5">
      <c r="A11" s="1"/>
      <c r="B11" s="349">
        <v>6</v>
      </c>
      <c r="C11" s="7" t="s">
        <v>1544</v>
      </c>
      <c r="D11" s="7">
        <f>COUNTIF('4.2'!F482:F571,"OUI")</f>
        <v>88</v>
      </c>
      <c r="E11" s="7">
        <f>COUNTIF('4.2'!F482:F571,"NON")</f>
        <v>2</v>
      </c>
      <c r="F11" s="7">
        <f>COUNTIF('4.2'!F482:F571,"PAS")</f>
        <v>0</v>
      </c>
      <c r="G11" s="7">
        <f t="shared" si="1"/>
        <v>90</v>
      </c>
      <c r="H11" s="373">
        <f>D11/G11</f>
        <v>0.97777777777777775</v>
      </c>
      <c r="I11" s="370"/>
      <c r="J11" s="1"/>
      <c r="K11" s="1"/>
      <c r="L11" s="375"/>
      <c r="M11" s="8"/>
      <c r="N11" s="7"/>
      <c r="O11" s="7"/>
      <c r="P11" s="7"/>
      <c r="Q11" s="1"/>
      <c r="R11" s="1"/>
      <c r="S11" s="1"/>
      <c r="T11" s="1"/>
      <c r="U11" s="1"/>
    </row>
    <row r="12" spans="1:21" ht="15.5">
      <c r="A12" s="1"/>
      <c r="B12" s="349">
        <v>7</v>
      </c>
      <c r="C12" s="7" t="s">
        <v>1593</v>
      </c>
      <c r="D12" s="7">
        <f>COUNTIF('4.2'!F572:F631,"OUI")</f>
        <v>60</v>
      </c>
      <c r="E12" s="7">
        <f>COUNTIF('4.2'!F572:F631,"NON")</f>
        <v>0</v>
      </c>
      <c r="F12" s="7">
        <f>COUNTIF('4.2'!F572:F631,"PAS")</f>
        <v>0</v>
      </c>
      <c r="G12" s="7">
        <f t="shared" si="1"/>
        <v>60</v>
      </c>
      <c r="H12" s="373">
        <f>D12/G12</f>
        <v>1</v>
      </c>
      <c r="I12" s="370"/>
      <c r="J12" s="1"/>
      <c r="K12" s="1"/>
      <c r="L12" s="375"/>
      <c r="M12" s="8"/>
      <c r="N12" s="7"/>
      <c r="O12" s="7"/>
      <c r="P12" s="7"/>
      <c r="Q12" s="1"/>
      <c r="R12" s="1"/>
      <c r="S12" s="1"/>
      <c r="T12" s="1"/>
      <c r="U12" s="1"/>
    </row>
    <row r="13" spans="1:21" ht="15.5">
      <c r="A13" s="1"/>
      <c r="B13" s="349">
        <v>8</v>
      </c>
      <c r="C13" s="7" t="s">
        <v>1618</v>
      </c>
      <c r="D13" s="7">
        <f>COUNTIF('4.2'!F632:F721,"OUI")</f>
        <v>70</v>
      </c>
      <c r="E13" s="7">
        <f>COUNTIF('4.2'!F632:F721,"NON")</f>
        <v>14</v>
      </c>
      <c r="F13" s="7">
        <f>COUNTIF('4.2'!F632:F721,"PAS")</f>
        <v>6</v>
      </c>
      <c r="G13" s="7">
        <f t="shared" si="1"/>
        <v>90</v>
      </c>
      <c r="H13" s="373">
        <f>D13/G13</f>
        <v>0.77777777777777779</v>
      </c>
      <c r="I13" s="370"/>
      <c r="J13" s="1"/>
      <c r="K13" s="1"/>
      <c r="L13" s="376"/>
      <c r="M13" s="8"/>
      <c r="N13" s="7"/>
      <c r="O13" s="7"/>
      <c r="P13" s="7"/>
      <c r="Q13" s="1"/>
      <c r="R13" s="1"/>
      <c r="S13" s="1"/>
      <c r="T13" s="1"/>
      <c r="U13" s="1"/>
    </row>
    <row r="14" spans="1:21" s="1" customFormat="1" ht="15.5">
      <c r="B14" s="386">
        <v>9</v>
      </c>
      <c r="C14" s="387" t="s">
        <v>6033</v>
      </c>
      <c r="D14" s="388">
        <f>COUNTIF('4.1'!F4:F258,"OUI")</f>
        <v>130</v>
      </c>
      <c r="E14" s="388">
        <f>COUNTIF('4.1'!F4:F258,"NON")</f>
        <v>90</v>
      </c>
      <c r="F14" s="388">
        <f>COUNT('4.1'!F4:F258,"PAS")</f>
        <v>0</v>
      </c>
      <c r="G14" s="388">
        <f>SUM(D14:F14)</f>
        <v>220</v>
      </c>
      <c r="H14" s="373">
        <f>D14/G14</f>
        <v>0.59090909090909094</v>
      </c>
      <c r="I14" s="370"/>
      <c r="L14" s="389"/>
      <c r="M14" s="390"/>
      <c r="N14" s="391"/>
      <c r="O14" s="391"/>
      <c r="P14" s="391"/>
    </row>
    <row r="15" spans="1:21" s="1" customFormat="1" ht="15.5">
      <c r="B15" s="386">
        <v>10</v>
      </c>
      <c r="C15" s="387" t="s">
        <v>6034</v>
      </c>
      <c r="D15" s="388">
        <f>COUNTIF('4.3'!F2:F276,"OUI")</f>
        <v>109</v>
      </c>
      <c r="E15" s="388">
        <f>COUNTIF('4.3'!F2:F276,"NON")</f>
        <v>110</v>
      </c>
      <c r="F15" s="388">
        <f>COUNTIF('4.3'!F2:F276,"PAS")</f>
        <v>56</v>
      </c>
      <c r="G15" s="388">
        <f>SUM(D15:F15)</f>
        <v>275</v>
      </c>
      <c r="H15" s="373">
        <f>D15/G15</f>
        <v>0.39636363636363636</v>
      </c>
      <c r="I15" s="370"/>
      <c r="L15" s="389"/>
      <c r="M15" s="390"/>
      <c r="N15" s="391"/>
      <c r="O15" s="391"/>
      <c r="P15" s="391"/>
    </row>
    <row r="16" spans="1:21" s="1" customFormat="1" ht="15.5">
      <c r="B16" s="386">
        <v>11</v>
      </c>
      <c r="C16" s="387" t="s">
        <v>6035</v>
      </c>
      <c r="D16" s="388">
        <f>COUNTIF('4.4'!F2:F101,"OUI")</f>
        <v>55</v>
      </c>
      <c r="E16" s="388">
        <f>COUNTIF('4.4'!F2:F101,"NON")</f>
        <v>30</v>
      </c>
      <c r="F16" s="388">
        <f>COUNTIF('4.4'!F2:F101,"PAS")</f>
        <v>15</v>
      </c>
      <c r="G16" s="388">
        <f>SUM(D16:F16)</f>
        <v>100</v>
      </c>
      <c r="H16" s="373">
        <f>D16/G16</f>
        <v>0.55000000000000004</v>
      </c>
      <c r="I16" s="370"/>
      <c r="L16" s="389"/>
      <c r="M16" s="390"/>
      <c r="N16" s="391"/>
      <c r="O16" s="391"/>
      <c r="P16" s="391"/>
    </row>
    <row r="17" spans="1:21" s="1" customFormat="1" ht="15.5">
      <c r="B17" s="386">
        <v>12</v>
      </c>
      <c r="C17" s="387" t="s">
        <v>5574</v>
      </c>
      <c r="D17" s="388">
        <f>COUNTIF('4.5'!F2:F321,"OUI")</f>
        <v>287</v>
      </c>
      <c r="E17" s="388">
        <f>COUNTIF('4.5'!F2:F321,"NON")</f>
        <v>21</v>
      </c>
      <c r="F17" s="388">
        <f>COUNTIF('4.5'!F2:F321,"PAS")</f>
        <v>12</v>
      </c>
      <c r="G17" s="388">
        <f>SUM(D17:F17)</f>
        <v>320</v>
      </c>
      <c r="H17" s="373">
        <f>D17/G17</f>
        <v>0.89687499999999998</v>
      </c>
      <c r="I17" s="370"/>
      <c r="L17" s="389"/>
      <c r="M17" s="390"/>
      <c r="N17" s="391"/>
      <c r="O17" s="391"/>
      <c r="P17" s="391"/>
    </row>
    <row r="18" spans="1:21" s="1" customFormat="1" ht="15.5">
      <c r="B18" s="386">
        <v>13</v>
      </c>
      <c r="C18" s="387" t="s">
        <v>6037</v>
      </c>
      <c r="D18" s="388">
        <f>COUNTIF(COSO!F2:F71,"OUI")</f>
        <v>20</v>
      </c>
      <c r="E18" s="388">
        <f>COUNTIF(COSO!F2:F71,"NON")</f>
        <v>37</v>
      </c>
      <c r="F18" s="388">
        <f>COUNTIF(COSO!F2:F71,"PAS")</f>
        <v>13</v>
      </c>
      <c r="G18" s="388">
        <f>SUM(D18:F18)</f>
        <v>70</v>
      </c>
      <c r="H18" s="373">
        <f>D18/G18</f>
        <v>0.2857142857142857</v>
      </c>
      <c r="I18" s="370"/>
      <c r="L18" s="389"/>
      <c r="M18" s="390"/>
      <c r="N18" s="391"/>
      <c r="O18" s="391"/>
      <c r="P18" s="391"/>
    </row>
    <row r="19" spans="1:21" s="1" customFormat="1" ht="15.5">
      <c r="B19" s="386">
        <v>14</v>
      </c>
      <c r="C19" s="387" t="s">
        <v>6038</v>
      </c>
      <c r="D19" s="388">
        <f>COUNTIF(COSO!F72:F146,"OUI")</f>
        <v>29</v>
      </c>
      <c r="E19" s="388">
        <f>COUNTIF(COSO!F72:F146,"NON")</f>
        <v>36</v>
      </c>
      <c r="F19" s="388">
        <f>COUNTIF(COSO!F72:F146,"PAS")</f>
        <v>10</v>
      </c>
      <c r="G19" s="388">
        <f>SUM(D19:F19)</f>
        <v>75</v>
      </c>
      <c r="H19" s="373">
        <f>D19/G19</f>
        <v>0.38666666666666666</v>
      </c>
      <c r="I19" s="370"/>
      <c r="L19" s="389"/>
      <c r="M19" s="390"/>
      <c r="N19" s="391"/>
      <c r="O19" s="391"/>
      <c r="P19" s="391"/>
    </row>
    <row r="20" spans="1:21" s="1" customFormat="1" ht="15.5">
      <c r="B20" s="386">
        <v>15</v>
      </c>
      <c r="C20" s="387" t="s">
        <v>6039</v>
      </c>
      <c r="D20" s="388">
        <f>COUNTIF(COSO!F174:F201,"OUI")</f>
        <v>12</v>
      </c>
      <c r="E20" s="388">
        <f>COUNTIF(COSO!F174:F201,"PAS")</f>
        <v>5</v>
      </c>
      <c r="F20" s="388">
        <f>COUNTIF(COSO!F174:F201,"PAS")</f>
        <v>5</v>
      </c>
      <c r="G20" s="388">
        <f>SUM(D20:F20)</f>
        <v>22</v>
      </c>
      <c r="H20" s="373">
        <f>D20/G20</f>
        <v>0.54545454545454541</v>
      </c>
      <c r="I20" s="370"/>
      <c r="L20" s="389"/>
      <c r="M20" s="390"/>
      <c r="N20" s="391"/>
      <c r="O20" s="391"/>
      <c r="P20" s="391"/>
    </row>
    <row r="21" spans="1:21" s="1" customFormat="1" ht="15.5">
      <c r="B21" s="386">
        <v>16</v>
      </c>
      <c r="C21" s="387" t="s">
        <v>6040</v>
      </c>
      <c r="D21" s="388">
        <f>COUNTIF(COSO!F202:F281,"OUI")</f>
        <v>39</v>
      </c>
      <c r="E21" s="388">
        <f>COUNTIF(COSO!F202:F281,"NON")</f>
        <v>34</v>
      </c>
      <c r="F21" s="388">
        <f>COUNTIF(COSO!F202:F281,"PAS")</f>
        <v>7</v>
      </c>
      <c r="G21" s="388">
        <f>SUM(D21:F21)</f>
        <v>80</v>
      </c>
      <c r="H21" s="373">
        <f>D21/G21</f>
        <v>0.48749999999999999</v>
      </c>
      <c r="I21" s="370"/>
      <c r="L21" s="389"/>
      <c r="M21" s="390"/>
      <c r="N21" s="391"/>
      <c r="O21" s="391"/>
      <c r="P21" s="391"/>
    </row>
    <row r="22" spans="1:21" s="1" customFormat="1" ht="15.5">
      <c r="B22" s="386">
        <v>17</v>
      </c>
      <c r="C22" s="387" t="s">
        <v>6041</v>
      </c>
      <c r="D22" s="388">
        <f>COUNTIF(COSO!F282:F321,"OUI")</f>
        <v>20</v>
      </c>
      <c r="E22" s="388">
        <f>COUNTIF(COSO!F282:F321,"NON")</f>
        <v>16</v>
      </c>
      <c r="F22" s="388">
        <f>COUNTIF(COSO!F282:F321,"PAS")</f>
        <v>4</v>
      </c>
      <c r="G22" s="388">
        <f>SUM(D22:F22)</f>
        <v>40</v>
      </c>
      <c r="H22" s="373">
        <f>D22/G22</f>
        <v>0.5</v>
      </c>
      <c r="I22" s="370"/>
      <c r="L22" s="389"/>
      <c r="M22" s="390"/>
      <c r="N22" s="391"/>
      <c r="O22" s="391"/>
      <c r="P22" s="391"/>
    </row>
    <row r="23" spans="1:21" ht="24" thickBot="1">
      <c r="A23" s="1"/>
      <c r="B23" s="377" t="s">
        <v>5667</v>
      </c>
      <c r="C23" s="378"/>
      <c r="D23" s="379">
        <f>SUM(D6:D17)</f>
        <v>1168</v>
      </c>
      <c r="E23" s="379">
        <f>SUM(E6:E17)</f>
        <v>341</v>
      </c>
      <c r="F23" s="379">
        <f>SUM(F6:F17)</f>
        <v>139</v>
      </c>
      <c r="G23" s="379">
        <f>SUM(D23:F23)</f>
        <v>1648</v>
      </c>
      <c r="H23" s="373">
        <f>D23/G23</f>
        <v>0.70873786407766992</v>
      </c>
      <c r="I23" s="370"/>
      <c r="J23" s="1"/>
      <c r="K23" s="1"/>
      <c r="L23" s="380"/>
      <c r="M23" s="380"/>
      <c r="N23" s="1"/>
      <c r="O23" s="1"/>
      <c r="P23" s="1"/>
      <c r="Q23" s="350"/>
      <c r="R23" s="1"/>
      <c r="S23" s="1"/>
      <c r="T23" s="1"/>
      <c r="U23" s="1"/>
    </row>
    <row r="24" spans="1:21" ht="23.5">
      <c r="A24" s="1"/>
      <c r="B24" s="381"/>
      <c r="C24" s="381"/>
      <c r="D24" s="382"/>
      <c r="E24" s="382"/>
      <c r="F24" s="382"/>
      <c r="G24" s="382"/>
      <c r="H24" s="383"/>
      <c r="I24" s="1"/>
      <c r="J24" s="1"/>
      <c r="K24" s="1"/>
      <c r="L24" s="380"/>
      <c r="M24" s="380"/>
      <c r="N24" s="1"/>
      <c r="O24" s="1"/>
      <c r="P24" s="1"/>
      <c r="Q24" s="350"/>
      <c r="R24" s="1"/>
      <c r="S24" s="1"/>
      <c r="T24" s="1"/>
      <c r="U24" s="1"/>
    </row>
    <row r="25" spans="1:21" ht="23.5">
      <c r="A25" s="1"/>
      <c r="B25" s="381"/>
      <c r="C25" s="381"/>
      <c r="D25" s="382"/>
      <c r="E25" s="382"/>
      <c r="F25" s="382"/>
      <c r="G25" s="382"/>
      <c r="H25" s="383"/>
      <c r="I25" s="1"/>
      <c r="J25" s="1"/>
      <c r="K25" s="1"/>
      <c r="L25" s="380"/>
      <c r="M25" s="380"/>
      <c r="N25" s="1"/>
      <c r="O25" s="1"/>
      <c r="P25" s="1"/>
      <c r="Q25" s="350"/>
      <c r="R25" s="1"/>
      <c r="S25" s="1"/>
      <c r="T25" s="1"/>
      <c r="U25" s="1"/>
    </row>
    <row r="26" spans="1:21" ht="23.5">
      <c r="A26" s="1"/>
      <c r="B26" s="1"/>
      <c r="C26" s="384"/>
      <c r="D26" s="384"/>
      <c r="E26" s="385"/>
      <c r="F26" s="385"/>
      <c r="G26" s="385"/>
      <c r="H26" s="385"/>
      <c r="I26" s="380" t="s">
        <v>6032</v>
      </c>
      <c r="J26" s="380"/>
      <c r="K26" s="380"/>
      <c r="L26" s="1"/>
      <c r="M26" s="1"/>
      <c r="N26" s="1"/>
      <c r="O26" s="1"/>
      <c r="P26" s="1"/>
      <c r="Q26" s="1"/>
      <c r="R26" s="1"/>
      <c r="S26" s="1"/>
      <c r="T26" s="1"/>
      <c r="U26" s="1"/>
    </row>
    <row r="27" spans="1:21">
      <c r="A27" s="1"/>
      <c r="B27" s="1"/>
      <c r="C27" s="1"/>
      <c r="D27" s="1"/>
      <c r="E27" s="1"/>
      <c r="F27" s="1"/>
      <c r="G27" s="1"/>
      <c r="H27" s="1"/>
      <c r="I27" s="1"/>
      <c r="J27" s="1"/>
      <c r="K27" s="1"/>
      <c r="L27" s="1"/>
      <c r="M27" s="1"/>
      <c r="N27" s="1"/>
      <c r="O27" s="1"/>
      <c r="P27" s="1"/>
      <c r="Q27" s="1"/>
      <c r="R27" s="1"/>
      <c r="S27" s="1"/>
      <c r="T27" s="1"/>
      <c r="U27" s="1"/>
    </row>
    <row r="28" spans="1:21">
      <c r="A28" s="1"/>
      <c r="B28" s="1"/>
      <c r="C28" s="1"/>
      <c r="D28" s="1"/>
      <c r="E28" s="1"/>
      <c r="F28" s="1"/>
      <c r="G28" s="1"/>
      <c r="H28" s="1"/>
      <c r="I28" s="1"/>
      <c r="J28" s="1"/>
      <c r="K28" s="1"/>
      <c r="L28" s="1"/>
      <c r="M28" s="350"/>
      <c r="N28" s="350"/>
      <c r="O28" s="350"/>
      <c r="P28" s="350"/>
      <c r="Q28" s="1"/>
      <c r="R28" s="1"/>
      <c r="S28" s="1"/>
      <c r="T28" s="1"/>
      <c r="U28" s="1"/>
    </row>
    <row r="29" spans="1:21">
      <c r="A29" s="1"/>
      <c r="B29" s="1"/>
      <c r="C29" s="1"/>
      <c r="D29" s="1"/>
      <c r="E29" s="1"/>
      <c r="F29" s="1"/>
      <c r="G29" s="1"/>
      <c r="H29" s="1"/>
      <c r="I29" s="1"/>
      <c r="J29" s="1"/>
      <c r="K29" s="1"/>
      <c r="L29" s="1"/>
      <c r="M29" s="1"/>
      <c r="N29" s="1"/>
      <c r="O29" s="1"/>
      <c r="P29" s="1"/>
      <c r="Q29" s="1"/>
      <c r="R29" s="1"/>
      <c r="S29" s="1"/>
      <c r="T29" s="1"/>
      <c r="U29" s="1"/>
    </row>
    <row r="30" spans="1:21">
      <c r="A30" s="1"/>
      <c r="B30" s="1"/>
      <c r="C30" s="1"/>
      <c r="D30" s="1"/>
      <c r="E30" s="1"/>
      <c r="F30" s="1"/>
      <c r="G30" s="1"/>
      <c r="H30" s="1"/>
      <c r="I30" s="1"/>
      <c r="J30" s="1"/>
      <c r="K30" s="1"/>
      <c r="L30" s="1"/>
      <c r="M30" s="1"/>
      <c r="N30" s="1"/>
      <c r="O30" s="1"/>
      <c r="P30" s="1"/>
      <c r="Q30" s="1"/>
      <c r="R30" s="1"/>
      <c r="S30" s="1"/>
      <c r="T30" s="1"/>
      <c r="U30" s="1"/>
    </row>
    <row r="31" spans="1:21">
      <c r="A31" s="1"/>
      <c r="B31" s="1"/>
      <c r="C31" s="1"/>
      <c r="D31" s="1"/>
      <c r="E31" s="1"/>
      <c r="F31" s="1"/>
      <c r="G31" s="1"/>
      <c r="H31" s="1"/>
      <c r="I31" s="1"/>
      <c r="J31" s="1"/>
      <c r="K31" s="1"/>
      <c r="L31" s="1"/>
      <c r="M31" s="1"/>
      <c r="N31" s="1"/>
      <c r="O31" s="1"/>
      <c r="P31" s="1"/>
      <c r="Q31" s="1"/>
      <c r="R31" s="1"/>
      <c r="S31" s="1"/>
      <c r="T31" s="1"/>
      <c r="U31" s="1"/>
    </row>
    <row r="32" spans="1:21">
      <c r="A32" s="1"/>
      <c r="B32" s="1"/>
      <c r="C32" s="1"/>
      <c r="D32" s="1"/>
      <c r="E32" s="1"/>
      <c r="F32" s="1"/>
      <c r="G32" s="1"/>
      <c r="H32" s="1"/>
      <c r="I32" s="1"/>
      <c r="J32" s="1"/>
      <c r="K32" s="1"/>
      <c r="L32" s="1"/>
      <c r="M32" s="1"/>
      <c r="N32" s="1"/>
      <c r="O32" s="1"/>
      <c r="P32" s="1"/>
      <c r="Q32" s="1"/>
      <c r="R32" s="1"/>
      <c r="S32" s="1"/>
      <c r="T32" s="1"/>
      <c r="U32" s="1"/>
    </row>
    <row r="33" spans="1:21">
      <c r="A33" s="1"/>
      <c r="B33" s="1"/>
      <c r="C33" s="1"/>
      <c r="D33" s="1"/>
      <c r="E33" s="1"/>
      <c r="F33" s="1"/>
      <c r="G33" s="1"/>
      <c r="H33" s="1"/>
      <c r="I33" s="1"/>
      <c r="J33" s="1"/>
      <c r="K33" s="1"/>
      <c r="L33" s="1"/>
      <c r="M33" s="1"/>
      <c r="N33" s="1"/>
      <c r="O33" s="1"/>
      <c r="P33" s="1"/>
      <c r="Q33" s="1"/>
      <c r="R33" s="1"/>
      <c r="S33" s="1"/>
      <c r="T33" s="1"/>
      <c r="U33" s="1"/>
    </row>
    <row r="34" spans="1:21">
      <c r="A34" s="1"/>
      <c r="B34" s="1"/>
      <c r="C34" s="1"/>
      <c r="D34" s="1"/>
      <c r="E34" s="1"/>
      <c r="F34" s="1"/>
      <c r="G34" s="1"/>
      <c r="H34" s="1"/>
      <c r="I34" s="1"/>
      <c r="J34" s="1"/>
      <c r="K34" s="1"/>
      <c r="L34" s="1"/>
      <c r="M34" s="1"/>
      <c r="N34" s="1"/>
      <c r="O34" s="1"/>
      <c r="P34" s="1"/>
      <c r="Q34" s="1"/>
      <c r="R34" s="1"/>
      <c r="S34" s="1"/>
      <c r="T34" s="1"/>
      <c r="U34" s="1"/>
    </row>
    <row r="35" spans="1:21">
      <c r="A35" s="1"/>
      <c r="B35" s="1"/>
      <c r="C35" s="1"/>
      <c r="D35" s="1"/>
      <c r="E35" s="1"/>
      <c r="F35" s="1"/>
      <c r="G35" s="1"/>
      <c r="H35" s="1"/>
      <c r="I35" s="1"/>
      <c r="J35" s="1"/>
      <c r="K35" s="1"/>
      <c r="L35" s="1"/>
      <c r="M35" s="1"/>
      <c r="N35" s="1"/>
      <c r="O35" s="1"/>
      <c r="P35" s="1"/>
      <c r="Q35" s="1"/>
      <c r="R35" s="1"/>
      <c r="S35" s="1"/>
      <c r="T35" s="1"/>
      <c r="U35" s="1"/>
    </row>
    <row r="36" spans="1:21">
      <c r="A36" s="1"/>
      <c r="B36" s="1"/>
      <c r="C36" s="1"/>
      <c r="D36" s="1"/>
      <c r="E36" s="1"/>
      <c r="F36" s="1"/>
      <c r="G36" s="1"/>
      <c r="H36" s="1"/>
      <c r="I36" s="1"/>
      <c r="J36" s="1"/>
      <c r="K36" s="1"/>
      <c r="L36" s="1"/>
      <c r="M36" s="1"/>
      <c r="N36" s="1"/>
      <c r="O36" s="1"/>
      <c r="P36" s="1"/>
      <c r="Q36" s="1"/>
      <c r="R36" s="1"/>
      <c r="S36" s="1"/>
      <c r="T36" s="1"/>
      <c r="U36" s="1"/>
    </row>
    <row r="37" spans="1:21">
      <c r="A37" s="1"/>
      <c r="B37" s="1"/>
      <c r="C37" s="1"/>
      <c r="D37" s="1"/>
      <c r="E37" s="1"/>
      <c r="F37" s="1"/>
      <c r="G37" s="1"/>
      <c r="H37" s="1"/>
      <c r="I37" s="1"/>
      <c r="J37" s="1"/>
      <c r="K37" s="1"/>
      <c r="L37" s="1"/>
      <c r="M37" s="1"/>
      <c r="N37" s="1"/>
      <c r="O37" s="1"/>
      <c r="P37" s="1"/>
      <c r="Q37" s="1"/>
      <c r="R37" s="1"/>
      <c r="S37" s="1"/>
      <c r="T37" s="1"/>
      <c r="U37" s="1"/>
    </row>
    <row r="38" spans="1:21">
      <c r="A38" s="1"/>
      <c r="B38" s="1"/>
      <c r="C38" s="1"/>
      <c r="D38" s="1"/>
      <c r="E38" s="1"/>
      <c r="F38" s="1"/>
      <c r="G38" s="1"/>
      <c r="H38" s="1"/>
      <c r="I38" s="1"/>
      <c r="J38" s="1"/>
      <c r="K38" s="1"/>
      <c r="L38" s="1"/>
      <c r="M38" s="1"/>
      <c r="N38" s="1"/>
      <c r="O38" s="1"/>
      <c r="P38" s="1"/>
      <c r="Q38" s="1"/>
      <c r="R38" s="1"/>
      <c r="S38" s="1"/>
      <c r="T38" s="1"/>
      <c r="U38" s="1"/>
    </row>
    <row r="39" spans="1:21">
      <c r="A39" s="1"/>
      <c r="B39" s="1"/>
      <c r="C39" s="1"/>
      <c r="D39" s="1"/>
      <c r="E39" s="1"/>
      <c r="F39" s="1"/>
      <c r="G39" s="1"/>
      <c r="H39" s="1"/>
      <c r="I39" s="1"/>
      <c r="J39" s="1"/>
      <c r="K39" s="1"/>
      <c r="L39" s="1"/>
      <c r="M39" s="1"/>
      <c r="N39" s="1"/>
      <c r="O39" s="1"/>
      <c r="P39" s="1"/>
      <c r="Q39" s="1"/>
      <c r="R39" s="1"/>
      <c r="S39" s="1"/>
      <c r="T39" s="1"/>
      <c r="U39" s="1"/>
    </row>
    <row r="40" spans="1:21">
      <c r="A40" s="1"/>
      <c r="B40" s="1"/>
      <c r="C40" s="1"/>
      <c r="D40" s="1"/>
      <c r="E40" s="1"/>
      <c r="F40" s="1"/>
      <c r="G40" s="1"/>
      <c r="H40" s="1"/>
      <c r="I40" s="1"/>
      <c r="J40" s="1"/>
      <c r="K40" s="1"/>
      <c r="L40" s="1"/>
      <c r="M40" s="1"/>
      <c r="N40" s="1"/>
      <c r="O40" s="1"/>
      <c r="P40" s="1"/>
      <c r="Q40" s="1"/>
      <c r="R40" s="1"/>
      <c r="S40" s="1"/>
      <c r="T40" s="1"/>
      <c r="U40" s="1"/>
    </row>
    <row r="41" spans="1:21">
      <c r="A41" s="1"/>
      <c r="B41" s="1"/>
      <c r="C41" s="1"/>
      <c r="D41" s="1"/>
      <c r="E41" s="1"/>
      <c r="F41" s="1"/>
      <c r="G41" s="1"/>
      <c r="H41" s="1"/>
      <c r="I41" s="1"/>
      <c r="J41" s="1"/>
      <c r="K41" s="1"/>
      <c r="L41" s="1"/>
      <c r="M41" s="1"/>
      <c r="N41" s="1"/>
      <c r="O41" s="1"/>
      <c r="P41" s="1"/>
      <c r="Q41" s="1"/>
      <c r="R41" s="1"/>
      <c r="S41" s="1"/>
      <c r="T41" s="1"/>
      <c r="U41" s="1"/>
    </row>
    <row r="42" spans="1:21">
      <c r="A42" s="1"/>
      <c r="B42" s="1"/>
      <c r="C42" s="1"/>
      <c r="D42" s="1"/>
      <c r="E42" s="1"/>
      <c r="F42" s="1"/>
      <c r="G42" s="1"/>
      <c r="H42" s="1"/>
      <c r="I42" s="1"/>
      <c r="J42" s="1"/>
      <c r="K42" s="1"/>
      <c r="L42" s="1"/>
      <c r="M42" s="1"/>
      <c r="N42" s="1"/>
      <c r="O42" s="1"/>
      <c r="P42" s="1"/>
      <c r="Q42" s="1"/>
      <c r="R42" s="1"/>
      <c r="S42" s="1"/>
      <c r="T42" s="1"/>
      <c r="U42" s="1"/>
    </row>
    <row r="43" spans="1:21">
      <c r="A43" s="1"/>
      <c r="B43" s="1"/>
      <c r="C43" s="1"/>
      <c r="D43" s="1"/>
      <c r="E43" s="1"/>
      <c r="F43" s="1"/>
      <c r="G43" s="1"/>
      <c r="H43" s="1"/>
      <c r="I43" s="1"/>
      <c r="J43" s="1"/>
      <c r="K43" s="1"/>
      <c r="L43" s="1"/>
      <c r="M43" s="1"/>
      <c r="N43" s="1"/>
      <c r="O43" s="1"/>
      <c r="P43" s="1"/>
      <c r="Q43" s="1"/>
      <c r="R43" s="1"/>
      <c r="S43" s="1"/>
      <c r="T43" s="1"/>
      <c r="U43" s="1"/>
    </row>
    <row r="44" spans="1:21">
      <c r="A44" s="1"/>
      <c r="B44" s="1"/>
      <c r="C44" s="1"/>
      <c r="D44" s="1"/>
      <c r="E44" s="1"/>
      <c r="F44" s="1"/>
      <c r="G44" s="1"/>
      <c r="H44" s="1"/>
      <c r="I44" s="1"/>
      <c r="J44" s="1"/>
      <c r="K44" s="1"/>
      <c r="L44" s="1"/>
      <c r="M44" s="1"/>
      <c r="N44" s="1"/>
      <c r="O44" s="1"/>
      <c r="P44" s="1"/>
      <c r="Q44" s="1"/>
      <c r="R44" s="1"/>
      <c r="S44" s="1"/>
      <c r="T44" s="1"/>
      <c r="U44" s="1"/>
    </row>
    <row r="45" spans="1:21">
      <c r="A45" s="1"/>
      <c r="B45" s="1"/>
      <c r="C45" s="1"/>
      <c r="D45" s="1"/>
      <c r="E45" s="1"/>
      <c r="F45" s="1"/>
      <c r="G45" s="1"/>
      <c r="H45" s="1"/>
      <c r="I45" s="1"/>
      <c r="J45" s="1"/>
      <c r="K45" s="1"/>
      <c r="L45" s="1"/>
      <c r="M45" s="1"/>
      <c r="N45" s="1"/>
      <c r="O45" s="1"/>
      <c r="P45" s="1"/>
      <c r="Q45" s="1"/>
      <c r="R45" s="1"/>
      <c r="S45" s="1"/>
      <c r="T45" s="1"/>
      <c r="U45" s="1"/>
    </row>
    <row r="46" spans="1:21">
      <c r="A46" s="1"/>
      <c r="B46" s="1"/>
      <c r="C46" s="1"/>
      <c r="D46" s="1"/>
      <c r="E46" s="1"/>
      <c r="F46" s="1"/>
      <c r="G46" s="1"/>
      <c r="H46" s="1"/>
      <c r="I46" s="1"/>
      <c r="J46" s="1"/>
      <c r="K46" s="1"/>
      <c r="L46" s="1"/>
      <c r="M46" s="1"/>
      <c r="N46" s="1"/>
      <c r="O46" s="1"/>
      <c r="P46" s="1"/>
      <c r="Q46" s="1"/>
      <c r="R46" s="1"/>
      <c r="S46" s="1"/>
      <c r="T46" s="1"/>
      <c r="U46" s="1"/>
    </row>
    <row r="47" spans="1:21">
      <c r="A47" s="1"/>
      <c r="B47" s="1"/>
      <c r="C47" s="1"/>
      <c r="D47" s="1"/>
      <c r="E47" s="1"/>
      <c r="F47" s="1"/>
      <c r="G47" s="1"/>
      <c r="H47" s="1"/>
      <c r="I47" s="1"/>
      <c r="J47" s="1"/>
      <c r="K47" s="1"/>
      <c r="L47" s="1"/>
      <c r="M47" s="1"/>
      <c r="N47" s="1"/>
      <c r="O47" s="1"/>
      <c r="P47" s="1"/>
      <c r="Q47" s="1"/>
      <c r="R47" s="1"/>
      <c r="S47" s="1"/>
      <c r="T47" s="1"/>
      <c r="U47" s="1"/>
    </row>
    <row r="48" spans="1:21">
      <c r="A48" s="1"/>
      <c r="B48" s="1"/>
      <c r="C48" s="1"/>
      <c r="D48" s="1"/>
      <c r="E48" s="1"/>
      <c r="F48" s="1"/>
      <c r="G48" s="1"/>
      <c r="H48" s="1"/>
      <c r="I48" s="1"/>
      <c r="J48" s="1"/>
      <c r="K48" s="1"/>
      <c r="L48" s="1"/>
      <c r="M48" s="1"/>
      <c r="N48" s="1"/>
      <c r="O48" s="1"/>
      <c r="P48" s="1"/>
      <c r="Q48" s="1"/>
      <c r="R48" s="1"/>
      <c r="S48" s="1"/>
      <c r="T48" s="1"/>
      <c r="U48" s="1"/>
    </row>
    <row r="49" spans="1:21">
      <c r="A49" s="1"/>
      <c r="B49" s="1"/>
      <c r="C49" s="1"/>
      <c r="D49" s="1"/>
      <c r="E49" s="1"/>
      <c r="F49" s="1"/>
      <c r="G49" s="1"/>
      <c r="H49" s="1"/>
      <c r="I49" s="1"/>
      <c r="J49" s="1"/>
      <c r="K49" s="1"/>
      <c r="L49" s="1"/>
      <c r="M49" s="1"/>
      <c r="N49" s="1"/>
      <c r="O49" s="1"/>
      <c r="P49" s="1"/>
      <c r="Q49" s="1"/>
      <c r="R49" s="1"/>
      <c r="S49" s="1"/>
      <c r="T49" s="1"/>
      <c r="U49" s="1"/>
    </row>
    <row r="50" spans="1:21">
      <c r="A50" s="1"/>
      <c r="B50" s="1"/>
      <c r="C50" s="1"/>
      <c r="D50" s="1"/>
      <c r="E50" s="1"/>
      <c r="F50" s="1"/>
      <c r="G50" s="1"/>
      <c r="H50" s="1"/>
      <c r="I50" s="1"/>
      <c r="J50" s="1"/>
      <c r="K50" s="1"/>
      <c r="L50" s="1"/>
      <c r="M50" s="1"/>
      <c r="N50" s="1"/>
      <c r="O50" s="1"/>
      <c r="P50" s="1"/>
      <c r="Q50" s="1"/>
      <c r="R50" s="1"/>
      <c r="S50" s="1"/>
      <c r="T50" s="1"/>
      <c r="U50" s="1"/>
    </row>
    <row r="51" spans="1:21">
      <c r="A51" s="1"/>
      <c r="B51" s="1"/>
      <c r="C51" s="1"/>
      <c r="D51" s="1"/>
      <c r="E51" s="1"/>
      <c r="F51" s="1"/>
      <c r="G51" s="1"/>
      <c r="H51" s="1"/>
      <c r="I51" s="1"/>
      <c r="J51" s="1"/>
      <c r="K51" s="1"/>
      <c r="L51" s="1"/>
      <c r="M51" s="1"/>
      <c r="N51" s="1"/>
      <c r="O51" s="1"/>
      <c r="P51" s="1"/>
      <c r="Q51" s="1"/>
      <c r="R51" s="1"/>
      <c r="S51" s="1"/>
      <c r="T51" s="1"/>
      <c r="U51" s="1"/>
    </row>
    <row r="52" spans="1:21">
      <c r="A52" s="1"/>
      <c r="B52" s="1"/>
      <c r="C52" s="1"/>
      <c r="D52" s="1"/>
      <c r="E52" s="1"/>
      <c r="F52" s="1"/>
      <c r="G52" s="1"/>
      <c r="H52" s="1"/>
      <c r="I52" s="1"/>
      <c r="J52" s="1"/>
      <c r="K52" s="1"/>
      <c r="L52" s="1"/>
      <c r="M52" s="1"/>
      <c r="N52" s="1"/>
      <c r="O52" s="1"/>
      <c r="P52" s="1"/>
      <c r="Q52" s="1"/>
      <c r="R52" s="1"/>
      <c r="S52" s="1"/>
      <c r="T52" s="1"/>
      <c r="U52" s="1"/>
    </row>
    <row r="53" spans="1:21">
      <c r="A53" s="1"/>
      <c r="B53" s="1"/>
      <c r="C53" s="1"/>
      <c r="D53" s="1"/>
      <c r="E53" s="1"/>
      <c r="F53" s="1"/>
      <c r="G53" s="1"/>
      <c r="H53" s="1"/>
      <c r="I53" s="1"/>
      <c r="J53" s="1"/>
      <c r="K53" s="1"/>
      <c r="L53" s="1"/>
      <c r="M53" s="1"/>
      <c r="N53" s="1"/>
      <c r="O53" s="1"/>
      <c r="P53" s="1"/>
      <c r="Q53" s="1"/>
      <c r="R53" s="1"/>
      <c r="S53" s="1"/>
      <c r="T53" s="1"/>
      <c r="U53" s="1"/>
    </row>
    <row r="54" spans="1:21">
      <c r="A54" s="1"/>
      <c r="B54" s="1"/>
      <c r="C54" s="1"/>
      <c r="D54" s="1"/>
      <c r="E54" s="1"/>
      <c r="F54" s="1"/>
      <c r="G54" s="1"/>
      <c r="H54" s="1"/>
      <c r="I54" s="1"/>
      <c r="J54" s="1"/>
      <c r="K54" s="1"/>
      <c r="L54" s="1"/>
      <c r="M54" s="1"/>
      <c r="N54" s="1"/>
      <c r="O54" s="1"/>
      <c r="P54" s="1"/>
      <c r="Q54" s="1"/>
      <c r="R54" s="1"/>
      <c r="S54" s="1"/>
      <c r="T54" s="1"/>
      <c r="U54" s="1"/>
    </row>
    <row r="55" spans="1:21">
      <c r="A55" s="1"/>
      <c r="B55" s="1"/>
      <c r="C55" s="1"/>
      <c r="D55" s="1"/>
      <c r="E55" s="1"/>
      <c r="F55" s="1"/>
      <c r="G55" s="1"/>
      <c r="H55" s="1"/>
      <c r="I55" s="1"/>
      <c r="J55" s="1"/>
      <c r="K55" s="1"/>
      <c r="L55" s="1"/>
      <c r="M55" s="1"/>
      <c r="N55" s="1"/>
      <c r="O55" s="1"/>
      <c r="P55" s="1"/>
      <c r="Q55" s="1"/>
      <c r="R55" s="1"/>
      <c r="S55" s="1"/>
      <c r="T55" s="1"/>
      <c r="U55" s="1"/>
    </row>
  </sheetData>
  <mergeCells count="6">
    <mergeCell ref="C3:I3"/>
    <mergeCell ref="K3:Q3"/>
    <mergeCell ref="L4:M4"/>
    <mergeCell ref="L5:M5"/>
    <mergeCell ref="L6:L13"/>
    <mergeCell ref="B23:C23"/>
  </mergeCells>
  <conditionalFormatting sqref="H6:H25">
    <cfRule type="iconSet" priority="2">
      <iconSet>
        <cfvo type="percent" val="0"/>
        <cfvo type="percent" val="33"/>
        <cfvo type="percent" val="67"/>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 id="{DA97B081-5E9E-4167-8ACB-6DC3308848FF}">
            <x14:iconSet iconSet="3Triangles">
              <x14:cfvo type="percent">
                <xm:f>0</xm:f>
              </x14:cfvo>
              <x14:cfvo type="percent">
                <xm:f>33</xm:f>
              </x14:cfvo>
              <x14:cfvo type="percent">
                <xm:f>67</xm:f>
              </x14:cfvo>
            </x14:iconSet>
          </x14:cfRule>
          <xm:sqref>I5:I23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Global</vt:lpstr>
      <vt:lpstr>4.1</vt:lpstr>
      <vt:lpstr>4.2</vt:lpstr>
      <vt:lpstr>4.3</vt:lpstr>
      <vt:lpstr>4.4</vt:lpstr>
      <vt:lpstr>4.5</vt:lpstr>
      <vt:lpstr>COSO</vt:lpstr>
      <vt:lpstr>Synthèsse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dc:creator>
  <cp:lastModifiedBy>Utilisateur</cp:lastModifiedBy>
  <dcterms:created xsi:type="dcterms:W3CDTF">2025-04-10T14:29:22Z</dcterms:created>
  <dcterms:modified xsi:type="dcterms:W3CDTF">2025-04-17T08:12:47Z</dcterms:modified>
</cp:coreProperties>
</file>